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ntserver5\Usuarios\Areas\DPersonal\Seleccion y Formación\04_Formacion\02_Externa\2025\3ª Seguimiento 2025\Resumenes anuales 2025\Memoria externa 2025\"/>
    </mc:Choice>
  </mc:AlternateContent>
  <xr:revisionPtr revIDLastSave="0" documentId="13_ncr:1_{F9A8FBEB-A379-47BD-8317-0D66E2940301}" xr6:coauthVersionLast="47" xr6:coauthVersionMax="47" xr10:uidLastSave="{00000000-0000-0000-0000-000000000000}"/>
  <bookViews>
    <workbookView xWindow="28680" yWindow="-120" windowWidth="29040" windowHeight="15720" tabRatio="500" firstSheet="9" activeTab="14" xr2:uid="{00000000-000D-0000-FFFF-FFFF00000000}"/>
  </bookViews>
  <sheets>
    <sheet name="Expedientes tramitados" sheetId="1" r:id="rId1"/>
    <sheet name="Inversión económica" sheetId="2" r:id="rId2"/>
    <sheet name="Tipo de participaciónn" sheetId="16" r:id="rId3"/>
    <sheet name="14 Dir. Gerencia" sheetId="4" r:id="rId4"/>
    <sheet name="14 Dir. Médica" sheetId="5" r:id="rId5"/>
    <sheet name="14 Dir. Enfermería" sheetId="6" r:id="rId6"/>
    <sheet name="14 Dir. Gestión_RRHH" sheetId="7" r:id="rId7"/>
    <sheet name="14 Dir. Gerencia_MED (Cat)" sheetId="8" r:id="rId8"/>
    <sheet name="14 Dir. Enfermería (Cat)" sheetId="9" r:id="rId9"/>
    <sheet name="14 Dir. Gestión_RRHH (Cat)" sheetId="10" r:id="rId10"/>
    <sheet name="lugar-Gerencia" sheetId="11" r:id="rId11"/>
    <sheet name="lugar-Médica" sheetId="12" r:id="rId12"/>
    <sheet name="lugar-Enfermería" sheetId="13" r:id="rId13"/>
    <sheet name="lugar-Gestión" sheetId="14" r:id="rId14"/>
    <sheet name="lugar-RRHH" sheetId="15" r:id="rId15"/>
  </sheets>
  <definedNames>
    <definedName name="__Anonymous_Sheet_DB__2">#REF!</definedName>
    <definedName name="__Anonymous_Sheet_DB__3">'14 Dir. Gerencia'!$B$13:$F$14</definedName>
    <definedName name="__Anonymous_Sheet_DB__4">#REF!</definedName>
    <definedName name="__Anonymous_Sheet_DB__4_1">#REF!</definedName>
    <definedName name="__Anonymous_Sheet_DB__5">#REF!</definedName>
    <definedName name="__Anonymous_Sheet_DB__5_1">#REF!</definedName>
    <definedName name="__Anonymous_Sheet_DB__6">#REF!</definedName>
    <definedName name="__Anonymous_Sheet_DB__6_1">#REF!</definedName>
    <definedName name="__Anonymous_Sheet_DB__6_2">#REF!</definedName>
    <definedName name="__Anonymous_Sheet_DB__7">#REF!</definedName>
    <definedName name="_xlnm._FilterDatabase" localSheetId="7">#REF!</definedName>
    <definedName name="_xlnm._FilterDatabase" localSheetId="6">'14 Dir. Gestión_RRHH'!#REF!</definedName>
    <definedName name="_xlnm._FilterDatabase" localSheetId="12" hidden="1">'lugar-Enfermería'!$A$13:$J$619</definedName>
    <definedName name="_xlnm._FilterDatabase" localSheetId="10" hidden="1">'lugar-Gerencia'!$A$12:$J$62</definedName>
    <definedName name="_xlnm._FilterDatabase" localSheetId="13" hidden="1">'lugar-Gestión'!$A$13:$J$84</definedName>
    <definedName name="_xlnm._FilterDatabase" localSheetId="11" hidden="1">'lugar-Médica'!$A$13:$J$1864</definedName>
    <definedName name="_xlnm._FilterDatabase" localSheetId="14" hidden="1">'lugar-RRHH'!$A$11:$J$28</definedName>
    <definedName name="_FilterDatabase_0" localSheetId="12">'lugar-Enfermería'!$A$13:$J$13</definedName>
    <definedName name="_FilterDatabase_0" localSheetId="13">'lugar-Gestión'!$A$13:$J$13</definedName>
    <definedName name="_FilterDatabase_0" localSheetId="11">'lugar-Médica'!$A$13:$J$13</definedName>
    <definedName name="_FilterDatabase_0" localSheetId="14">'lugar-RRHH'!$A$11:$J$36</definedName>
    <definedName name="_FilterDatabase_0_0" localSheetId="10">'lugar-Gerencia'!$A$12:$J$12</definedName>
    <definedName name="_FilterDatabase_0_0" localSheetId="13">'lugar-Gestión'!$A$13:$K$13</definedName>
    <definedName name="_FilterDatabase_0_0" localSheetId="11">'lugar-Médica'!$A$13:$J$13</definedName>
    <definedName name="_FilterDatabase_0_0_0" localSheetId="11">'lugar-Médica'!$A$13:$J$13</definedName>
    <definedName name="_xlnm.Print_Area" localSheetId="5">'14 Dir. Enfermería'!$A$1:$F$95</definedName>
    <definedName name="_xlnm.Print_Area" localSheetId="8">'14 Dir. Enfermería (Cat)'!$A$1:$F$34</definedName>
    <definedName name="_xlnm.Print_Area" localSheetId="3">'14 Dir. Gerencia'!$A$1:$F$23</definedName>
    <definedName name="_xlnm.Print_Area" localSheetId="7">'14 Dir. Gerencia_MED (Cat)'!$A$1:$F$110</definedName>
    <definedName name="_xlnm.Print_Area" localSheetId="6">'14 Dir. Gestión_RRHH'!$A$1:$F$46</definedName>
    <definedName name="_xlnm.Print_Area" localSheetId="9">'14 Dir. Gestión_RRHH (Cat)'!$A$1:$F$46</definedName>
    <definedName name="_xlnm.Print_Area" localSheetId="4">'14 Dir. Médica'!$A$1:$F$83</definedName>
    <definedName name="_xlnm.Print_Area" localSheetId="0">'Expedientes tramitados'!$A$1:$H$46</definedName>
    <definedName name="_xlnm.Print_Area" localSheetId="1">'Inversión económica'!$A:$G</definedName>
    <definedName name="_xlnm.Print_Area" localSheetId="12">'lugar-Enfermería'!$A$1:$J$13</definedName>
    <definedName name="_xlnm.Print_Area" localSheetId="10">'lugar-Gerencia'!$A$1:$J$12</definedName>
    <definedName name="_xlnm.Print_Area" localSheetId="13">'lugar-Gestión'!$A$1:$J$13</definedName>
    <definedName name="_xlnm.Print_Area" localSheetId="11">'lugar-Médica'!$A$1:$J$13</definedName>
    <definedName name="_xlnm.Print_Area" localSheetId="14">'lugar-RRHH'!$A$1:$J$31</definedName>
    <definedName name="_xlnm.Print_Area" localSheetId="2">'Tipo de participaciónn'!$A$1:$G$49</definedName>
    <definedName name="Excel_BuiltIn__FilterDatabase" localSheetId="5">'14 Dir. Enfermería'!$B$12:$F$12</definedName>
    <definedName name="Excel_BuiltIn__FilterDatabase_1">0</definedName>
    <definedName name="Excel_BuiltIn__FilterDatabase_1_1">0</definedName>
    <definedName name="Excel_BuiltIn__FilterDatabase_1_1_1">0</definedName>
    <definedName name="Excel_BuiltIn__FilterDatabase_10">0</definedName>
    <definedName name="Excel_BuiltIn__FilterDatabase_100">0</definedName>
    <definedName name="Excel_BuiltIn__FilterDatabase_101">0</definedName>
    <definedName name="Excel_BuiltIn__FilterDatabase_102">0</definedName>
    <definedName name="Excel_BuiltIn__FilterDatabase_103">0</definedName>
    <definedName name="Excel_BuiltIn__FilterDatabase_104">0</definedName>
    <definedName name="Excel_BuiltIn__FilterDatabase_105">0</definedName>
    <definedName name="Excel_BuiltIn__FilterDatabase_106">0</definedName>
    <definedName name="Excel_BuiltIn__FilterDatabase_107">0</definedName>
    <definedName name="Excel_BuiltIn__FilterDatabase_108">0</definedName>
    <definedName name="Excel_BuiltIn__FilterDatabase_109">0</definedName>
    <definedName name="Excel_BuiltIn__FilterDatabase_11">0</definedName>
    <definedName name="Excel_BuiltIn__FilterDatabase_110">0</definedName>
    <definedName name="Excel_BuiltIn__FilterDatabase_111">0</definedName>
    <definedName name="Excel_BuiltIn__FilterDatabase_112">0</definedName>
    <definedName name="Excel_BuiltIn__FilterDatabase_113">0</definedName>
    <definedName name="Excel_BuiltIn__FilterDatabase_114">0</definedName>
    <definedName name="Excel_BuiltIn__FilterDatabase_115">0</definedName>
    <definedName name="Excel_BuiltIn__FilterDatabase_116">0</definedName>
    <definedName name="Excel_BuiltIn__FilterDatabase_117">0</definedName>
    <definedName name="Excel_BuiltIn__FilterDatabase_118">0</definedName>
    <definedName name="Excel_BuiltIn__FilterDatabase_119">0</definedName>
    <definedName name="Excel_BuiltIn__FilterDatabase_12">0</definedName>
    <definedName name="Excel_BuiltIn__FilterDatabase_120">0</definedName>
    <definedName name="Excel_BuiltIn__FilterDatabase_121">0</definedName>
    <definedName name="Excel_BuiltIn__FilterDatabase_122">0</definedName>
    <definedName name="Excel_BuiltIn__FilterDatabase_123">0</definedName>
    <definedName name="Excel_BuiltIn__FilterDatabase_124">0</definedName>
    <definedName name="Excel_BuiltIn__FilterDatabase_125">0</definedName>
    <definedName name="Excel_BuiltIn__FilterDatabase_126">0</definedName>
    <definedName name="Excel_BuiltIn__FilterDatabase_127">0</definedName>
    <definedName name="Excel_BuiltIn__FilterDatabase_128">0</definedName>
    <definedName name="Excel_BuiltIn__FilterDatabase_129">0</definedName>
    <definedName name="Excel_BuiltIn__FilterDatabase_13">0</definedName>
    <definedName name="Excel_BuiltIn__FilterDatabase_130">0</definedName>
    <definedName name="Excel_BuiltIn__FilterDatabase_131">0</definedName>
    <definedName name="Excel_BuiltIn__FilterDatabase_132">0</definedName>
    <definedName name="Excel_BuiltIn__FilterDatabase_133">0</definedName>
    <definedName name="Excel_BuiltIn__FilterDatabase_134">0</definedName>
    <definedName name="Excel_BuiltIn__FilterDatabase_135">0</definedName>
    <definedName name="Excel_BuiltIn__FilterDatabase_136">0</definedName>
    <definedName name="Excel_BuiltIn__FilterDatabase_137">0</definedName>
    <definedName name="Excel_BuiltIn__FilterDatabase_138">0</definedName>
    <definedName name="Excel_BuiltIn__FilterDatabase_139">0</definedName>
    <definedName name="Excel_BuiltIn__FilterDatabase_14">0</definedName>
    <definedName name="Excel_BuiltIn__FilterDatabase_140">0</definedName>
    <definedName name="Excel_BuiltIn__FilterDatabase_141">0</definedName>
    <definedName name="Excel_BuiltIn__FilterDatabase_142">0</definedName>
    <definedName name="Excel_BuiltIn__FilterDatabase_143">0</definedName>
    <definedName name="Excel_BuiltIn__FilterDatabase_144">0</definedName>
    <definedName name="Excel_BuiltIn__FilterDatabase_145">0</definedName>
    <definedName name="Excel_BuiltIn__FilterDatabase_146">0</definedName>
    <definedName name="Excel_BuiltIn__FilterDatabase_147">0</definedName>
    <definedName name="Excel_BuiltIn__FilterDatabase_148">0</definedName>
    <definedName name="Excel_BuiltIn__FilterDatabase_149">0</definedName>
    <definedName name="Excel_BuiltIn__FilterDatabase_15">0</definedName>
    <definedName name="Excel_BuiltIn__FilterDatabase_150">0</definedName>
    <definedName name="Excel_BuiltIn__FilterDatabase_151">0</definedName>
    <definedName name="Excel_BuiltIn__FilterDatabase_152">0</definedName>
    <definedName name="Excel_BuiltIn__FilterDatabase_153">0</definedName>
    <definedName name="Excel_BuiltIn__FilterDatabase_154">0</definedName>
    <definedName name="Excel_BuiltIn__FilterDatabase_155">0</definedName>
    <definedName name="Excel_BuiltIn__FilterDatabase_156">0</definedName>
    <definedName name="Excel_BuiltIn__FilterDatabase_157">0</definedName>
    <definedName name="Excel_BuiltIn__FilterDatabase_158">0</definedName>
    <definedName name="Excel_BuiltIn__FilterDatabase_159">0</definedName>
    <definedName name="Excel_BuiltIn__FilterDatabase_16">0</definedName>
    <definedName name="Excel_BuiltIn__FilterDatabase_160">0</definedName>
    <definedName name="Excel_BuiltIn__FilterDatabase_161">0</definedName>
    <definedName name="Excel_BuiltIn__FilterDatabase_162">0</definedName>
    <definedName name="Excel_BuiltIn__FilterDatabase_163">0</definedName>
    <definedName name="Excel_BuiltIn__FilterDatabase_164">0</definedName>
    <definedName name="Excel_BuiltIn__FilterDatabase_165">0</definedName>
    <definedName name="Excel_BuiltIn__FilterDatabase_17">0</definedName>
    <definedName name="Excel_BuiltIn__FilterDatabase_18">0</definedName>
    <definedName name="Excel_BuiltIn__FilterDatabase_19">0</definedName>
    <definedName name="Excel_BuiltIn__FilterDatabase_2">0</definedName>
    <definedName name="Excel_BuiltIn__FilterDatabase_2_1">0</definedName>
    <definedName name="Excel_BuiltIn__FilterDatabase_20">0</definedName>
    <definedName name="Excel_BuiltIn__FilterDatabase_21">0</definedName>
    <definedName name="Excel_BuiltIn__FilterDatabase_22">0</definedName>
    <definedName name="Excel_BuiltIn__FilterDatabase_23">0</definedName>
    <definedName name="Excel_BuiltIn__FilterDatabase_24">0</definedName>
    <definedName name="Excel_BuiltIn__FilterDatabase_25">0</definedName>
    <definedName name="Excel_BuiltIn__FilterDatabase_26">0</definedName>
    <definedName name="Excel_BuiltIn__FilterDatabase_27">0</definedName>
    <definedName name="Excel_BuiltIn__FilterDatabase_28">0</definedName>
    <definedName name="Excel_BuiltIn__FilterDatabase_29">0</definedName>
    <definedName name="Excel_BuiltIn__FilterDatabase_3">0</definedName>
    <definedName name="Excel_BuiltIn__FilterDatabase_30">0</definedName>
    <definedName name="Excel_BuiltIn__FilterDatabase_31">0</definedName>
    <definedName name="Excel_BuiltIn__FilterDatabase_32">0</definedName>
    <definedName name="Excel_BuiltIn__FilterDatabase_33">0</definedName>
    <definedName name="Excel_BuiltIn__FilterDatabase_34">0</definedName>
    <definedName name="Excel_BuiltIn__FilterDatabase_35">0</definedName>
    <definedName name="Excel_BuiltIn__FilterDatabase_36">0</definedName>
    <definedName name="Excel_BuiltIn__FilterDatabase_37">0</definedName>
    <definedName name="Excel_BuiltIn__FilterDatabase_38">0</definedName>
    <definedName name="Excel_BuiltIn__FilterDatabase_39">0</definedName>
    <definedName name="Excel_BuiltIn__FilterDatabase_4">0</definedName>
    <definedName name="Excel_BuiltIn__FilterDatabase_40">0</definedName>
    <definedName name="Excel_BuiltIn__FilterDatabase_41">0</definedName>
    <definedName name="Excel_BuiltIn__FilterDatabase_42">0</definedName>
    <definedName name="Excel_BuiltIn__FilterDatabase_43">0</definedName>
    <definedName name="Excel_BuiltIn__FilterDatabase_44">0</definedName>
    <definedName name="Excel_BuiltIn__FilterDatabase_45">0</definedName>
    <definedName name="Excel_BuiltIn__FilterDatabase_46">0</definedName>
    <definedName name="Excel_BuiltIn__FilterDatabase_47">0</definedName>
    <definedName name="Excel_BuiltIn__FilterDatabase_48">0</definedName>
    <definedName name="Excel_BuiltIn__FilterDatabase_49">0</definedName>
    <definedName name="Excel_BuiltIn__FilterDatabase_5">0</definedName>
    <definedName name="Excel_BuiltIn__FilterDatabase_50">0</definedName>
    <definedName name="Excel_BuiltIn__FilterDatabase_51">0</definedName>
    <definedName name="Excel_BuiltIn__FilterDatabase_52">0</definedName>
    <definedName name="Excel_BuiltIn__FilterDatabase_53">0</definedName>
    <definedName name="Excel_BuiltIn__FilterDatabase_54">0</definedName>
    <definedName name="Excel_BuiltIn__FilterDatabase_55">0</definedName>
    <definedName name="Excel_BuiltIn__FilterDatabase_56">0</definedName>
    <definedName name="Excel_BuiltIn__FilterDatabase_57">0</definedName>
    <definedName name="Excel_BuiltIn__FilterDatabase_58">0</definedName>
    <definedName name="Excel_BuiltIn__FilterDatabase_59">0</definedName>
    <definedName name="Excel_BuiltIn__FilterDatabase_6">0</definedName>
    <definedName name="Excel_BuiltIn__FilterDatabase_60">0</definedName>
    <definedName name="Excel_BuiltIn__FilterDatabase_61">0</definedName>
    <definedName name="Excel_BuiltIn__FilterDatabase_62">0</definedName>
    <definedName name="Excel_BuiltIn__FilterDatabase_63">0</definedName>
    <definedName name="Excel_BuiltIn__FilterDatabase_64">0</definedName>
    <definedName name="Excel_BuiltIn__FilterDatabase_65">0</definedName>
    <definedName name="Excel_BuiltIn__FilterDatabase_66">0</definedName>
    <definedName name="Excel_BuiltIn__FilterDatabase_67">0</definedName>
    <definedName name="Excel_BuiltIn__FilterDatabase_68">0</definedName>
    <definedName name="Excel_BuiltIn__FilterDatabase_69">0</definedName>
    <definedName name="Excel_BuiltIn__FilterDatabase_7">0</definedName>
    <definedName name="Excel_BuiltIn__FilterDatabase_70">0</definedName>
    <definedName name="Excel_BuiltIn__FilterDatabase_71">0</definedName>
    <definedName name="Excel_BuiltIn__FilterDatabase_72">0</definedName>
    <definedName name="Excel_BuiltIn__FilterDatabase_73">0</definedName>
    <definedName name="Excel_BuiltIn__FilterDatabase_74">0</definedName>
    <definedName name="Excel_BuiltIn__FilterDatabase_75">0</definedName>
    <definedName name="Excel_BuiltIn__FilterDatabase_76">0</definedName>
    <definedName name="Excel_BuiltIn__FilterDatabase_77">0</definedName>
    <definedName name="Excel_BuiltIn__FilterDatabase_78">0</definedName>
    <definedName name="Excel_BuiltIn__FilterDatabase_79">0</definedName>
    <definedName name="Excel_BuiltIn__FilterDatabase_8">0</definedName>
    <definedName name="Excel_BuiltIn__FilterDatabase_80">0</definedName>
    <definedName name="Excel_BuiltIn__FilterDatabase_81">0</definedName>
    <definedName name="Excel_BuiltIn__FilterDatabase_82">0</definedName>
    <definedName name="Excel_BuiltIn__FilterDatabase_83">0</definedName>
    <definedName name="Excel_BuiltIn__FilterDatabase_84">0</definedName>
    <definedName name="Excel_BuiltIn__FilterDatabase_85">0</definedName>
    <definedName name="Excel_BuiltIn__FilterDatabase_86">0</definedName>
    <definedName name="Excel_BuiltIn__FilterDatabase_87">0</definedName>
    <definedName name="Excel_BuiltIn__FilterDatabase_88">0</definedName>
    <definedName name="Excel_BuiltIn__FilterDatabase_89">0</definedName>
    <definedName name="Excel_BuiltIn__FilterDatabase_9">0</definedName>
    <definedName name="Excel_BuiltIn__FilterDatabase_90">0</definedName>
    <definedName name="Excel_BuiltIn__FilterDatabase_91">0</definedName>
    <definedName name="Excel_BuiltIn__FilterDatabase_92">0</definedName>
    <definedName name="Excel_BuiltIn__FilterDatabase_93">0</definedName>
    <definedName name="Excel_BuiltIn__FilterDatabase_94">0</definedName>
    <definedName name="Excel_BuiltIn__FilterDatabase_95">0</definedName>
    <definedName name="Excel_BuiltIn__FilterDatabase_96">0</definedName>
    <definedName name="Excel_BuiltIn__FilterDatabase_97">0</definedName>
    <definedName name="Excel_BuiltIn__FilterDatabase_98">0</definedName>
    <definedName name="Excel_BuiltIn__FilterDatabase_99">0</definedName>
    <definedName name="Excel_BuiltIn_Print_Area" localSheetId="9">'14 Dir. Gestión_RRHH (Cat)'!$A$1:$G$10</definedName>
    <definedName name="Excel_BuiltIn_Print_Area_1">0</definedName>
    <definedName name="Excel_BuiltIn_Print_Area_10">0</definedName>
    <definedName name="Excel_BuiltIn_Print_Area_100">0</definedName>
    <definedName name="Excel_BuiltIn_Print_Area_101">0</definedName>
    <definedName name="Excel_BuiltIn_Print_Area_102">0</definedName>
    <definedName name="Excel_BuiltIn_Print_Area_103">0</definedName>
    <definedName name="Excel_BuiltIn_Print_Area_104">0</definedName>
    <definedName name="Excel_BuiltIn_Print_Area_105">0</definedName>
    <definedName name="Excel_BuiltIn_Print_Area_106">0</definedName>
    <definedName name="Excel_BuiltIn_Print_Area_107">0</definedName>
    <definedName name="Excel_BuiltIn_Print_Area_108">0</definedName>
    <definedName name="Excel_BuiltIn_Print_Area_109">0</definedName>
    <definedName name="Excel_BuiltIn_Print_Area_11">0</definedName>
    <definedName name="Excel_BuiltIn_Print_Area_110">0</definedName>
    <definedName name="Excel_BuiltIn_Print_Area_111">0</definedName>
    <definedName name="Excel_BuiltIn_Print_Area_112">0</definedName>
    <definedName name="Excel_BuiltIn_Print_Area_113">0</definedName>
    <definedName name="Excel_BuiltIn_Print_Area_114">0</definedName>
    <definedName name="Excel_BuiltIn_Print_Area_115">0</definedName>
    <definedName name="Excel_BuiltIn_Print_Area_116">0</definedName>
    <definedName name="Excel_BuiltIn_Print_Area_117">0</definedName>
    <definedName name="Excel_BuiltIn_Print_Area_118">0</definedName>
    <definedName name="Excel_BuiltIn_Print_Area_119">0</definedName>
    <definedName name="Excel_BuiltIn_Print_Area_12">0</definedName>
    <definedName name="Excel_BuiltIn_Print_Area_120">0</definedName>
    <definedName name="Excel_BuiltIn_Print_Area_121">0</definedName>
    <definedName name="Excel_BuiltIn_Print_Area_122">0</definedName>
    <definedName name="Excel_BuiltIn_Print_Area_123">0</definedName>
    <definedName name="Excel_BuiltIn_Print_Area_124">0</definedName>
    <definedName name="Excel_BuiltIn_Print_Area_13">0</definedName>
    <definedName name="Excel_BuiltIn_Print_Area_14">0</definedName>
    <definedName name="Excel_BuiltIn_Print_Area_15">0</definedName>
    <definedName name="Excel_BuiltIn_Print_Area_16">0</definedName>
    <definedName name="Excel_BuiltIn_Print_Area_17">0</definedName>
    <definedName name="Excel_BuiltIn_Print_Area_18">0</definedName>
    <definedName name="Excel_BuiltIn_Print_Area_19">0</definedName>
    <definedName name="Excel_BuiltIn_Print_Area_2">0</definedName>
    <definedName name="Excel_BuiltIn_Print_Area_20">0</definedName>
    <definedName name="Excel_BuiltIn_Print_Area_21">0</definedName>
    <definedName name="Excel_BuiltIn_Print_Area_22">0</definedName>
    <definedName name="Excel_BuiltIn_Print_Area_23">0</definedName>
    <definedName name="Excel_BuiltIn_Print_Area_24">0</definedName>
    <definedName name="Excel_BuiltIn_Print_Area_25">0</definedName>
    <definedName name="Excel_BuiltIn_Print_Area_26">0</definedName>
    <definedName name="Excel_BuiltIn_Print_Area_27">0</definedName>
    <definedName name="Excel_BuiltIn_Print_Area_28">0</definedName>
    <definedName name="Excel_BuiltIn_Print_Area_29">0</definedName>
    <definedName name="Excel_BuiltIn_Print_Area_3">0</definedName>
    <definedName name="Excel_BuiltIn_Print_Area_30">0</definedName>
    <definedName name="Excel_BuiltIn_Print_Area_31">0</definedName>
    <definedName name="Excel_BuiltIn_Print_Area_32">0</definedName>
    <definedName name="Excel_BuiltIn_Print_Area_33">0</definedName>
    <definedName name="Excel_BuiltIn_Print_Area_34">0</definedName>
    <definedName name="Excel_BuiltIn_Print_Area_35">0</definedName>
    <definedName name="Excel_BuiltIn_Print_Area_36">0</definedName>
    <definedName name="Excel_BuiltIn_Print_Area_37">0</definedName>
    <definedName name="Excel_BuiltIn_Print_Area_38">0</definedName>
    <definedName name="Excel_BuiltIn_Print_Area_39">0</definedName>
    <definedName name="Excel_BuiltIn_Print_Area_4">0</definedName>
    <definedName name="Excel_BuiltIn_Print_Area_40">0</definedName>
    <definedName name="Excel_BuiltIn_Print_Area_41">0</definedName>
    <definedName name="Excel_BuiltIn_Print_Area_42">0</definedName>
    <definedName name="Excel_BuiltIn_Print_Area_43">0</definedName>
    <definedName name="Excel_BuiltIn_Print_Area_44">0</definedName>
    <definedName name="Excel_BuiltIn_Print_Area_45">0</definedName>
    <definedName name="Excel_BuiltIn_Print_Area_46">0</definedName>
    <definedName name="Excel_BuiltIn_Print_Area_47">0</definedName>
    <definedName name="Excel_BuiltIn_Print_Area_48">0</definedName>
    <definedName name="Excel_BuiltIn_Print_Area_49">0</definedName>
    <definedName name="Excel_BuiltIn_Print_Area_5">0</definedName>
    <definedName name="Excel_BuiltIn_Print_Area_50">0</definedName>
    <definedName name="Excel_BuiltIn_Print_Area_51">0</definedName>
    <definedName name="Excel_BuiltIn_Print_Area_52">0</definedName>
    <definedName name="Excel_BuiltIn_Print_Area_53">0</definedName>
    <definedName name="Excel_BuiltIn_Print_Area_54">0</definedName>
    <definedName name="Excel_BuiltIn_Print_Area_55">0</definedName>
    <definedName name="Excel_BuiltIn_Print_Area_56">0</definedName>
    <definedName name="Excel_BuiltIn_Print_Area_57">0</definedName>
    <definedName name="Excel_BuiltIn_Print_Area_58">0</definedName>
    <definedName name="Excel_BuiltIn_Print_Area_59">0</definedName>
    <definedName name="Excel_BuiltIn_Print_Area_6">0</definedName>
    <definedName name="Excel_BuiltIn_Print_Area_60">0</definedName>
    <definedName name="Excel_BuiltIn_Print_Area_61">0</definedName>
    <definedName name="Excel_BuiltIn_Print_Area_62">0</definedName>
    <definedName name="Excel_BuiltIn_Print_Area_63">0</definedName>
    <definedName name="Excel_BuiltIn_Print_Area_64">0</definedName>
    <definedName name="Excel_BuiltIn_Print_Area_65">0</definedName>
    <definedName name="Excel_BuiltIn_Print_Area_66">0</definedName>
    <definedName name="Excel_BuiltIn_Print_Area_67">0</definedName>
    <definedName name="Excel_BuiltIn_Print_Area_68">0</definedName>
    <definedName name="Excel_BuiltIn_Print_Area_69">0</definedName>
    <definedName name="Excel_BuiltIn_Print_Area_7">0</definedName>
    <definedName name="Excel_BuiltIn_Print_Area_70">0</definedName>
    <definedName name="Excel_BuiltIn_Print_Area_71">0</definedName>
    <definedName name="Excel_BuiltIn_Print_Area_72">0</definedName>
    <definedName name="Excel_BuiltIn_Print_Area_73">0</definedName>
    <definedName name="Excel_BuiltIn_Print_Area_74">0</definedName>
    <definedName name="Excel_BuiltIn_Print_Area_75">0</definedName>
    <definedName name="Excel_BuiltIn_Print_Area_76">0</definedName>
    <definedName name="Excel_BuiltIn_Print_Area_77">0</definedName>
    <definedName name="Excel_BuiltIn_Print_Area_78">0</definedName>
    <definedName name="Excel_BuiltIn_Print_Area_79">0</definedName>
    <definedName name="Excel_BuiltIn_Print_Area_8">0</definedName>
    <definedName name="Excel_BuiltIn_Print_Area_80">0</definedName>
    <definedName name="Excel_BuiltIn_Print_Area_81">0</definedName>
    <definedName name="Excel_BuiltIn_Print_Area_82">0</definedName>
    <definedName name="Excel_BuiltIn_Print_Area_83">0</definedName>
    <definedName name="Excel_BuiltIn_Print_Area_84">0</definedName>
    <definedName name="Excel_BuiltIn_Print_Area_85">0</definedName>
    <definedName name="Excel_BuiltIn_Print_Area_86">0</definedName>
    <definedName name="Excel_BuiltIn_Print_Area_87">0</definedName>
    <definedName name="Excel_BuiltIn_Print_Area_88">0</definedName>
    <definedName name="Excel_BuiltIn_Print_Area_89">0</definedName>
    <definedName name="Excel_BuiltIn_Print_Area_9">0</definedName>
    <definedName name="Excel_BuiltIn_Print_Area_90">0</definedName>
    <definedName name="Excel_BuiltIn_Print_Area_91">0</definedName>
    <definedName name="Excel_BuiltIn_Print_Area_92">0</definedName>
    <definedName name="Excel_BuiltIn_Print_Area_93">0</definedName>
    <definedName name="Excel_BuiltIn_Print_Area_94">0</definedName>
    <definedName name="Excel_BuiltIn_Print_Area_95">0</definedName>
    <definedName name="Excel_BuiltIn_Print_Area_96">0</definedName>
    <definedName name="Excel_BuiltIn_Print_Area_97">0</definedName>
    <definedName name="Excel_BuiltIn_Print_Area_98">0</definedName>
    <definedName name="Excel_BuiltIn_Print_Area_99">0</definedName>
    <definedName name="Excel_BuiltIn_Print_Titles" localSheetId="5">'14 Dir. Enfermería'!$1:$11</definedName>
    <definedName name="Excel_BuiltIn_Print_Titles" localSheetId="6">'14 Dir. Gestión_RRHH'!$13:$13</definedName>
    <definedName name="Excel_BuiltIn_Print_Titles" localSheetId="4">'14 Dir. Médica'!$1:$12</definedName>
    <definedName name="Excel_BuiltIn_Print_Titles_1">0</definedName>
    <definedName name="Excel_BuiltIn_Print_Titles_1_1">0</definedName>
    <definedName name="Excel_BuiltIn_Print_Titles_1_1_1">0</definedName>
    <definedName name="Excel_BuiltIn_Print_Titles_10">0</definedName>
    <definedName name="Excel_BuiltIn_Print_Titles_11">0</definedName>
    <definedName name="Excel_BuiltIn_Print_Titles_12">0</definedName>
    <definedName name="Excel_BuiltIn_Print_Titles_13">0</definedName>
    <definedName name="Excel_BuiltIn_Print_Titles_14">0</definedName>
    <definedName name="Excel_BuiltIn_Print_Titles_15">0</definedName>
    <definedName name="Excel_BuiltIn_Print_Titles_16">0</definedName>
    <definedName name="Excel_BuiltIn_Print_Titles_17">0</definedName>
    <definedName name="Excel_BuiltIn_Print_Titles_18">0</definedName>
    <definedName name="Excel_BuiltIn_Print_Titles_19">0</definedName>
    <definedName name="Excel_BuiltIn_Print_Titles_2">0</definedName>
    <definedName name="Excel_BuiltIn_Print_Titles_20">0</definedName>
    <definedName name="Excel_BuiltIn_Print_Titles_21">0</definedName>
    <definedName name="Excel_BuiltIn_Print_Titles_22">0</definedName>
    <definedName name="Excel_BuiltIn_Print_Titles_23">0</definedName>
    <definedName name="Excel_BuiltIn_Print_Titles_24">0</definedName>
    <definedName name="Excel_BuiltIn_Print_Titles_25">0</definedName>
    <definedName name="Excel_BuiltIn_Print_Titles_26">0</definedName>
    <definedName name="Excel_BuiltIn_Print_Titles_27">0</definedName>
    <definedName name="Excel_BuiltIn_Print_Titles_28">0</definedName>
    <definedName name="Excel_BuiltIn_Print_Titles_29">0</definedName>
    <definedName name="Excel_BuiltIn_Print_Titles_3">0</definedName>
    <definedName name="Excel_BuiltIn_Print_Titles_30">0</definedName>
    <definedName name="Excel_BuiltIn_Print_Titles_31">0</definedName>
    <definedName name="Excel_BuiltIn_Print_Titles_32">0</definedName>
    <definedName name="Excel_BuiltIn_Print_Titles_33">0</definedName>
    <definedName name="Excel_BuiltIn_Print_Titles_34">0</definedName>
    <definedName name="Excel_BuiltIn_Print_Titles_35">0</definedName>
    <definedName name="Excel_BuiltIn_Print_Titles_36">0</definedName>
    <definedName name="Excel_BuiltIn_Print_Titles_37">0</definedName>
    <definedName name="Excel_BuiltIn_Print_Titles_38">0</definedName>
    <definedName name="Excel_BuiltIn_Print_Titles_39">0</definedName>
    <definedName name="Excel_BuiltIn_Print_Titles_4">0</definedName>
    <definedName name="Excel_BuiltIn_Print_Titles_40">0</definedName>
    <definedName name="Excel_BuiltIn_Print_Titles_41">0</definedName>
    <definedName name="Excel_BuiltIn_Print_Titles_42">0</definedName>
    <definedName name="Excel_BuiltIn_Print_Titles_43">0</definedName>
    <definedName name="Excel_BuiltIn_Print_Titles_44">0</definedName>
    <definedName name="Excel_BuiltIn_Print_Titles_45">0</definedName>
    <definedName name="Excel_BuiltIn_Print_Titles_46">0</definedName>
    <definedName name="Excel_BuiltIn_Print_Titles_47">0</definedName>
    <definedName name="Excel_BuiltIn_Print_Titles_48">0</definedName>
    <definedName name="Excel_BuiltIn_Print_Titles_49">0</definedName>
    <definedName name="Excel_BuiltIn_Print_Titles_5">0</definedName>
    <definedName name="Excel_BuiltIn_Print_Titles_50">0</definedName>
    <definedName name="Excel_BuiltIn_Print_Titles_51">0</definedName>
    <definedName name="Excel_BuiltIn_Print_Titles_52">0</definedName>
    <definedName name="Excel_BuiltIn_Print_Titles_53">0</definedName>
    <definedName name="Excel_BuiltIn_Print_Titles_54">0</definedName>
    <definedName name="Excel_BuiltIn_Print_Titles_55">0</definedName>
    <definedName name="Excel_BuiltIn_Print_Titles_56">0</definedName>
    <definedName name="Excel_BuiltIn_Print_Titles_57">0</definedName>
    <definedName name="Excel_BuiltIn_Print_Titles_58">0</definedName>
    <definedName name="Excel_BuiltIn_Print_Titles_59">0</definedName>
    <definedName name="Excel_BuiltIn_Print_Titles_6">0</definedName>
    <definedName name="Excel_BuiltIn_Print_Titles_60">0</definedName>
    <definedName name="Excel_BuiltIn_Print_Titles_61">0</definedName>
    <definedName name="Excel_BuiltIn_Print_Titles_62">0</definedName>
    <definedName name="Excel_BuiltIn_Print_Titles_63">0</definedName>
    <definedName name="Excel_BuiltIn_Print_Titles_64">0</definedName>
    <definedName name="Excel_BuiltIn_Print_Titles_65">0</definedName>
    <definedName name="Excel_BuiltIn_Print_Titles_66">0</definedName>
    <definedName name="Excel_BuiltIn_Print_Titles_67">0</definedName>
    <definedName name="Excel_BuiltIn_Print_Titles_68">0</definedName>
    <definedName name="Excel_BuiltIn_Print_Titles_69">0</definedName>
    <definedName name="Excel_BuiltIn_Print_Titles_7">0</definedName>
    <definedName name="Excel_BuiltIn_Print_Titles_8">0</definedName>
    <definedName name="Excel_BuiltIn_Print_Titles_9">0</definedName>
    <definedName name="hola" localSheetId="13">'lugar-Gestión'!$A$1:$K$13</definedName>
    <definedName name="hola" localSheetId="11">'lugar-Médica'!$A$1:$J$13</definedName>
    <definedName name="Print_Area_0" localSheetId="4">'14 Dir. Médica'!$A$1:$F$79</definedName>
    <definedName name="Print_Area_0" localSheetId="12">'lugar-Enfermería'!$A$1:$J$13</definedName>
    <definedName name="Print_Area_0" localSheetId="13">'lugar-Gestión'!$A$1:$J$13</definedName>
    <definedName name="Print_Area_0" localSheetId="11">'lugar-Médica'!$A$1:$J$13</definedName>
    <definedName name="Print_Area_0" localSheetId="14">'lugar-RRHH'!$A$1:$J$39</definedName>
    <definedName name="Print_Area_0_0" localSheetId="5">'14 Dir. Enfermería'!$A$1:$G$91</definedName>
    <definedName name="Print_Area_0_0" localSheetId="10">'lugar-Gerencia'!$A$1:$J$12</definedName>
    <definedName name="Print_Area_0_0" localSheetId="13">'lugar-Gestión'!$A$1:$J$13</definedName>
    <definedName name="Print_Area_0_0" localSheetId="11">'lugar-Médica'!$A$1:$J$13</definedName>
    <definedName name="Print_Area_0_0_0" localSheetId="10">'lugar-Gerencia'!$A$1:$J$12</definedName>
    <definedName name="_xlnm.Print_Titles" localSheetId="5">'14 Dir. Enfermería'!$1:$12</definedName>
    <definedName name="_xlnm.Print_Titles" localSheetId="6">'14 Dir. Gestión_RRHH'!$12:$12</definedName>
    <definedName name="_xlnm.Print_Titles" localSheetId="4">'14 Dir. Médica'!$1:$13</definedName>
    <definedName name="_xlnm.Print_Titles" localSheetId="12">'lugar-Enfermería'!$13:$13</definedName>
    <definedName name="_xlnm.Print_Titles" localSheetId="10">'lugar-Gerencia'!$12:$12</definedName>
    <definedName name="_xlnm.Print_Titles" localSheetId="13">'lugar-Gestión'!$13:$13</definedName>
    <definedName name="_xlnm.Print_Titles" localSheetId="11">'lugar-Médica'!$13:$13</definedName>
    <definedName name="_xlnm.Print_Titles" localSheetId="14">'lugar-RRHH'!$11:$11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2" i="15" l="1"/>
  <c r="I21" i="15"/>
  <c r="H21" i="15"/>
  <c r="G21" i="15"/>
  <c r="I19" i="15"/>
  <c r="H19" i="15"/>
  <c r="G19" i="15"/>
  <c r="I16" i="15"/>
  <c r="I22" i="15" s="1"/>
  <c r="H16" i="15"/>
  <c r="H22" i="15" s="1"/>
  <c r="G16" i="15"/>
  <c r="J13" i="15"/>
  <c r="J14" i="15"/>
  <c r="J15" i="15"/>
  <c r="J17" i="15"/>
  <c r="J19" i="15" s="1"/>
  <c r="J18" i="15"/>
  <c r="J20" i="15"/>
  <c r="J21" i="15" s="1"/>
  <c r="J12" i="15"/>
  <c r="I84" i="14"/>
  <c r="H84" i="14"/>
  <c r="G84" i="14"/>
  <c r="I82" i="14"/>
  <c r="H82" i="14"/>
  <c r="G82" i="14"/>
  <c r="I79" i="14"/>
  <c r="H79" i="14"/>
  <c r="G79" i="14"/>
  <c r="I72" i="14"/>
  <c r="H72" i="14"/>
  <c r="G72" i="14"/>
  <c r="I70" i="14"/>
  <c r="H70" i="14"/>
  <c r="G70" i="14"/>
  <c r="I62" i="14"/>
  <c r="H62" i="14"/>
  <c r="G62" i="14"/>
  <c r="I58" i="14"/>
  <c r="H58" i="14"/>
  <c r="G58" i="14"/>
  <c r="I54" i="14"/>
  <c r="H54" i="14"/>
  <c r="G54" i="14"/>
  <c r="I48" i="14"/>
  <c r="H48" i="14"/>
  <c r="G48" i="14"/>
  <c r="I46" i="14"/>
  <c r="H46" i="14"/>
  <c r="G46" i="14"/>
  <c r="I43" i="14"/>
  <c r="H43" i="14"/>
  <c r="G43" i="14"/>
  <c r="I41" i="14"/>
  <c r="H41" i="14"/>
  <c r="G41" i="14"/>
  <c r="I39" i="14"/>
  <c r="H39" i="14"/>
  <c r="G39" i="14"/>
  <c r="I33" i="14"/>
  <c r="H33" i="14"/>
  <c r="G33" i="14"/>
  <c r="I21" i="14"/>
  <c r="H21" i="14"/>
  <c r="G21" i="14"/>
  <c r="I19" i="14"/>
  <c r="H19" i="14"/>
  <c r="G19" i="14"/>
  <c r="I17" i="14"/>
  <c r="H17" i="14"/>
  <c r="G17" i="14"/>
  <c r="I15" i="14"/>
  <c r="I85" i="14" s="1"/>
  <c r="H15" i="14"/>
  <c r="G15" i="14"/>
  <c r="J16" i="14"/>
  <c r="J17" i="14" s="1"/>
  <c r="J18" i="14"/>
  <c r="J19" i="14" s="1"/>
  <c r="J20" i="14"/>
  <c r="J21" i="14" s="1"/>
  <c r="J22" i="14"/>
  <c r="J23" i="14"/>
  <c r="J24" i="14"/>
  <c r="J25" i="14"/>
  <c r="J26" i="14"/>
  <c r="J27" i="14"/>
  <c r="J28" i="14"/>
  <c r="J29" i="14"/>
  <c r="J30" i="14"/>
  <c r="J31" i="14"/>
  <c r="J32" i="14"/>
  <c r="J34" i="14"/>
  <c r="J35" i="14"/>
  <c r="J36" i="14"/>
  <c r="J37" i="14"/>
  <c r="J38" i="14"/>
  <c r="J40" i="14"/>
  <c r="J41" i="14" s="1"/>
  <c r="J42" i="14"/>
  <c r="J43" i="14" s="1"/>
  <c r="J44" i="14"/>
  <c r="J46" i="14" s="1"/>
  <c r="J45" i="14"/>
  <c r="J47" i="14"/>
  <c r="J48" i="14" s="1"/>
  <c r="J49" i="14"/>
  <c r="J50" i="14"/>
  <c r="J51" i="14"/>
  <c r="J52" i="14"/>
  <c r="J53" i="14"/>
  <c r="J55" i="14"/>
  <c r="J58" i="14" s="1"/>
  <c r="J56" i="14"/>
  <c r="J57" i="14"/>
  <c r="J59" i="14"/>
  <c r="J60" i="14"/>
  <c r="J61" i="14"/>
  <c r="J63" i="14"/>
  <c r="J64" i="14"/>
  <c r="J65" i="14"/>
  <c r="J66" i="14"/>
  <c r="J67" i="14"/>
  <c r="J68" i="14"/>
  <c r="J69" i="14"/>
  <c r="J71" i="14"/>
  <c r="J72" i="14" s="1"/>
  <c r="J73" i="14"/>
  <c r="J74" i="14"/>
  <c r="J75" i="14"/>
  <c r="J76" i="14"/>
  <c r="J77" i="14"/>
  <c r="J78" i="14"/>
  <c r="J80" i="14"/>
  <c r="J82" i="14" s="1"/>
  <c r="J81" i="14"/>
  <c r="J83" i="14"/>
  <c r="J84" i="14" s="1"/>
  <c r="J14" i="14"/>
  <c r="I619" i="13"/>
  <c r="H619" i="13"/>
  <c r="G619" i="13"/>
  <c r="I616" i="13"/>
  <c r="H616" i="13"/>
  <c r="G616" i="13"/>
  <c r="I593" i="13"/>
  <c r="H593" i="13"/>
  <c r="G593" i="13"/>
  <c r="I588" i="13"/>
  <c r="H588" i="13"/>
  <c r="G588" i="13"/>
  <c r="I582" i="13"/>
  <c r="H582" i="13"/>
  <c r="G582" i="13"/>
  <c r="I578" i="13"/>
  <c r="H578" i="13"/>
  <c r="G578" i="13"/>
  <c r="I573" i="13"/>
  <c r="H573" i="13"/>
  <c r="G573" i="13"/>
  <c r="I568" i="13"/>
  <c r="H568" i="13"/>
  <c r="G568" i="13"/>
  <c r="I548" i="13"/>
  <c r="H548" i="13"/>
  <c r="G548" i="13"/>
  <c r="I545" i="13"/>
  <c r="H545" i="13"/>
  <c r="G545" i="13"/>
  <c r="I535" i="13"/>
  <c r="H535" i="13"/>
  <c r="G535" i="13"/>
  <c r="I511" i="13"/>
  <c r="H511" i="13"/>
  <c r="G511" i="13"/>
  <c r="I507" i="13"/>
  <c r="H507" i="13"/>
  <c r="G507" i="13"/>
  <c r="I505" i="13"/>
  <c r="H505" i="13"/>
  <c r="G505" i="13"/>
  <c r="I497" i="13"/>
  <c r="H497" i="13"/>
  <c r="G497" i="13"/>
  <c r="I495" i="13"/>
  <c r="H495" i="13"/>
  <c r="G495" i="13"/>
  <c r="I483" i="13"/>
  <c r="H483" i="13"/>
  <c r="G483" i="13"/>
  <c r="I452" i="13"/>
  <c r="H452" i="13"/>
  <c r="G452" i="13"/>
  <c r="I450" i="13"/>
  <c r="H450" i="13"/>
  <c r="G450" i="13"/>
  <c r="I448" i="13"/>
  <c r="H448" i="13"/>
  <c r="G448" i="13"/>
  <c r="I445" i="13"/>
  <c r="H445" i="13"/>
  <c r="G445" i="13"/>
  <c r="I432" i="13"/>
  <c r="H432" i="13"/>
  <c r="G432" i="13"/>
  <c r="I428" i="13"/>
  <c r="H428" i="13"/>
  <c r="G428" i="13"/>
  <c r="I418" i="13"/>
  <c r="H418" i="13"/>
  <c r="G418" i="13"/>
  <c r="I414" i="13"/>
  <c r="H414" i="13"/>
  <c r="G414" i="13"/>
  <c r="I409" i="13"/>
  <c r="H409" i="13"/>
  <c r="G409" i="13"/>
  <c r="I406" i="13"/>
  <c r="H406" i="13"/>
  <c r="G406" i="13"/>
  <c r="I402" i="13"/>
  <c r="H402" i="13"/>
  <c r="G402" i="13"/>
  <c r="I400" i="13"/>
  <c r="H400" i="13"/>
  <c r="G400" i="13"/>
  <c r="I395" i="13"/>
  <c r="H395" i="13"/>
  <c r="G395" i="13"/>
  <c r="I391" i="13"/>
  <c r="H391" i="13"/>
  <c r="G391" i="13"/>
  <c r="I386" i="13"/>
  <c r="H386" i="13"/>
  <c r="G386" i="13"/>
  <c r="I382" i="13"/>
  <c r="H382" i="13"/>
  <c r="G382" i="13"/>
  <c r="I380" i="13"/>
  <c r="H380" i="13"/>
  <c r="G380" i="13"/>
  <c r="I378" i="13"/>
  <c r="H378" i="13"/>
  <c r="G378" i="13"/>
  <c r="I375" i="13"/>
  <c r="H375" i="13"/>
  <c r="G375" i="13"/>
  <c r="I364" i="13"/>
  <c r="H364" i="13"/>
  <c r="G364" i="13"/>
  <c r="I354" i="13"/>
  <c r="H354" i="13"/>
  <c r="G354" i="13"/>
  <c r="I352" i="13"/>
  <c r="H352" i="13"/>
  <c r="G352" i="13"/>
  <c r="I313" i="13"/>
  <c r="H313" i="13"/>
  <c r="G313" i="13"/>
  <c r="I302" i="13"/>
  <c r="H302" i="13"/>
  <c r="G302" i="13"/>
  <c r="I300" i="13"/>
  <c r="H300" i="13"/>
  <c r="G300" i="13"/>
  <c r="I295" i="13"/>
  <c r="H295" i="13"/>
  <c r="G295" i="13"/>
  <c r="I293" i="13"/>
  <c r="H293" i="13"/>
  <c r="G293" i="13"/>
  <c r="I258" i="13"/>
  <c r="H258" i="13"/>
  <c r="G258" i="13"/>
  <c r="I252" i="13"/>
  <c r="H252" i="13"/>
  <c r="G252" i="13"/>
  <c r="I249" i="13"/>
  <c r="H249" i="13"/>
  <c r="G249" i="13"/>
  <c r="I244" i="13"/>
  <c r="H244" i="13"/>
  <c r="G244" i="13"/>
  <c r="I230" i="13"/>
  <c r="H230" i="13"/>
  <c r="G230" i="13"/>
  <c r="I221" i="13"/>
  <c r="H221" i="13"/>
  <c r="G221" i="13"/>
  <c r="I218" i="13"/>
  <c r="H218" i="13"/>
  <c r="G218" i="13"/>
  <c r="I212" i="13"/>
  <c r="H212" i="13"/>
  <c r="G212" i="13"/>
  <c r="I206" i="13"/>
  <c r="H206" i="13"/>
  <c r="G206" i="13"/>
  <c r="I194" i="13"/>
  <c r="H194" i="13"/>
  <c r="G194" i="13"/>
  <c r="I192" i="13"/>
  <c r="H192" i="13"/>
  <c r="G192" i="13"/>
  <c r="I188" i="13"/>
  <c r="H188" i="13"/>
  <c r="G188" i="13"/>
  <c r="I185" i="13"/>
  <c r="H185" i="13"/>
  <c r="G185" i="13"/>
  <c r="I180" i="13"/>
  <c r="H180" i="13"/>
  <c r="G180" i="13"/>
  <c r="I167" i="13"/>
  <c r="H167" i="13"/>
  <c r="G167" i="13"/>
  <c r="I126" i="13"/>
  <c r="H126" i="13"/>
  <c r="G126" i="13"/>
  <c r="I113" i="13"/>
  <c r="H113" i="13"/>
  <c r="G113" i="13"/>
  <c r="I111" i="13"/>
  <c r="H111" i="13"/>
  <c r="G111" i="13"/>
  <c r="I109" i="13"/>
  <c r="H109" i="13"/>
  <c r="G109" i="13"/>
  <c r="I87" i="13"/>
  <c r="H87" i="13"/>
  <c r="G87" i="13"/>
  <c r="I85" i="13"/>
  <c r="H85" i="13"/>
  <c r="G85" i="13"/>
  <c r="I76" i="13"/>
  <c r="H76" i="13"/>
  <c r="G76" i="13"/>
  <c r="I74" i="13"/>
  <c r="H74" i="13"/>
  <c r="G74" i="13"/>
  <c r="I69" i="13"/>
  <c r="H69" i="13"/>
  <c r="G69" i="13"/>
  <c r="I61" i="13"/>
  <c r="H61" i="13"/>
  <c r="G61" i="13"/>
  <c r="I58" i="13"/>
  <c r="H58" i="13"/>
  <c r="G58" i="13"/>
  <c r="I54" i="13"/>
  <c r="H54" i="13"/>
  <c r="G54" i="13"/>
  <c r="I51" i="13"/>
  <c r="H51" i="13"/>
  <c r="G51" i="13"/>
  <c r="I49" i="13"/>
  <c r="H49" i="13"/>
  <c r="G49" i="13"/>
  <c r="I42" i="13"/>
  <c r="H42" i="13"/>
  <c r="G42" i="13"/>
  <c r="I39" i="13"/>
  <c r="H39" i="13"/>
  <c r="G39" i="13"/>
  <c r="I37" i="13"/>
  <c r="H37" i="13"/>
  <c r="G37" i="13"/>
  <c r="I28" i="13"/>
  <c r="H28" i="13"/>
  <c r="G28" i="13"/>
  <c r="I21" i="13"/>
  <c r="H21" i="13"/>
  <c r="G21" i="13"/>
  <c r="I16" i="13"/>
  <c r="H16" i="13"/>
  <c r="H620" i="13" s="1"/>
  <c r="G16" i="13"/>
  <c r="J15" i="13"/>
  <c r="J17" i="13"/>
  <c r="J18" i="13"/>
  <c r="J19" i="13"/>
  <c r="J20" i="13"/>
  <c r="J22" i="13"/>
  <c r="J23" i="13"/>
  <c r="J24" i="13"/>
  <c r="J25" i="13"/>
  <c r="J26" i="13"/>
  <c r="J27" i="13"/>
  <c r="J29" i="13"/>
  <c r="J30" i="13"/>
  <c r="J31" i="13"/>
  <c r="J32" i="13"/>
  <c r="J33" i="13"/>
  <c r="J34" i="13"/>
  <c r="J35" i="13"/>
  <c r="J36" i="13"/>
  <c r="J38" i="13"/>
  <c r="J39" i="13" s="1"/>
  <c r="J40" i="13"/>
  <c r="J41" i="13"/>
  <c r="J43" i="13"/>
  <c r="J44" i="13"/>
  <c r="J45" i="13"/>
  <c r="J46" i="13"/>
  <c r="J47" i="13"/>
  <c r="J48" i="13"/>
  <c r="J50" i="13"/>
  <c r="J51" i="13" s="1"/>
  <c r="J52" i="13"/>
  <c r="J53" i="13"/>
  <c r="J55" i="13"/>
  <c r="J56" i="13"/>
  <c r="J57" i="13"/>
  <c r="J59" i="13"/>
  <c r="J61" i="13" s="1"/>
  <c r="J60" i="13"/>
  <c r="J62" i="13"/>
  <c r="J63" i="13"/>
  <c r="J64" i="13"/>
  <c r="J65" i="13"/>
  <c r="J66" i="13"/>
  <c r="J67" i="13"/>
  <c r="J68" i="13"/>
  <c r="J70" i="13"/>
  <c r="J71" i="13"/>
  <c r="J72" i="13"/>
  <c r="J73" i="13"/>
  <c r="J75" i="13"/>
  <c r="J76" i="13" s="1"/>
  <c r="J77" i="13"/>
  <c r="J78" i="13"/>
  <c r="J79" i="13"/>
  <c r="J80" i="13"/>
  <c r="J81" i="13"/>
  <c r="J82" i="13"/>
  <c r="J83" i="13"/>
  <c r="J84" i="13"/>
  <c r="J86" i="13"/>
  <c r="J87" i="13" s="1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10" i="13"/>
  <c r="J111" i="13" s="1"/>
  <c r="J112" i="13"/>
  <c r="J113" i="13" s="1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1" i="13"/>
  <c r="J182" i="13"/>
  <c r="J183" i="13"/>
  <c r="J184" i="13"/>
  <c r="J186" i="13"/>
  <c r="J187" i="13"/>
  <c r="J189" i="13"/>
  <c r="J192" i="13" s="1"/>
  <c r="J190" i="13"/>
  <c r="J191" i="13"/>
  <c r="J193" i="13"/>
  <c r="J194" i="13" s="1"/>
  <c r="J195" i="13"/>
  <c r="J196" i="13"/>
  <c r="J197" i="13"/>
  <c r="J198" i="13"/>
  <c r="J199" i="13"/>
  <c r="J200" i="13"/>
  <c r="J201" i="13"/>
  <c r="J202" i="13"/>
  <c r="J203" i="13"/>
  <c r="J204" i="13"/>
  <c r="J205" i="13"/>
  <c r="J207" i="13"/>
  <c r="J208" i="13"/>
  <c r="J209" i="13"/>
  <c r="J210" i="13"/>
  <c r="J211" i="13"/>
  <c r="J213" i="13"/>
  <c r="J214" i="13"/>
  <c r="J215" i="13"/>
  <c r="J216" i="13"/>
  <c r="J217" i="13"/>
  <c r="J219" i="13"/>
  <c r="J220" i="13"/>
  <c r="J222" i="13"/>
  <c r="J223" i="13"/>
  <c r="J224" i="13"/>
  <c r="J225" i="13"/>
  <c r="J226" i="13"/>
  <c r="J227" i="13"/>
  <c r="J228" i="13"/>
  <c r="J229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5" i="13"/>
  <c r="J249" i="13" s="1"/>
  <c r="J246" i="13"/>
  <c r="J247" i="13"/>
  <c r="J248" i="13"/>
  <c r="J250" i="13"/>
  <c r="J252" i="13" s="1"/>
  <c r="J251" i="13"/>
  <c r="J253" i="13"/>
  <c r="J254" i="13"/>
  <c r="J255" i="13"/>
  <c r="J256" i="13"/>
  <c r="J257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03" i="13"/>
  <c r="J304" i="13"/>
  <c r="J305" i="13"/>
  <c r="J306" i="13"/>
  <c r="J307" i="13"/>
  <c r="J308" i="13"/>
  <c r="J309" i="13"/>
  <c r="J310" i="13"/>
  <c r="J311" i="13"/>
  <c r="J312" i="13"/>
  <c r="J353" i="13"/>
  <c r="J354" i="13" s="1"/>
  <c r="J376" i="13"/>
  <c r="J377" i="13"/>
  <c r="J383" i="13"/>
  <c r="J386" i="13" s="1"/>
  <c r="J384" i="13"/>
  <c r="J385" i="13"/>
  <c r="J392" i="13"/>
  <c r="J393" i="13"/>
  <c r="J394" i="13"/>
  <c r="J387" i="13"/>
  <c r="J388" i="13"/>
  <c r="J389" i="13"/>
  <c r="J390" i="13"/>
  <c r="J401" i="13"/>
  <c r="J402" i="13" s="1"/>
  <c r="J396" i="13"/>
  <c r="J397" i="13"/>
  <c r="J398" i="13"/>
  <c r="J399" i="13"/>
  <c r="J403" i="13"/>
  <c r="J404" i="13"/>
  <c r="J405" i="13"/>
  <c r="J296" i="13"/>
  <c r="J297" i="13"/>
  <c r="J298" i="13"/>
  <c r="J299" i="13"/>
  <c r="J294" i="13"/>
  <c r="J295" i="13" s="1"/>
  <c r="J301" i="13"/>
  <c r="J302" i="13" s="1"/>
  <c r="J355" i="13"/>
  <c r="J356" i="13"/>
  <c r="J357" i="13"/>
  <c r="J358" i="13"/>
  <c r="J359" i="13"/>
  <c r="J360" i="13"/>
  <c r="J361" i="13"/>
  <c r="J362" i="13"/>
  <c r="J363" i="13"/>
  <c r="J365" i="13"/>
  <c r="J366" i="13"/>
  <c r="J367" i="13"/>
  <c r="J368" i="13"/>
  <c r="J369" i="13"/>
  <c r="J370" i="13"/>
  <c r="J371" i="13"/>
  <c r="J372" i="13"/>
  <c r="J373" i="13"/>
  <c r="J374" i="13"/>
  <c r="J379" i="13"/>
  <c r="J380" i="13" s="1"/>
  <c r="J381" i="13"/>
  <c r="J382" i="13" s="1"/>
  <c r="J407" i="13"/>
  <c r="J408" i="13"/>
  <c r="J410" i="13"/>
  <c r="J411" i="13"/>
  <c r="J412" i="13"/>
  <c r="J413" i="13"/>
  <c r="J415" i="13"/>
  <c r="J416" i="13"/>
  <c r="J417" i="13"/>
  <c r="J419" i="13"/>
  <c r="J420" i="13"/>
  <c r="J421" i="13"/>
  <c r="J422" i="13"/>
  <c r="J423" i="13"/>
  <c r="J424" i="13"/>
  <c r="J425" i="13"/>
  <c r="J426" i="13"/>
  <c r="J427" i="13"/>
  <c r="J429" i="13"/>
  <c r="J430" i="13"/>
  <c r="J431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6" i="13"/>
  <c r="J447" i="13"/>
  <c r="J449" i="13"/>
  <c r="J450" i="13" s="1"/>
  <c r="J451" i="13"/>
  <c r="J452" i="13" s="1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4" i="13"/>
  <c r="J485" i="13"/>
  <c r="J486" i="13"/>
  <c r="J487" i="13"/>
  <c r="J488" i="13"/>
  <c r="J489" i="13"/>
  <c r="J490" i="13"/>
  <c r="J491" i="13"/>
  <c r="J492" i="13"/>
  <c r="J493" i="13"/>
  <c r="J494" i="13"/>
  <c r="J496" i="13"/>
  <c r="J497" i="13" s="1"/>
  <c r="J498" i="13"/>
  <c r="J505" i="13" s="1"/>
  <c r="J499" i="13"/>
  <c r="J500" i="13"/>
  <c r="J501" i="13"/>
  <c r="J502" i="13"/>
  <c r="J503" i="13"/>
  <c r="J504" i="13"/>
  <c r="J506" i="13"/>
  <c r="J507" i="13" s="1"/>
  <c r="J508" i="13"/>
  <c r="J511" i="13" s="1"/>
  <c r="J509" i="13"/>
  <c r="J510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6" i="13"/>
  <c r="J537" i="13"/>
  <c r="J538" i="13"/>
  <c r="J539" i="13"/>
  <c r="J540" i="13"/>
  <c r="J541" i="13"/>
  <c r="J542" i="13"/>
  <c r="J543" i="13"/>
  <c r="J544" i="13"/>
  <c r="J546" i="13"/>
  <c r="J547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9" i="13"/>
  <c r="J573" i="13" s="1"/>
  <c r="J570" i="13"/>
  <c r="J571" i="13"/>
  <c r="J572" i="13"/>
  <c r="J574" i="13"/>
  <c r="J578" i="13" s="1"/>
  <c r="J575" i="13"/>
  <c r="J576" i="13"/>
  <c r="J577" i="13"/>
  <c r="J579" i="13"/>
  <c r="J582" i="13" s="1"/>
  <c r="J580" i="13"/>
  <c r="J581" i="13"/>
  <c r="J583" i="13"/>
  <c r="J584" i="13"/>
  <c r="J585" i="13"/>
  <c r="J586" i="13"/>
  <c r="J587" i="13"/>
  <c r="J589" i="13"/>
  <c r="J593" i="13" s="1"/>
  <c r="J590" i="13"/>
  <c r="J591" i="13"/>
  <c r="J592" i="13"/>
  <c r="J594" i="13"/>
  <c r="J616" i="13" s="1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7" i="13"/>
  <c r="J618" i="13"/>
  <c r="J14" i="13"/>
  <c r="I1864" i="12"/>
  <c r="H1864" i="12"/>
  <c r="G1864" i="12"/>
  <c r="I1861" i="12"/>
  <c r="H1861" i="12"/>
  <c r="G1861" i="12"/>
  <c r="I1857" i="12"/>
  <c r="H1857" i="12"/>
  <c r="G1857" i="12"/>
  <c r="I1845" i="12"/>
  <c r="H1845" i="12"/>
  <c r="G1845" i="12"/>
  <c r="I1803" i="12"/>
  <c r="H1803" i="12"/>
  <c r="G1803" i="12"/>
  <c r="I1773" i="12"/>
  <c r="H1773" i="12"/>
  <c r="G1773" i="12"/>
  <c r="I1770" i="12"/>
  <c r="H1770" i="12"/>
  <c r="G1770" i="12"/>
  <c r="I1766" i="12"/>
  <c r="H1766" i="12"/>
  <c r="G1766" i="12"/>
  <c r="I1721" i="12"/>
  <c r="H1721" i="12"/>
  <c r="G1721" i="12"/>
  <c r="I1618" i="12"/>
  <c r="H1618" i="12"/>
  <c r="G1618" i="12"/>
  <c r="I1615" i="12"/>
  <c r="H1615" i="12"/>
  <c r="G1615" i="12"/>
  <c r="I1558" i="12"/>
  <c r="H1558" i="12"/>
  <c r="G1558" i="12"/>
  <c r="I1556" i="12"/>
  <c r="H1556" i="12"/>
  <c r="G1556" i="12"/>
  <c r="I1535" i="12"/>
  <c r="H1535" i="12"/>
  <c r="G1535" i="12"/>
  <c r="I1514" i="12"/>
  <c r="H1514" i="12"/>
  <c r="G1514" i="12"/>
  <c r="I1510" i="12"/>
  <c r="H1510" i="12"/>
  <c r="G1510" i="12"/>
  <c r="I1476" i="12"/>
  <c r="H1476" i="12"/>
  <c r="G1476" i="12"/>
  <c r="I1344" i="12"/>
  <c r="H1344" i="12"/>
  <c r="G1344" i="12"/>
  <c r="I1329" i="12"/>
  <c r="H1329" i="12"/>
  <c r="G1329" i="12"/>
  <c r="I1221" i="12"/>
  <c r="H1221" i="12"/>
  <c r="G1221" i="12"/>
  <c r="I1171" i="12"/>
  <c r="H1171" i="12"/>
  <c r="G1171" i="12"/>
  <c r="I1094" i="12"/>
  <c r="H1094" i="12"/>
  <c r="G1094" i="12"/>
  <c r="I1092" i="12"/>
  <c r="H1092" i="12"/>
  <c r="G1092" i="12"/>
  <c r="I1090" i="12"/>
  <c r="H1090" i="12"/>
  <c r="G1090" i="12"/>
  <c r="I1051" i="12"/>
  <c r="H1051" i="12"/>
  <c r="G1051" i="12"/>
  <c r="I998" i="12"/>
  <c r="H998" i="12"/>
  <c r="G998" i="12"/>
  <c r="I989" i="12"/>
  <c r="H989" i="12"/>
  <c r="G989" i="12"/>
  <c r="I957" i="12"/>
  <c r="H957" i="12"/>
  <c r="G957" i="12"/>
  <c r="I895" i="12"/>
  <c r="H895" i="12"/>
  <c r="G895" i="12"/>
  <c r="I816" i="12"/>
  <c r="H816" i="12"/>
  <c r="G816" i="12"/>
  <c r="I774" i="12"/>
  <c r="H774" i="12"/>
  <c r="G774" i="12"/>
  <c r="I723" i="12"/>
  <c r="H723" i="12"/>
  <c r="G723" i="12"/>
  <c r="I706" i="12"/>
  <c r="H706" i="12"/>
  <c r="G706" i="12"/>
  <c r="I700" i="12"/>
  <c r="H700" i="12"/>
  <c r="G700" i="12"/>
  <c r="I693" i="12"/>
  <c r="H693" i="12"/>
  <c r="G693" i="12"/>
  <c r="I686" i="12"/>
  <c r="H686" i="12"/>
  <c r="G686" i="12"/>
  <c r="I649" i="12"/>
  <c r="H649" i="12"/>
  <c r="G649" i="12"/>
  <c r="I585" i="12"/>
  <c r="H585" i="12"/>
  <c r="G585" i="12"/>
  <c r="I582" i="12"/>
  <c r="H582" i="12"/>
  <c r="G582" i="12"/>
  <c r="I551" i="12"/>
  <c r="H551" i="12"/>
  <c r="G551" i="12"/>
  <c r="I533" i="12"/>
  <c r="H533" i="12"/>
  <c r="G533" i="12"/>
  <c r="I490" i="12"/>
  <c r="H490" i="12"/>
  <c r="G490" i="12"/>
  <c r="I450" i="12"/>
  <c r="H450" i="12"/>
  <c r="G450" i="12"/>
  <c r="I398" i="12"/>
  <c r="H398" i="12"/>
  <c r="G398" i="12"/>
  <c r="I393" i="12"/>
  <c r="H393" i="12"/>
  <c r="G393" i="12"/>
  <c r="I390" i="12"/>
  <c r="H390" i="12"/>
  <c r="G390" i="12"/>
  <c r="I384" i="12"/>
  <c r="H384" i="12"/>
  <c r="G384" i="12"/>
  <c r="I372" i="12"/>
  <c r="H372" i="12"/>
  <c r="G372" i="12"/>
  <c r="I370" i="12"/>
  <c r="H370" i="12"/>
  <c r="G370" i="12"/>
  <c r="I356" i="12"/>
  <c r="H356" i="12"/>
  <c r="G356" i="12"/>
  <c r="I344" i="12"/>
  <c r="H344" i="12"/>
  <c r="G344" i="12"/>
  <c r="I337" i="12"/>
  <c r="H337" i="12"/>
  <c r="G337" i="12"/>
  <c r="I319" i="12"/>
  <c r="H319" i="12"/>
  <c r="G319" i="12"/>
  <c r="I266" i="12"/>
  <c r="H266" i="12"/>
  <c r="G266" i="12"/>
  <c r="I253" i="12"/>
  <c r="H253" i="12"/>
  <c r="G253" i="12"/>
  <c r="I180" i="12"/>
  <c r="H180" i="12"/>
  <c r="G180" i="12"/>
  <c r="I125" i="12"/>
  <c r="H125" i="12"/>
  <c r="G125" i="12"/>
  <c r="I108" i="12"/>
  <c r="H108" i="12"/>
  <c r="G108" i="12"/>
  <c r="I106" i="12"/>
  <c r="H106" i="12"/>
  <c r="G106" i="12"/>
  <c r="I80" i="12"/>
  <c r="H80" i="12"/>
  <c r="G80" i="12"/>
  <c r="I69" i="12"/>
  <c r="H69" i="12"/>
  <c r="G69" i="12"/>
  <c r="I64" i="12"/>
  <c r="H64" i="12"/>
  <c r="G64" i="12"/>
  <c r="I42" i="12"/>
  <c r="H42" i="12"/>
  <c r="G42" i="12"/>
  <c r="I39" i="12"/>
  <c r="H39" i="12"/>
  <c r="G39" i="12"/>
  <c r="I37" i="12"/>
  <c r="H37" i="12"/>
  <c r="G37" i="12"/>
  <c r="I35" i="12"/>
  <c r="H35" i="12"/>
  <c r="G35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6" i="12"/>
  <c r="J37" i="12" s="1"/>
  <c r="J38" i="12"/>
  <c r="J39" i="12" s="1"/>
  <c r="J40" i="12"/>
  <c r="J42" i="12" s="1"/>
  <c r="J41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5" i="12"/>
  <c r="J69" i="12" s="1"/>
  <c r="J66" i="12"/>
  <c r="J67" i="12"/>
  <c r="J68" i="12"/>
  <c r="J70" i="12"/>
  <c r="J71" i="12"/>
  <c r="J72" i="12"/>
  <c r="J73" i="12"/>
  <c r="J74" i="12"/>
  <c r="J75" i="12"/>
  <c r="J76" i="12"/>
  <c r="J77" i="12"/>
  <c r="J78" i="12"/>
  <c r="J79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7" i="12"/>
  <c r="J108" i="12" s="1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8" i="12"/>
  <c r="J339" i="12"/>
  <c r="J340" i="12"/>
  <c r="J341" i="12"/>
  <c r="J342" i="12"/>
  <c r="J343" i="12"/>
  <c r="J345" i="12"/>
  <c r="J346" i="12"/>
  <c r="J347" i="12"/>
  <c r="J348" i="12"/>
  <c r="J349" i="12"/>
  <c r="J350" i="12"/>
  <c r="J351" i="12"/>
  <c r="J352" i="12"/>
  <c r="J353" i="12"/>
  <c r="J354" i="12"/>
  <c r="J355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1" i="12"/>
  <c r="J372" i="12" s="1"/>
  <c r="J373" i="12"/>
  <c r="J374" i="12"/>
  <c r="J375" i="12"/>
  <c r="J376" i="12"/>
  <c r="J377" i="12"/>
  <c r="J378" i="12"/>
  <c r="J379" i="12"/>
  <c r="J380" i="12"/>
  <c r="J381" i="12"/>
  <c r="J382" i="12"/>
  <c r="J383" i="12"/>
  <c r="J385" i="12"/>
  <c r="J386" i="12"/>
  <c r="J387" i="12"/>
  <c r="J388" i="12"/>
  <c r="J389" i="12"/>
  <c r="J391" i="12"/>
  <c r="J392" i="12"/>
  <c r="J394" i="12"/>
  <c r="J398" i="12" s="1"/>
  <c r="J395" i="12"/>
  <c r="J396" i="12"/>
  <c r="J397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3" i="12"/>
  <c r="J584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7" i="12"/>
  <c r="J688" i="12"/>
  <c r="J689" i="12"/>
  <c r="J690" i="12"/>
  <c r="J691" i="12"/>
  <c r="J692" i="12"/>
  <c r="J694" i="12"/>
  <c r="J695" i="12"/>
  <c r="J696" i="12"/>
  <c r="J697" i="12"/>
  <c r="J698" i="12"/>
  <c r="J699" i="12"/>
  <c r="J701" i="12"/>
  <c r="J702" i="12"/>
  <c r="J703" i="12"/>
  <c r="J704" i="12"/>
  <c r="J705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90" i="12"/>
  <c r="J991" i="12"/>
  <c r="J992" i="12"/>
  <c r="J993" i="12"/>
  <c r="J994" i="12"/>
  <c r="J995" i="12"/>
  <c r="J996" i="12"/>
  <c r="J997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1" i="12"/>
  <c r="J1092" i="12" s="1"/>
  <c r="J1093" i="12"/>
  <c r="J1094" i="12" s="1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1" i="12"/>
  <c r="J1514" i="12" s="1"/>
  <c r="J1512" i="12"/>
  <c r="J1513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7" i="12"/>
  <c r="J1558" i="12" s="1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6" i="12"/>
  <c r="J1618" i="12" s="1"/>
  <c r="J1617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7" i="12"/>
  <c r="J1770" i="12" s="1"/>
  <c r="J1768" i="12"/>
  <c r="J1769" i="12"/>
  <c r="J1771" i="12"/>
  <c r="J1772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8" i="12"/>
  <c r="J1859" i="12"/>
  <c r="J1860" i="12"/>
  <c r="J1862" i="12"/>
  <c r="J1864" i="12" s="1"/>
  <c r="J1863" i="12"/>
  <c r="J14" i="12"/>
  <c r="I62" i="11"/>
  <c r="H62" i="11"/>
  <c r="G62" i="11"/>
  <c r="I60" i="11"/>
  <c r="H60" i="11"/>
  <c r="G60" i="11"/>
  <c r="I55" i="11"/>
  <c r="H55" i="11"/>
  <c r="G55" i="11"/>
  <c r="I29" i="11"/>
  <c r="H29" i="11"/>
  <c r="G29" i="11"/>
  <c r="I25" i="11"/>
  <c r="H25" i="11"/>
  <c r="G25" i="11"/>
  <c r="I16" i="11"/>
  <c r="H16" i="11"/>
  <c r="G16" i="11"/>
  <c r="J14" i="11"/>
  <c r="J15" i="11"/>
  <c r="J17" i="11"/>
  <c r="J18" i="11"/>
  <c r="J19" i="11"/>
  <c r="J20" i="11"/>
  <c r="J21" i="11"/>
  <c r="J22" i="11"/>
  <c r="J23" i="11"/>
  <c r="J24" i="11"/>
  <c r="J26" i="11"/>
  <c r="J27" i="11"/>
  <c r="J28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6" i="11"/>
  <c r="J57" i="11"/>
  <c r="J58" i="11"/>
  <c r="J59" i="11"/>
  <c r="J61" i="11"/>
  <c r="J62" i="11" s="1"/>
  <c r="J13" i="11"/>
  <c r="F42" i="10"/>
  <c r="F32" i="10"/>
  <c r="F24" i="10"/>
  <c r="F14" i="10"/>
  <c r="F18" i="10"/>
  <c r="F22" i="10"/>
  <c r="F17" i="10"/>
  <c r="F19" i="10"/>
  <c r="F25" i="10"/>
  <c r="F23" i="10"/>
  <c r="F16" i="10"/>
  <c r="F20" i="10"/>
  <c r="F31" i="10"/>
  <c r="F21" i="10"/>
  <c r="F30" i="10"/>
  <c r="F29" i="10"/>
  <c r="F15" i="10"/>
  <c r="F26" i="10"/>
  <c r="F28" i="10"/>
  <c r="F22" i="9"/>
  <c r="F14" i="9"/>
  <c r="F21" i="9"/>
  <c r="F16" i="9"/>
  <c r="F19" i="9"/>
  <c r="C31" i="9"/>
  <c r="D31" i="9"/>
  <c r="E31" i="9"/>
  <c r="C97" i="8"/>
  <c r="F89" i="8"/>
  <c r="F27" i="8"/>
  <c r="F26" i="8"/>
  <c r="F57" i="8"/>
  <c r="F95" i="8"/>
  <c r="F72" i="8"/>
  <c r="F90" i="8"/>
  <c r="F63" i="8"/>
  <c r="F92" i="8"/>
  <c r="F88" i="8"/>
  <c r="F76" i="8"/>
  <c r="F75" i="8"/>
  <c r="F94" i="8"/>
  <c r="F71" i="8"/>
  <c r="F73" i="8"/>
  <c r="F83" i="8"/>
  <c r="F78" i="8"/>
  <c r="F58" i="8"/>
  <c r="F91" i="8"/>
  <c r="F59" i="8"/>
  <c r="F77" i="8"/>
  <c r="F56" i="8"/>
  <c r="F81" i="8"/>
  <c r="F54" i="8"/>
  <c r="F84" i="8"/>
  <c r="F36" i="8"/>
  <c r="F70" i="8"/>
  <c r="F48" i="8"/>
  <c r="F52" i="8"/>
  <c r="F39" i="8"/>
  <c r="F62" i="8"/>
  <c r="F33" i="8"/>
  <c r="F79" i="8"/>
  <c r="F30" i="8"/>
  <c r="F61" i="8"/>
  <c r="F69" i="8"/>
  <c r="F86" i="8"/>
  <c r="F44" i="8"/>
  <c r="F45" i="8"/>
  <c r="F40" i="8"/>
  <c r="F96" i="8"/>
  <c r="F74" i="8"/>
  <c r="F50" i="8"/>
  <c r="F82" i="8"/>
  <c r="F68" i="8"/>
  <c r="F85" i="8"/>
  <c r="F60" i="8"/>
  <c r="F42" i="8"/>
  <c r="F41" i="8"/>
  <c r="F65" i="8"/>
  <c r="F51" i="8"/>
  <c r="F32" i="8"/>
  <c r="F47" i="8"/>
  <c r="F55" i="8"/>
  <c r="F67" i="8"/>
  <c r="F35" i="8"/>
  <c r="F31" i="8"/>
  <c r="F37" i="8"/>
  <c r="F46" i="8"/>
  <c r="F64" i="8"/>
  <c r="F43" i="8"/>
  <c r="F28" i="8"/>
  <c r="F38" i="8"/>
  <c r="F29" i="8"/>
  <c r="F49" i="8"/>
  <c r="F66" i="8"/>
  <c r="F34" i="8"/>
  <c r="F53" i="8"/>
  <c r="F93" i="8"/>
  <c r="F19" i="8"/>
  <c r="F18" i="8"/>
  <c r="F21" i="8"/>
  <c r="F13" i="8"/>
  <c r="F16" i="8"/>
  <c r="F17" i="8"/>
  <c r="J16" i="15" l="1"/>
  <c r="J22" i="15" s="1"/>
  <c r="J62" i="14"/>
  <c r="J54" i="14"/>
  <c r="J79" i="14"/>
  <c r="J70" i="14"/>
  <c r="J33" i="14"/>
  <c r="J39" i="14"/>
  <c r="H85" i="14"/>
  <c r="G85" i="14"/>
  <c r="J15" i="14"/>
  <c r="J167" i="13"/>
  <c r="J126" i="13"/>
  <c r="J85" i="13"/>
  <c r="J69" i="13"/>
  <c r="J42" i="13"/>
  <c r="J495" i="13"/>
  <c r="J364" i="13"/>
  <c r="J218" i="13"/>
  <c r="J206" i="13"/>
  <c r="J49" i="13"/>
  <c r="J588" i="13"/>
  <c r="J548" i="13"/>
  <c r="J535" i="13"/>
  <c r="J432" i="13"/>
  <c r="J418" i="13"/>
  <c r="J414" i="13"/>
  <c r="J406" i="13"/>
  <c r="J400" i="13"/>
  <c r="J395" i="13"/>
  <c r="J313" i="13"/>
  <c r="J293" i="13"/>
  <c r="J244" i="13"/>
  <c r="J230" i="13"/>
  <c r="J212" i="13"/>
  <c r="J109" i="13"/>
  <c r="J54" i="13"/>
  <c r="J28" i="13"/>
  <c r="J21" i="13"/>
  <c r="J619" i="13"/>
  <c r="J545" i="13"/>
  <c r="J483" i="13"/>
  <c r="J448" i="13"/>
  <c r="J445" i="13"/>
  <c r="J428" i="13"/>
  <c r="J300" i="13"/>
  <c r="J391" i="13"/>
  <c r="J378" i="13"/>
  <c r="J258" i="13"/>
  <c r="J188" i="13"/>
  <c r="J185" i="13"/>
  <c r="J180" i="13"/>
  <c r="J568" i="13"/>
  <c r="J409" i="13"/>
  <c r="J375" i="13"/>
  <c r="J352" i="13"/>
  <c r="J221" i="13"/>
  <c r="J74" i="13"/>
  <c r="J58" i="13"/>
  <c r="J37" i="13"/>
  <c r="I620" i="13"/>
  <c r="G620" i="13"/>
  <c r="J16" i="13"/>
  <c r="J620" i="13" s="1"/>
  <c r="I1865" i="12"/>
  <c r="J1615" i="12"/>
  <c r="J895" i="12"/>
  <c r="J706" i="12"/>
  <c r="J693" i="12"/>
  <c r="J686" i="12"/>
  <c r="J551" i="12"/>
  <c r="J450" i="12"/>
  <c r="J370" i="12"/>
  <c r="J180" i="12"/>
  <c r="J125" i="12"/>
  <c r="J80" i="12"/>
  <c r="J1535" i="12"/>
  <c r="J64" i="12"/>
  <c r="J1861" i="12"/>
  <c r="J1845" i="12"/>
  <c r="J1721" i="12"/>
  <c r="J1344" i="12"/>
  <c r="J1221" i="12"/>
  <c r="J1171" i="12"/>
  <c r="J1090" i="12"/>
  <c r="J1051" i="12"/>
  <c r="J998" i="12"/>
  <c r="J957" i="12"/>
  <c r="J700" i="12"/>
  <c r="J533" i="12"/>
  <c r="J393" i="12"/>
  <c r="J384" i="12"/>
  <c r="J337" i="12"/>
  <c r="J319" i="12"/>
  <c r="J266" i="12"/>
  <c r="J253" i="12"/>
  <c r="J106" i="12"/>
  <c r="J1766" i="12"/>
  <c r="J1476" i="12"/>
  <c r="J1857" i="12"/>
  <c r="J1773" i="12"/>
  <c r="J1556" i="12"/>
  <c r="J1510" i="12"/>
  <c r="J1329" i="12"/>
  <c r="J989" i="12"/>
  <c r="J816" i="12"/>
  <c r="J585" i="12"/>
  <c r="J490" i="12"/>
  <c r="J344" i="12"/>
  <c r="J1803" i="12"/>
  <c r="J774" i="12"/>
  <c r="J723" i="12"/>
  <c r="J649" i="12"/>
  <c r="J582" i="12"/>
  <c r="J390" i="12"/>
  <c r="J356" i="12"/>
  <c r="G1865" i="12"/>
  <c r="H1865" i="12"/>
  <c r="J35" i="12"/>
  <c r="I63" i="11"/>
  <c r="J55" i="11"/>
  <c r="J60" i="11"/>
  <c r="J29" i="11"/>
  <c r="J25" i="11"/>
  <c r="G63" i="11"/>
  <c r="H63" i="11"/>
  <c r="J16" i="11"/>
  <c r="F28" i="7"/>
  <c r="F25" i="7"/>
  <c r="F23" i="7"/>
  <c r="F17" i="7"/>
  <c r="F14" i="7"/>
  <c r="F30" i="7"/>
  <c r="F27" i="7"/>
  <c r="F24" i="7"/>
  <c r="F26" i="7"/>
  <c r="F18" i="7"/>
  <c r="F20" i="7"/>
  <c r="F19" i="7"/>
  <c r="F16" i="7"/>
  <c r="F22" i="7"/>
  <c r="F15" i="7"/>
  <c r="F29" i="7"/>
  <c r="F31" i="7"/>
  <c r="F81" i="6"/>
  <c r="F59" i="6"/>
  <c r="F38" i="6"/>
  <c r="F26" i="6"/>
  <c r="F68" i="6"/>
  <c r="F52" i="6"/>
  <c r="F30" i="6"/>
  <c r="F60" i="6"/>
  <c r="F79" i="6"/>
  <c r="F67" i="6"/>
  <c r="F82" i="6"/>
  <c r="F33" i="6"/>
  <c r="F46" i="6"/>
  <c r="F73" i="6"/>
  <c r="F29" i="6"/>
  <c r="F75" i="6"/>
  <c r="F21" i="6"/>
  <c r="F34" i="6"/>
  <c r="F83" i="6"/>
  <c r="F40" i="6"/>
  <c r="F16" i="6"/>
  <c r="F22" i="6"/>
  <c r="F74" i="6"/>
  <c r="F64" i="6"/>
  <c r="F61" i="6"/>
  <c r="F71" i="6"/>
  <c r="F20" i="6"/>
  <c r="F32" i="6"/>
  <c r="F35" i="6"/>
  <c r="F63" i="6"/>
  <c r="F39" i="6"/>
  <c r="F31" i="6"/>
  <c r="F72" i="6"/>
  <c r="F51" i="6"/>
  <c r="F54" i="6"/>
  <c r="F13" i="6"/>
  <c r="F14" i="6"/>
  <c r="F27" i="6"/>
  <c r="F85" i="6"/>
  <c r="F84" i="6"/>
  <c r="F44" i="6"/>
  <c r="F41" i="6"/>
  <c r="F65" i="6"/>
  <c r="F88" i="6"/>
  <c r="F48" i="6"/>
  <c r="F66" i="6"/>
  <c r="F45" i="6"/>
  <c r="F76" i="6"/>
  <c r="F80" i="6"/>
  <c r="F37" i="6"/>
  <c r="F25" i="6"/>
  <c r="F87" i="6"/>
  <c r="F86" i="6"/>
  <c r="F57" i="6"/>
  <c r="F62" i="6"/>
  <c r="F70" i="6"/>
  <c r="F36" i="6"/>
  <c r="F53" i="6"/>
  <c r="F23" i="6"/>
  <c r="F50" i="6"/>
  <c r="F90" i="6"/>
  <c r="F69" i="6"/>
  <c r="F15" i="6"/>
  <c r="F24" i="6"/>
  <c r="F89" i="6"/>
  <c r="F28" i="6"/>
  <c r="F91" i="6"/>
  <c r="F49" i="6"/>
  <c r="F18" i="6"/>
  <c r="F43" i="6"/>
  <c r="F77" i="6"/>
  <c r="F17" i="6"/>
  <c r="F56" i="6"/>
  <c r="F55" i="6"/>
  <c r="F58" i="6"/>
  <c r="F42" i="6"/>
  <c r="F47" i="6"/>
  <c r="F19" i="6"/>
  <c r="F78" i="6"/>
  <c r="E80" i="5"/>
  <c r="C80" i="5"/>
  <c r="F76" i="5"/>
  <c r="F73" i="5"/>
  <c r="F66" i="5"/>
  <c r="F41" i="5"/>
  <c r="F63" i="5"/>
  <c r="F55" i="5"/>
  <c r="F43" i="5"/>
  <c r="F79" i="5"/>
  <c r="F42" i="5"/>
  <c r="F22" i="5"/>
  <c r="F21" i="5"/>
  <c r="F51" i="5"/>
  <c r="F24" i="5"/>
  <c r="F38" i="5"/>
  <c r="F60" i="5"/>
  <c r="F49" i="5"/>
  <c r="F52" i="5"/>
  <c r="F69" i="5"/>
  <c r="F50" i="5"/>
  <c r="F57" i="5"/>
  <c r="F68" i="5"/>
  <c r="F70" i="5"/>
  <c r="F26" i="5"/>
  <c r="F33" i="5"/>
  <c r="F30" i="5"/>
  <c r="F45" i="5"/>
  <c r="F32" i="5"/>
  <c r="F65" i="5"/>
  <c r="F19" i="5"/>
  <c r="F40" i="5"/>
  <c r="F62" i="5"/>
  <c r="F58" i="5"/>
  <c r="F64" i="5"/>
  <c r="F53" i="5"/>
  <c r="F31" i="5"/>
  <c r="F35" i="5"/>
  <c r="F20" i="5"/>
  <c r="F34" i="5"/>
  <c r="F39" i="5"/>
  <c r="F56" i="5"/>
  <c r="F23" i="5"/>
  <c r="F28" i="5"/>
  <c r="F75" i="5"/>
  <c r="F77" i="5"/>
  <c r="F18" i="5"/>
  <c r="F27" i="5"/>
  <c r="F16" i="5"/>
  <c r="F48" i="5"/>
  <c r="F14" i="5"/>
  <c r="F36" i="5"/>
  <c r="F59" i="5"/>
  <c r="F44" i="5"/>
  <c r="F47" i="5"/>
  <c r="F78" i="5"/>
  <c r="F17" i="5"/>
  <c r="F61" i="5"/>
  <c r="F15" i="5"/>
  <c r="F29" i="5"/>
  <c r="F67" i="5"/>
  <c r="F72" i="5"/>
  <c r="F37" i="5"/>
  <c r="F25" i="5"/>
  <c r="F54" i="5"/>
  <c r="F71" i="5"/>
  <c r="F74" i="5"/>
  <c r="F46" i="5"/>
  <c r="F17" i="4"/>
  <c r="F16" i="4"/>
  <c r="F14" i="4"/>
  <c r="F15" i="4"/>
  <c r="F18" i="4"/>
  <c r="J85" i="14" l="1"/>
  <c r="J1865" i="12"/>
  <c r="J63" i="11"/>
  <c r="Q27" i="16"/>
  <c r="P27" i="16"/>
  <c r="O27" i="16"/>
  <c r="N27" i="16"/>
  <c r="M27" i="16"/>
  <c r="L27" i="16"/>
  <c r="G16" i="16"/>
  <c r="F16" i="16"/>
  <c r="E16" i="16"/>
  <c r="D16" i="16"/>
  <c r="C16" i="16"/>
  <c r="B16" i="16"/>
  <c r="J15" i="16"/>
  <c r="I15" i="16"/>
  <c r="J14" i="16"/>
  <c r="I14" i="16"/>
  <c r="J13" i="16"/>
  <c r="I13" i="16"/>
  <c r="J12" i="16"/>
  <c r="I12" i="16"/>
  <c r="J11" i="16"/>
  <c r="I11" i="16"/>
  <c r="H16" i="16" l="1"/>
  <c r="E43" i="10" l="1"/>
  <c r="D43" i="10"/>
  <c r="C43" i="10"/>
  <c r="F39" i="10"/>
  <c r="F38" i="10"/>
  <c r="F40" i="10"/>
  <c r="F41" i="10"/>
  <c r="E33" i="10"/>
  <c r="D33" i="10"/>
  <c r="C33" i="10"/>
  <c r="F27" i="10"/>
  <c r="F23" i="9"/>
  <c r="F29" i="9"/>
  <c r="F30" i="9"/>
  <c r="F20" i="9"/>
  <c r="F28" i="9"/>
  <c r="F25" i="9"/>
  <c r="F15" i="9"/>
  <c r="F24" i="9"/>
  <c r="F27" i="9"/>
  <c r="F18" i="9"/>
  <c r="F26" i="9"/>
  <c r="F17" i="9"/>
  <c r="E105" i="8"/>
  <c r="D105" i="8"/>
  <c r="C105" i="8"/>
  <c r="F104" i="8"/>
  <c r="F103" i="8"/>
  <c r="F102" i="8"/>
  <c r="F101" i="8"/>
  <c r="E97" i="8"/>
  <c r="D97" i="8"/>
  <c r="C108" i="8"/>
  <c r="F80" i="8"/>
  <c r="F87" i="8"/>
  <c r="E22" i="8"/>
  <c r="D22" i="8"/>
  <c r="C22" i="8"/>
  <c r="F15" i="8"/>
  <c r="F14" i="8"/>
  <c r="F20" i="8"/>
  <c r="E42" i="7"/>
  <c r="D42" i="7"/>
  <c r="C42" i="7"/>
  <c r="F41" i="7"/>
  <c r="F40" i="7"/>
  <c r="F39" i="7"/>
  <c r="F42" i="7"/>
  <c r="E32" i="7"/>
  <c r="D32" i="7"/>
  <c r="C32" i="7"/>
  <c r="F21" i="7"/>
  <c r="F92" i="6"/>
  <c r="E92" i="6"/>
  <c r="D92" i="6"/>
  <c r="C92" i="6"/>
  <c r="F80" i="5"/>
  <c r="D80" i="5"/>
  <c r="E20" i="4"/>
  <c r="D20" i="4"/>
  <c r="C20" i="4"/>
  <c r="F19" i="4"/>
  <c r="E17" i="2"/>
  <c r="F13" i="2" s="1"/>
  <c r="D17" i="2"/>
  <c r="C17" i="2"/>
  <c r="B17" i="2"/>
  <c r="F12" i="2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F16" i="1"/>
  <c r="E16" i="1"/>
  <c r="G16" i="1" s="1"/>
  <c r="D16" i="1"/>
  <c r="C16" i="1"/>
  <c r="B16" i="1"/>
  <c r="G15" i="1"/>
  <c r="P21" i="1"/>
  <c r="O21" i="1"/>
  <c r="N21" i="1"/>
  <c r="M21" i="1"/>
  <c r="G14" i="1"/>
  <c r="P13" i="1"/>
  <c r="G13" i="1"/>
  <c r="P12" i="1"/>
  <c r="G12" i="1"/>
  <c r="P11" i="1"/>
  <c r="G11" i="1"/>
  <c r="P10" i="1"/>
  <c r="P9" i="1"/>
  <c r="L21" i="1"/>
  <c r="F43" i="10" l="1"/>
  <c r="F33" i="10"/>
  <c r="F31" i="9"/>
  <c r="F22" i="8"/>
  <c r="D108" i="8"/>
  <c r="F105" i="8"/>
  <c r="E108" i="8"/>
  <c r="F97" i="8"/>
  <c r="F32" i="7"/>
  <c r="F20" i="4"/>
  <c r="F14" i="2"/>
  <c r="P14" i="1"/>
  <c r="F11" i="2"/>
  <c r="F15" i="2"/>
  <c r="F16" i="2"/>
  <c r="F108" i="8" l="1"/>
  <c r="F17" i="2"/>
</calcChain>
</file>

<file path=xl/sharedStrings.xml><?xml version="1.0" encoding="utf-8"?>
<sst xmlns="http://schemas.openxmlformats.org/spreadsheetml/2006/main" count="15373" uniqueCount="3656">
  <si>
    <t>MEMORIA ANUAL FORMACIÓN EXTERNA</t>
  </si>
  <si>
    <t>F_FOR_95</t>
  </si>
  <si>
    <t>V_00</t>
  </si>
  <si>
    <r>
      <rPr>
        <sz val="10"/>
        <color rgb="FF000000"/>
        <rFont val="Arial"/>
        <family val="2"/>
        <charset val="1"/>
      </rPr>
      <t xml:space="preserve">Nota: datos calculados de </t>
    </r>
    <r>
      <rPr>
        <b/>
        <sz val="10"/>
        <color rgb="FF000000"/>
        <rFont val="Arial"/>
        <family val="2"/>
        <charset val="1"/>
      </rPr>
      <t>(SolicitTramitadas1)</t>
    </r>
  </si>
  <si>
    <r>
      <rPr>
        <sz val="10"/>
        <color rgb="FF000000"/>
        <rFont val="Arial"/>
        <family val="2"/>
        <charset val="1"/>
      </rPr>
      <t xml:space="preserve">Importante: En la Base de Datos deben estar rellenados todos los campos de </t>
    </r>
    <r>
      <rPr>
        <b/>
        <sz val="10"/>
        <color rgb="FF000000"/>
        <rFont val="Arial"/>
        <family val="2"/>
        <charset val="1"/>
      </rPr>
      <t>recepción y envío.</t>
    </r>
  </si>
  <si>
    <t>Deben coincidir (SolicitTramitadas1) con (SolicitRegistradasDirec2)</t>
  </si>
  <si>
    <t>Programa de Formación y Desarrollo Profesional Externo</t>
  </si>
  <si>
    <t>Actividad 2024</t>
  </si>
  <si>
    <t xml:space="preserve">Expedientes Tramitados </t>
  </si>
  <si>
    <t>Dirección</t>
  </si>
  <si>
    <t>Presentados</t>
  </si>
  <si>
    <t xml:space="preserve">Anulados </t>
  </si>
  <si>
    <t>Denegados</t>
  </si>
  <si>
    <r>
      <rPr>
        <b/>
        <sz val="10"/>
        <color rgb="FF000000"/>
        <rFont val="Arial"/>
        <family val="2"/>
        <charset val="1"/>
      </rPr>
      <t xml:space="preserve">Autorizados </t>
    </r>
    <r>
      <rPr>
        <sz val="10"/>
        <color rgb="FF000000"/>
        <rFont val="Arial"/>
        <family val="2"/>
        <charset val="1"/>
      </rPr>
      <t>(1)</t>
    </r>
  </si>
  <si>
    <r>
      <rPr>
        <b/>
        <sz val="10"/>
        <color rgb="FF000000"/>
        <rFont val="Arial"/>
        <family val="2"/>
        <charset val="1"/>
      </rPr>
      <t xml:space="preserve">Descontados en nómina </t>
    </r>
    <r>
      <rPr>
        <sz val="10"/>
        <color rgb="FF000000"/>
        <rFont val="Arial"/>
        <family val="2"/>
        <charset val="1"/>
      </rPr>
      <t>(2)</t>
    </r>
  </si>
  <si>
    <t>% Autorizados/  presentados</t>
  </si>
  <si>
    <t>Gerencia</t>
  </si>
  <si>
    <r>
      <rPr>
        <b/>
        <sz val="10"/>
        <color rgb="FF000000"/>
        <rFont val="Calibri"/>
        <family val="2"/>
        <charset val="1"/>
      </rPr>
      <t xml:space="preserve">Autorizados </t>
    </r>
    <r>
      <rPr>
        <sz val="10"/>
        <color rgb="FF000000"/>
        <rFont val="Calibri"/>
        <family val="2"/>
        <charset val="1"/>
      </rPr>
      <t>(1)</t>
    </r>
  </si>
  <si>
    <r>
      <rPr>
        <b/>
        <sz val="10"/>
        <color rgb="FF000000"/>
        <rFont val="Calibri"/>
        <family val="2"/>
        <charset val="1"/>
      </rPr>
      <t xml:space="preserve">Descontados en nómina </t>
    </r>
    <r>
      <rPr>
        <sz val="10"/>
        <color rgb="FF000000"/>
        <rFont val="Calibri"/>
        <family val="2"/>
        <charset val="1"/>
      </rPr>
      <t>(2)</t>
    </r>
  </si>
  <si>
    <t>Gestión</t>
  </si>
  <si>
    <t>Médica</t>
  </si>
  <si>
    <t>Enfermería</t>
  </si>
  <si>
    <t>Recursos Humanos</t>
  </si>
  <si>
    <t>Total:</t>
  </si>
  <si>
    <t>Importante: diferencia en los datos calculados de  (SolicitTramitadas1) con (SolicitRegistradasDirec2)</t>
  </si>
  <si>
    <t>RRHH</t>
  </si>
  <si>
    <r>
      <rPr>
        <b/>
        <sz val="10"/>
        <color rgb="FF000000"/>
        <rFont val="Arial"/>
        <family val="2"/>
        <charset val="1"/>
      </rPr>
      <t>(1) Autorizados:</t>
    </r>
    <r>
      <rPr>
        <sz val="10"/>
        <color rgb="FF000000"/>
        <rFont val="Arial"/>
        <family val="2"/>
        <charset val="1"/>
      </rPr>
      <t xml:space="preserve"> Solicitud autorizada con permiso retribuido y/o ayuda económica.</t>
    </r>
  </si>
  <si>
    <r>
      <rPr>
        <b/>
        <sz val="10"/>
        <color rgb="FF000000"/>
        <rFont val="Arial"/>
        <family val="2"/>
        <charset val="1"/>
      </rPr>
      <t>(2) Descontados en nómina:</t>
    </r>
    <r>
      <rPr>
        <sz val="10"/>
        <color rgb="FF000000"/>
        <rFont val="Arial"/>
        <family val="2"/>
        <charset val="1"/>
      </rPr>
      <t xml:space="preserve"> Permiso autorizado, disfrutado, no justificado y posteriormente, anulado y </t>
    </r>
  </si>
  <si>
    <t>descontado en nómina.</t>
  </si>
  <si>
    <t>Horas de Permiso, Ayudas Económicas y Costes Indirectos</t>
  </si>
  <si>
    <t>Horas de permiso</t>
  </si>
  <si>
    <r>
      <rPr>
        <b/>
        <sz val="10"/>
        <color rgb="FF000000"/>
        <rFont val="Trebuchet MS"/>
        <family val="2"/>
        <charset val="1"/>
      </rPr>
      <t xml:space="preserve">Ayuda Económica </t>
    </r>
    <r>
      <rPr>
        <sz val="10"/>
        <color rgb="FF000000"/>
        <rFont val="Trebuchet MS"/>
        <family val="2"/>
        <charset val="1"/>
      </rPr>
      <t>(1)</t>
    </r>
  </si>
  <si>
    <r>
      <rPr>
        <b/>
        <sz val="10"/>
        <color rgb="FF000000"/>
        <rFont val="Trebuchet MS"/>
        <family val="2"/>
        <charset val="1"/>
      </rPr>
      <t xml:space="preserve">Coste Indirecto </t>
    </r>
    <r>
      <rPr>
        <b/>
        <vertAlign val="superscript"/>
        <sz val="10"/>
        <color rgb="FF000000"/>
        <rFont val="Trebuchet MS"/>
        <family val="2"/>
        <charset val="1"/>
      </rPr>
      <t>(2)</t>
    </r>
  </si>
  <si>
    <r>
      <rPr>
        <b/>
        <sz val="10"/>
        <color rgb="FF000000"/>
        <rFont val="Trebuchet MS"/>
        <family val="2"/>
        <charset val="1"/>
      </rPr>
      <t xml:space="preserve">Inversión Total  </t>
    </r>
    <r>
      <rPr>
        <b/>
        <vertAlign val="superscript"/>
        <sz val="10"/>
        <color rgb="FF000000"/>
        <rFont val="Trebuchet MS"/>
        <family val="2"/>
        <charset val="1"/>
      </rPr>
      <t>(1) + (2)</t>
    </r>
  </si>
  <si>
    <t xml:space="preserve">% Inversión Total </t>
  </si>
  <si>
    <t>Médica (Residentes)</t>
  </si>
  <si>
    <r>
      <rPr>
        <b/>
        <sz val="10"/>
        <rFont val="Arial"/>
        <family val="2"/>
        <charset val="1"/>
      </rPr>
      <t>(1) Ayudas Económicas</t>
    </r>
    <r>
      <rPr>
        <sz val="10"/>
        <rFont val="Arial"/>
        <family val="2"/>
        <charset val="1"/>
      </rPr>
      <t>: Cuota de inscripción, bolsa de viaje, dietas, alojamiento, transporte.</t>
    </r>
  </si>
  <si>
    <r>
      <rPr>
        <b/>
        <sz val="10"/>
        <rFont val="Arial"/>
        <family val="2"/>
        <charset val="1"/>
      </rPr>
      <t xml:space="preserve">(2) Coste indirecto: </t>
    </r>
    <r>
      <rPr>
        <sz val="10"/>
        <rFont val="Arial"/>
        <family val="2"/>
        <charset val="1"/>
      </rPr>
      <t>Salario percibido por el trabajador durante la asistencia a la actividad formativa.</t>
    </r>
  </si>
  <si>
    <t>Tipo de Participación</t>
  </si>
  <si>
    <t>Comunicación</t>
  </si>
  <si>
    <t>Asistente</t>
  </si>
  <si>
    <t>Ponencia</t>
  </si>
  <si>
    <t>Otros</t>
  </si>
  <si>
    <t>A Distancia</t>
  </si>
  <si>
    <t xml:space="preserve">     </t>
  </si>
  <si>
    <t>Dirección Gerencia</t>
  </si>
  <si>
    <t>Lugar de Trabajo</t>
  </si>
  <si>
    <t>Horas de Permiso</t>
  </si>
  <si>
    <t>Ayuda Económica (1)</t>
  </si>
  <si>
    <t>Coste Indirecto (2)</t>
  </si>
  <si>
    <t>Inversión Total (1) + (2)</t>
  </si>
  <si>
    <t>Total Dirección Gerencia</t>
  </si>
  <si>
    <t>Dirección Médica</t>
  </si>
  <si>
    <t>Total Dirección Médica</t>
  </si>
  <si>
    <t>Dirección de Enfermería</t>
  </si>
  <si>
    <t>Total Dirección de Enfermería</t>
  </si>
  <si>
    <t>Dirección de Gestión</t>
  </si>
  <si>
    <t>Total Dirección de Gestión</t>
  </si>
  <si>
    <t>Dirección de RR.HH.</t>
  </si>
  <si>
    <t>D.RRHH SERV.SELEC.EVALUACIÓN</t>
  </si>
  <si>
    <t>Total  Dirección de Recursos Humanos</t>
  </si>
  <si>
    <t>Categoría Profesional</t>
  </si>
  <si>
    <t>JEFE DE SERVICIO</t>
  </si>
  <si>
    <t>Dirección Médica (Residentes)</t>
  </si>
  <si>
    <t>Categoria Profesional</t>
  </si>
  <si>
    <t>Total Dirección de Recursos Humanos</t>
  </si>
  <si>
    <t xml:space="preserve">                   V_00</t>
  </si>
  <si>
    <t>Apellidos y Nombre</t>
  </si>
  <si>
    <t>Categoría</t>
  </si>
  <si>
    <t>Actividad</t>
  </si>
  <si>
    <t>Fecha Inicio</t>
  </si>
  <si>
    <t>Fecha Final</t>
  </si>
  <si>
    <t>Nº Horas</t>
  </si>
  <si>
    <t>Importe</t>
  </si>
  <si>
    <t>Coste Indirecto</t>
  </si>
  <si>
    <t>PALMERO MARRERO, LOURDES</t>
  </si>
  <si>
    <t>TÉCNICO TITULADO MEDIO - ASIST</t>
  </si>
  <si>
    <t>EDIFICIO AGUDOS HP</t>
  </si>
  <si>
    <t>SOSA ALVAREZ, JOSE LORENZO</t>
  </si>
  <si>
    <t>TRABAJADOR /A SOCIAL</t>
  </si>
  <si>
    <t>GERENCIA</t>
  </si>
  <si>
    <t>JEFE SERVICIO ADMINISTRATIVO (</t>
  </si>
  <si>
    <t>TRABAJO SOCIAL</t>
  </si>
  <si>
    <t>BOLAÑOS MATEOS, NOEMI</t>
  </si>
  <si>
    <t>LEANDRO RODRIGUEZ, CARMEN NURIA</t>
  </si>
  <si>
    <t>RODRIGUEZ RODRIGUEZ, LUZ MARINA</t>
  </si>
  <si>
    <t>TORRES ABAD, MARIA MONTSER</t>
  </si>
  <si>
    <t>GRUPO ADMINISTRATIVO</t>
  </si>
  <si>
    <t>UNIDAD DE CALIDAD</t>
  </si>
  <si>
    <t>Lugar de trabajo</t>
  </si>
  <si>
    <t>Actividad Formativa</t>
  </si>
  <si>
    <t>Inicio</t>
  </si>
  <si>
    <t>Fin</t>
  </si>
  <si>
    <t>GOMEZ SICILIA, RAQUEL MARIA</t>
  </si>
  <si>
    <t>ADMISIÓN CENTRAL</t>
  </si>
  <si>
    <t>MÁSTER DE FORMACIÓN PERMANENTE</t>
  </si>
  <si>
    <t>LOPEZ SANTANA, YANET DEL SOC</t>
  </si>
  <si>
    <t>MONTEAGUDO PEREZ-MACHADO, EVA</t>
  </si>
  <si>
    <t>FEA CIRUGÍA GENERAL Y APARATO</t>
  </si>
  <si>
    <t>DIAZ HERNANDEZ, JOSE ENRIQUE</t>
  </si>
  <si>
    <t>FEA OFTALMOLOGÍA</t>
  </si>
  <si>
    <t>CONS.OFTALMOLOGÍA ¿ CAE LA LAG</t>
  </si>
  <si>
    <t>GARCIA DOPICO, JOSE ANTONIO</t>
  </si>
  <si>
    <t>DIRECTOR MÉDICO ATENCION ESPEC</t>
  </si>
  <si>
    <t>DIRECCIÓN MÉDICA</t>
  </si>
  <si>
    <t>MERINO ANDRES, M.CONCEPCION</t>
  </si>
  <si>
    <t>FEA PSIQUIATRÍA</t>
  </si>
  <si>
    <t>MONTIANO VALERO, FERNANDO.DE</t>
  </si>
  <si>
    <t>JEFE DE SERVICIO PSIQUIATRÍA</t>
  </si>
  <si>
    <t>RAMOS MORENO, M.CARMEN</t>
  </si>
  <si>
    <t>SANZ SANCHEZ, ESTHER</t>
  </si>
  <si>
    <t>FEA PSICOLOGÍA CLÍNICA</t>
  </si>
  <si>
    <t>FACULTATIVO RESIDENTE DE 3º AÑ</t>
  </si>
  <si>
    <t>FARMACOLOGÍA CLÍNICA</t>
  </si>
  <si>
    <t>RODRIGUEZ JIMENEZ, CONSUELO</t>
  </si>
  <si>
    <t>FEA FARMACOLOGÍA CLÍNICA</t>
  </si>
  <si>
    <t>FACULTATIVO RESIDENTE DE 4º AÑ</t>
  </si>
  <si>
    <t>JEFE DE SERVICIO FARMACOLOGÍA</t>
  </si>
  <si>
    <t>VELAZQUEZ PERELLO, CARMEN</t>
  </si>
  <si>
    <t>DEL CAMPO MUÑOZ, TOMAS</t>
  </si>
  <si>
    <t>RADIOFÍSICO RESIDENTE DE 1º AÑ</t>
  </si>
  <si>
    <t>FÍSICA MÉDICA (UDAD.TÉC.RADIOP</t>
  </si>
  <si>
    <t>PIQUERAS GUARDIOLA, FRANCISCO</t>
  </si>
  <si>
    <t>ALAVA CRUZ, CRISTINA</t>
  </si>
  <si>
    <t>FEA ALERGOLOGÍA</t>
  </si>
  <si>
    <t>P. MÉDICO  ALERGOLOGÍA.</t>
  </si>
  <si>
    <t>GONZALEZ PEREZ, RUPERTO</t>
  </si>
  <si>
    <t>ESCUELA ÁCAROX. DE LA CUNA AL</t>
  </si>
  <si>
    <t>MATHEU DELGADO, VICTOR</t>
  </si>
  <si>
    <t>MEDEROS LUIS, ELENA</t>
  </si>
  <si>
    <t>POZA GUEDES, PALOMA</t>
  </si>
  <si>
    <t>SANCHEZ MACHIN, MARÍA INMACUL</t>
  </si>
  <si>
    <t>JEFE DE SERVICIO ALERGOLOGÍA</t>
  </si>
  <si>
    <t>HERNANDEZ LEON, CARMEN NIEVES</t>
  </si>
  <si>
    <t>FEA ANATOMÍA PATOLÓGICA</t>
  </si>
  <si>
    <t>P.MÉDICO ANATOMÍA PATOLÓGICA</t>
  </si>
  <si>
    <t>KRUPINSKA , MARTYNA ALEKS</t>
  </si>
  <si>
    <t>LOPEZ HENRIQUEZ, ROCIO</t>
  </si>
  <si>
    <t>MARTIN CONCEPCION, JOSE ADAN</t>
  </si>
  <si>
    <t>RODRIGUEZ RODRIGUEZ, ROSA NIEVES</t>
  </si>
  <si>
    <t>VEGA FALCON, ABIAN</t>
  </si>
  <si>
    <t>FACULTATIVO RESIDENTE DE 1º AÑ</t>
  </si>
  <si>
    <t>ACUÑA FERNANDEZ, CARLOS</t>
  </si>
  <si>
    <t>FEA ANESTESIOLOGÍA Y REANIMACI</t>
  </si>
  <si>
    <t>P.MÉDICO ANESTESIA</t>
  </si>
  <si>
    <t>ALVAREZ RODRIGUEZ, MARIA</t>
  </si>
  <si>
    <t>CURSO DE SOPORTE VITAL AVANZAD</t>
  </si>
  <si>
    <t>FACULTATIVO RESIDENTE DE 2º AÑ</t>
  </si>
  <si>
    <t>BARON PAIL, MARIANO NICOL</t>
  </si>
  <si>
    <t>BARREIRO BOUZON, FABIAN</t>
  </si>
  <si>
    <t>DARIAS DELBEY, BENEHARO</t>
  </si>
  <si>
    <t>SOPORTE VITAL AVANZADO</t>
  </si>
  <si>
    <t>JEFE DE SECCION MÉDICO ADJUNTO</t>
  </si>
  <si>
    <t>GOMIZ VIDAL, JORGE</t>
  </si>
  <si>
    <t>HERNANDEZ BESLMEISL, JESSICA</t>
  </si>
  <si>
    <t>HERNANDEZ MESA, ADRIAN</t>
  </si>
  <si>
    <t>HERRERA PIÑERO, MARIA ESTHER</t>
  </si>
  <si>
    <t>OJEDA SUAREZ, FERNANDO RAMO</t>
  </si>
  <si>
    <t>ORZA MUÑIZ, RAMON MARIA</t>
  </si>
  <si>
    <t>ADJUNTO ANESTESIOLOGÍA Y REANI</t>
  </si>
  <si>
    <t>PEREZ GUILLAMA, LUIS MANUEL</t>
  </si>
  <si>
    <t>PEREZ SAN.JUAN, MARIA ASUNCIO</t>
  </si>
  <si>
    <t>REBOSO MORALES, JOSE ANTONIO</t>
  </si>
  <si>
    <t>RUAN LIN, SUSANA</t>
  </si>
  <si>
    <t>RUIZ PERERA, JESSICA MARIA</t>
  </si>
  <si>
    <t>FEA MEDICINA FAMILIAR Y COMUNI</t>
  </si>
  <si>
    <t>TORRES DIOS, JOSE ANGEL</t>
  </si>
  <si>
    <t>WALTER , FRANK</t>
  </si>
  <si>
    <t>JEFE DE SECCIÓN ANESTESIOLOGÍA</t>
  </si>
  <si>
    <t>P.MÉDICO CARDIOLOGÍA</t>
  </si>
  <si>
    <t>ACUTE CARDIOVASCULAR CARE SCHO</t>
  </si>
  <si>
    <t>AL-HAYANI AL-HANTOOSH, ANAS WALEED</t>
  </si>
  <si>
    <t>BAEZ FERRER, NESTOR</t>
  </si>
  <si>
    <t>FEA CARDIOLOGÍA</t>
  </si>
  <si>
    <t>BARRAGAN ACEA, ANTONIO M.</t>
  </si>
  <si>
    <t>BESTEIRO VAZQUEZ, ADRIAN</t>
  </si>
  <si>
    <t>BLANCO PALACIOS, GABRIELA EUGE</t>
  </si>
  <si>
    <t>BOSA OJEDA, FRANCISCO</t>
  </si>
  <si>
    <t>ADJUNTO CARDIOLOGÍA</t>
  </si>
  <si>
    <t>DORTA OLIVERO, ARIADNA</t>
  </si>
  <si>
    <t>DUQUE GONZALEZ, MARIA AMELIA</t>
  </si>
  <si>
    <t>FERRER HITA, JULIO JESUS</t>
  </si>
  <si>
    <t>GARCIA GONZALEZ, MARTIN JESUS</t>
  </si>
  <si>
    <t>JEFE DE SECCIÓN (SANITARIO)</t>
  </si>
  <si>
    <t>GOMEZ GONZALEZ, ALEJANDRO</t>
  </si>
  <si>
    <t>HARRIAGUE CACERES, CLAUDIA MONIC</t>
  </si>
  <si>
    <t>HERNANDEZ BALDOMERO, IDAIRA FAMARA</t>
  </si>
  <si>
    <t>HERNANDEZ CHINEA, LOLA</t>
  </si>
  <si>
    <t>IGARETA HERRAIZ, AIDA TINDAYA</t>
  </si>
  <si>
    <t>FACULTATIVO RESIDENTE DE 5º AÑ</t>
  </si>
  <si>
    <t>IZQUIERDO GOMEZ, MARIA MANUELA</t>
  </si>
  <si>
    <t>JORGE PEREZ, PABLO</t>
  </si>
  <si>
    <t>JUAREZ PRERA, RUBEN ALFONSO</t>
  </si>
  <si>
    <t>CONGRESO DE LA SALUD CARDIOVAS</t>
  </si>
  <si>
    <t>LEMUS MARTIN, ALEJANDRO</t>
  </si>
  <si>
    <t>MARI LOPEZ, BELEN</t>
  </si>
  <si>
    <t>CSC ESTRUCTURAL</t>
  </si>
  <si>
    <t>MARTIN CABEZA, MARTA MARIA</t>
  </si>
  <si>
    <t>MARTINEZ CUEVAS, NATALIA</t>
  </si>
  <si>
    <t>MENDEZ VARGAS, CORABEL</t>
  </si>
  <si>
    <t>RODRIGUEZ GONZALEZ, ANIBAL</t>
  </si>
  <si>
    <t>SANCHEZ-GRANDE FLECHA, ALEJANDRO</t>
  </si>
  <si>
    <t>TALLERES PRÁCTICOS EN DIAGNÓST</t>
  </si>
  <si>
    <t>SANSEGUNDO BURGUEÑO, FERNANDO</t>
  </si>
  <si>
    <t>YANES BOWDEN, GEOFFREY</t>
  </si>
  <si>
    <t>GARCIA BORGES, NORA</t>
  </si>
  <si>
    <t>FEA CIRUGÍA CARDIOVASCULAR</t>
  </si>
  <si>
    <t>P.MÉDICO CIRUG.CARDIACA</t>
  </si>
  <si>
    <t>GARCIA BOUZA, MONICA</t>
  </si>
  <si>
    <t>GARRIDO MARTIN, PILAR</t>
  </si>
  <si>
    <t>MONTOTO LOPEZ, JAVIER</t>
  </si>
  <si>
    <t>PRADA ARRONDO, PABLO CESAR</t>
  </si>
  <si>
    <t>JEFE DE SECCIÓN CIRUGÍA CARDIO</t>
  </si>
  <si>
    <t>CASANOVA RAMOS, RUBEN</t>
  </si>
  <si>
    <t>P.MÉDICO CIRUG.GENERAL</t>
  </si>
  <si>
    <t>CHIRIVELLA FERNANDEZ, ANDREA</t>
  </si>
  <si>
    <t>CORREA FLORES, MARIA CRUZ</t>
  </si>
  <si>
    <t>DELGADO RODRIGUEZ, GERMAN</t>
  </si>
  <si>
    <t>ESCUDERO ESCUDERO, JUANA</t>
  </si>
  <si>
    <t>FACCINI CABRERA, FLORENCIA</t>
  </si>
  <si>
    <t>GARCIA AFONSO, MARIA</t>
  </si>
  <si>
    <t>GONZALEZ GARCIA, SARA</t>
  </si>
  <si>
    <t>GONZALEZ HERNANDEZ, SERGIO</t>
  </si>
  <si>
    <t>HERNANDEZ ORAMAS, CLAUDIA</t>
  </si>
  <si>
    <t>LEON AYLLON, DIANA CAROLIN</t>
  </si>
  <si>
    <t>MARRERO MARRERO, PATRICIA</t>
  </si>
  <si>
    <t>MORALES DIAZ, SAMUEL</t>
  </si>
  <si>
    <t>PEZZETTA HERNANDEZ, LILIANA</t>
  </si>
  <si>
    <t>RAMIREZ CABALLERO, ESTER</t>
  </si>
  <si>
    <t>RODRIGUEZ CASTELLANO, MARIA DESIREE</t>
  </si>
  <si>
    <t>ROS EGEA, IRENE</t>
  </si>
  <si>
    <t>RUBIERA ALVAREZ, ALBA</t>
  </si>
  <si>
    <t>SALADO DE LA TORRE, JUAN</t>
  </si>
  <si>
    <t>TUÑON FEQUANT, CARLOTA ISABE</t>
  </si>
  <si>
    <t>ARTEAGA GONZALEZ, IVAN JESUS</t>
  </si>
  <si>
    <t>P.MÉDICO CIRUG.GRAL.COORDINADO</t>
  </si>
  <si>
    <t>BRAVO GUTIERREZ, ALBERTO FELIP</t>
  </si>
  <si>
    <t>JEFE DE SERVICIO CIRUGIA GENER</t>
  </si>
  <si>
    <t>DELGADO PLASENCIA, LUCIANO JONAT</t>
  </si>
  <si>
    <t>JEFE DE SECCIÓN CIRUGÍA GENERA</t>
  </si>
  <si>
    <t>FERNANDEZ HERNANDEZ, LAURA</t>
  </si>
  <si>
    <t>GUIL ORTIZ, BEATRIZ</t>
  </si>
  <si>
    <t>MARTIN MALAGON, ANTONIO ISAAC</t>
  </si>
  <si>
    <t>RIVERA CASTELLANO, JAVIER</t>
  </si>
  <si>
    <t>ARRIBAS GARCIA, IGNACIO JAVIE</t>
  </si>
  <si>
    <t>FEA CIRUGÍA ORAL Y MAXILOFACIA</t>
  </si>
  <si>
    <t>P.MÉDICO CIRUG.MAXILOFACIAL</t>
  </si>
  <si>
    <t>FAURA MANRESA, ANDREA</t>
  </si>
  <si>
    <t>GOMEZ OLIVEIRA, GUILLERMO</t>
  </si>
  <si>
    <t>CARDENAS ELIAS, MIGUEL ANGEL</t>
  </si>
  <si>
    <t>FEA CIRUGÍA PEDIÁTRICA</t>
  </si>
  <si>
    <t>P.MÉDICO CIRUG.PEDIÁTRICA</t>
  </si>
  <si>
    <t>LASSO BETANCOR, CHELSY EDUVIG</t>
  </si>
  <si>
    <t>JEFE DE SECCIÓN CIRUGÍA PEDIÁT</t>
  </si>
  <si>
    <t>RUIZ HIERRO, CRISTINA</t>
  </si>
  <si>
    <t>WIESNER TORRES, SANDRA ROCIO</t>
  </si>
  <si>
    <t>ALARCO GOMEZ, JAVIER</t>
  </si>
  <si>
    <t>FEA CIRUGÍA PLÁSTICA, ESTETICA</t>
  </si>
  <si>
    <t>P.MÉDICO CIRUG.PLÁSTICA</t>
  </si>
  <si>
    <t>BARRERA GARCIA, GABRIELA</t>
  </si>
  <si>
    <t>GARCIA CARCELLER, ALBA</t>
  </si>
  <si>
    <t>GOMEZ JORGE, INMACULADA CO</t>
  </si>
  <si>
    <t>GUILLEN MORALES, ISA GARA</t>
  </si>
  <si>
    <t>HERNANDEZ GONZALEZ, EDUARDO</t>
  </si>
  <si>
    <t>MANZANO ESPIN, JOSE LUIS</t>
  </si>
  <si>
    <t>MENENDEZ CARDO, MARIA ARANZAZ</t>
  </si>
  <si>
    <t>FEA CIRUGÍA TORÁCICA</t>
  </si>
  <si>
    <t>P.MÉDICO CIRUG.TORACICA</t>
  </si>
  <si>
    <t>JEFE DE SERVICIO (SANITARIO)</t>
  </si>
  <si>
    <t>TACORONTE PEREZ, SERGIO</t>
  </si>
  <si>
    <t>P.MÉDICO CIRUG.VASCULAR, ANGIO</t>
  </si>
  <si>
    <t>FEA ANGIOLOGÍA Y CIRUGÍA VASCU</t>
  </si>
  <si>
    <t>GONZALEZ TABARES, ENRIQUE FRANC</t>
  </si>
  <si>
    <t>JEFE DE SECCIÓN ANGIOLOGÍA Y C</t>
  </si>
  <si>
    <t>GUERRERO RAMIREZ, CHRISTIAN SAL</t>
  </si>
  <si>
    <t>GUTIERREZ VELEZ, ALVARO JOSE</t>
  </si>
  <si>
    <t>IBRAHIM ACHI, ZEINA</t>
  </si>
  <si>
    <t>PEREZ BURKHARDT, JOSE LUIS</t>
  </si>
  <si>
    <t>UCELAY GOMEZ, ROBERTO.DE</t>
  </si>
  <si>
    <t>ADJUNTO ANGIOLOGÍA Y CIRUGÍA V</t>
  </si>
  <si>
    <t>AFONSO HERNANDEZ, MARIA SANDRA</t>
  </si>
  <si>
    <t>ADJUNTO CITOGENÉTICA</t>
  </si>
  <si>
    <t>P.MÉDICO CITOGENÉTICA</t>
  </si>
  <si>
    <t>ESQUIVEL VAZQUEZ, BEATRIZ</t>
  </si>
  <si>
    <t>TÉCNICO TITULADO SUPERIOR - LC</t>
  </si>
  <si>
    <t>BURILLO PUTZE, GUILLERMO ENR</t>
  </si>
  <si>
    <t>P.MÉDICO DE URGENCIAS</t>
  </si>
  <si>
    <t>MÉDICO URGENCIA HOSPITALARIA</t>
  </si>
  <si>
    <t>LLANOS JORGE, CELINA</t>
  </si>
  <si>
    <t>FEA MEDICINA INTENSIVA</t>
  </si>
  <si>
    <t>MORA RUIZ, MARIA DESIRE</t>
  </si>
  <si>
    <t>SALAZAR MUJICA, CARLOS LUIS</t>
  </si>
  <si>
    <t>ARTEAGA HENRIQUEZ, MARIA</t>
  </si>
  <si>
    <t>FEA DERMATOLOGÍA</t>
  </si>
  <si>
    <t>P.MÉDICO DERMATOLOGÍA</t>
  </si>
  <si>
    <t>DE ANDRES DEL ROSARIO, ANA</t>
  </si>
  <si>
    <t>FAGUNDO GONZALEZ, EVA</t>
  </si>
  <si>
    <t>GARCIA BUSTINDUY, MARTA CARMEN</t>
  </si>
  <si>
    <t>ADJUNTO DERMATOLOGÍA MEDICOQUI</t>
  </si>
  <si>
    <t>GONZALEZ HERNANDEZ, SORAHAYA</t>
  </si>
  <si>
    <t>GONZALEZ.DE.MESA PONTE, M.JOSE</t>
  </si>
  <si>
    <t>GUIMERA MARTIN-NEDA, FRANCISCO JOS</t>
  </si>
  <si>
    <t>JEFE DE SERVICIO DERMATOLOGÍA</t>
  </si>
  <si>
    <t>LUKOVIEK ARAYA, VANIA ALEXAND</t>
  </si>
  <si>
    <t>MARKTHALER , MARCELLA</t>
  </si>
  <si>
    <t>MERCADER SALVANS, JULIA</t>
  </si>
  <si>
    <t>PEREZ ROBAYNA, NURIA</t>
  </si>
  <si>
    <t>PESTANA ELICHE, MARIA DEL MAR</t>
  </si>
  <si>
    <t>QUETGLAS VALENZUELA, MIGUEL</t>
  </si>
  <si>
    <t>RAMOS RODRIGUEZ, DANIEL</t>
  </si>
  <si>
    <t>SANCHEZ BAEZ, DANIEL JAVIER</t>
  </si>
  <si>
    <t>SANTOS E SILVA CALDEIRA MARQUES, MARIA LUIS</t>
  </si>
  <si>
    <t>VICIANA TARIFE, ASIER</t>
  </si>
  <si>
    <t>ALONSO ABREU, INMACULADA</t>
  </si>
  <si>
    <t>FEA APARATO DIGESTIVO</t>
  </si>
  <si>
    <t>P.MÉDICO DIGESTIVO</t>
  </si>
  <si>
    <t>BENITEZ ZAFRA, FEDERICA</t>
  </si>
  <si>
    <t>CARRILLO PALAU, MARTA</t>
  </si>
  <si>
    <t>ADJUNTO APARATO DIGESTIVO</t>
  </si>
  <si>
    <t>DE LA BARREDA HEUSSER, RAQUEL</t>
  </si>
  <si>
    <t>GIMENO GARCIA, ANTONIO ZEBEN</t>
  </si>
  <si>
    <t>GONZALEZ ALAYON, CARLOS JONAS</t>
  </si>
  <si>
    <t>HERNANDEZ BUSTABAD, ALBERTO</t>
  </si>
  <si>
    <t>HERNANDEZ GUERRA DE AGUILAR, MANUEL NICOLA</t>
  </si>
  <si>
    <t>MORANT DOMINGUEZ, ANDREA MARIA</t>
  </si>
  <si>
    <t>PEREZ GONZALEZ, FABIOLA</t>
  </si>
  <si>
    <t>RAMOS LOPEZ, LAURA</t>
  </si>
  <si>
    <t>VERA SANTANA, BELEN DEL CAR</t>
  </si>
  <si>
    <t>FEA ENDOCRINOLOGÍA Y NUTRICIÓN</t>
  </si>
  <si>
    <t>P.MÉDICO ENDOCRINOLOGÍA</t>
  </si>
  <si>
    <t>CABALLERO FIGUEROA, AGUEDA DE LOS</t>
  </si>
  <si>
    <t>CABRERA GARCIA, PATRICIA</t>
  </si>
  <si>
    <t>DIAZ GORRIN, KEVIN DAVID</t>
  </si>
  <si>
    <t>LEON GONZALEZ, PATRICIA</t>
  </si>
  <si>
    <t>LEON OCANDO, ANA PAOLA</t>
  </si>
  <si>
    <t>LOPEZ FERNANDEZ, JUDITH</t>
  </si>
  <si>
    <t>MARQUEZ DE LA ROSA, JUAN IGNACIO</t>
  </si>
  <si>
    <t>JEFE DE SERVICIO ENDOCRINOLOGÍ</t>
  </si>
  <si>
    <t>MARTIN FOLGUERAS, TOMAS</t>
  </si>
  <si>
    <t>ADJUNTO ENDOCRINOLOGÍA Y NUTRI</t>
  </si>
  <si>
    <t>MESA SUAREZ, LAURA</t>
  </si>
  <si>
    <t>PANIZO FRA, JAVIER</t>
  </si>
  <si>
    <t>QUINTERO RODRIGUEZ, OLIVER</t>
  </si>
  <si>
    <t>RODRIGUEZ FERNANDEZ, SELENA</t>
  </si>
  <si>
    <t>RODRIGUEZ HERNANDEZ, ORVELINDO</t>
  </si>
  <si>
    <t>SANCHEZ-GALLEGO ALONSO, MACARENA</t>
  </si>
  <si>
    <t>SORIANO PERERA, PAULA</t>
  </si>
  <si>
    <t>BAEZ QUINTANA, DELIA ROSA</t>
  </si>
  <si>
    <t>JEFE DE SECCIÓN OBSTETRICIA Y</t>
  </si>
  <si>
    <t>P.MÉDICO F.I.V.</t>
  </si>
  <si>
    <t>BLANES ZAMORA, RAQUEL</t>
  </si>
  <si>
    <t>ADJUNTO OBSTETRICIA Y GINECOLO</t>
  </si>
  <si>
    <t>CORREA RANCEL, MARTA</t>
  </si>
  <si>
    <t>FERNANDEZ RODRIGUEZ, M.ARACELI</t>
  </si>
  <si>
    <t>GONZALEZ PEREZ, JONAY</t>
  </si>
  <si>
    <t>PERSONAL TÉCNICO (TIT.SUPER.)</t>
  </si>
  <si>
    <t>RODRIGUEZ DIAZ, RUBI NIEVES</t>
  </si>
  <si>
    <t>CURSO SISTEMA DE ACREDITACIÓN</t>
  </si>
  <si>
    <t>RODRIGUEZ FIESTAS, SONSOLES</t>
  </si>
  <si>
    <t>ALONSO LARRUGA, ANA</t>
  </si>
  <si>
    <t>FEA BIOQUÍMICA CLÍNICA</t>
  </si>
  <si>
    <t>P.MÉDICO FISIOLOGÍA Y BIOQUÍMI</t>
  </si>
  <si>
    <t>BARRIOS.DEL PINO, YVELISE</t>
  </si>
  <si>
    <t>FEA INMUNOLOGÍA</t>
  </si>
  <si>
    <t>CABANA RAMOS, DARIO</t>
  </si>
  <si>
    <t>DIEZ FUENTES, MARIA LUISA</t>
  </si>
  <si>
    <t>GONZALEZ DELGADO, ALEJANDRA</t>
  </si>
  <si>
    <t>KARNANI KHEMLANI, SONALI SURESH</t>
  </si>
  <si>
    <t>FARMACÉUTICO RESIDENTE DE 2º A</t>
  </si>
  <si>
    <t>LUIS LIMA, SERGIO</t>
  </si>
  <si>
    <t>MARTIN HERNANDEZ, BEATRIZ</t>
  </si>
  <si>
    <t>MEDINA GONZALEZ, LAURA</t>
  </si>
  <si>
    <t>MEDINA HERAS, SILVIA</t>
  </si>
  <si>
    <t>MEDINA VEGA, LILIAN SARAI</t>
  </si>
  <si>
    <t>PADRON MORALES, JUANA REYES</t>
  </si>
  <si>
    <t>PEREZ CEJAS, ANTONIA</t>
  </si>
  <si>
    <t>PICO PICOS, MIGUEL ANGEL</t>
  </si>
  <si>
    <t>FEA ANÁLISIS CLÍNICOS</t>
  </si>
  <si>
    <t>FARMACÉUTICO RESIDENTE DE 3º A</t>
  </si>
  <si>
    <t>SUAREZ DIAZ, ROSA MARIA</t>
  </si>
  <si>
    <t>VERA GONZALEZ, ANTONIA MARIA</t>
  </si>
  <si>
    <t>FEA GERIATRÍA</t>
  </si>
  <si>
    <t>P.MÉDICO GERIATRÍA HOSP.NORTE</t>
  </si>
  <si>
    <t>GRANDAL LEIROS, BEATRIZ</t>
  </si>
  <si>
    <t>FEA OBSTETRICIA Y GINECOLOGÍA</t>
  </si>
  <si>
    <t>P.MÉDICO GINECOLOGÍA</t>
  </si>
  <si>
    <t>ALVAREZ.DE.ROSA RODRIGUEZ, MARGARITA</t>
  </si>
  <si>
    <t>ARMAS PEREZ, MARIA DEL PIL</t>
  </si>
  <si>
    <t>BASABE PICASSO, JOSEFINA ANDR</t>
  </si>
  <si>
    <t>BORGES LOPEZ, MAR</t>
  </si>
  <si>
    <t>CARBALLO LORENZO, VERONICA JANE</t>
  </si>
  <si>
    <t>CES SILVA, LAURA</t>
  </si>
  <si>
    <t>MONITORIZACIÓN FETAL BASADA EN</t>
  </si>
  <si>
    <t>FUENTES GARRIDO, ROCIO</t>
  </si>
  <si>
    <t>GARCIA FARIÑA, SOFIA</t>
  </si>
  <si>
    <t>GARCIA RODRIGUEZ, SONIA MARIA</t>
  </si>
  <si>
    <t>GONZALEZ BELTRAN, LAURA</t>
  </si>
  <si>
    <t>GONZALEZ MARRERO, LIDIA</t>
  </si>
  <si>
    <t>GOTOR PEREZ, VICTORIA ELEN</t>
  </si>
  <si>
    <t>HERNANDEZ GUTIERREZ, PATRICIA</t>
  </si>
  <si>
    <t>MARCO JORGE, OLGA YOLANDA</t>
  </si>
  <si>
    <t>MEDINA MORALES, VICTORIA EUGE</t>
  </si>
  <si>
    <t>MENDEZ LORENZO, YURENA</t>
  </si>
  <si>
    <t>MENDOZA CRUZ, CANDELARIO</t>
  </si>
  <si>
    <t>MENDOZA ROMERO, CARMEN LORENA</t>
  </si>
  <si>
    <t>ORRIBO MORALES, OLIVIA ELENA</t>
  </si>
  <si>
    <t>PADILLA PEREZ, ANA ISABEL</t>
  </si>
  <si>
    <t>PERERA MOLINA, ANA DOLORES</t>
  </si>
  <si>
    <t>PLASENCIA ACEVEDO, MAXIMILIANO W</t>
  </si>
  <si>
    <t>RODRIGUEZ REYES, RAYSE</t>
  </si>
  <si>
    <t>RODRIGUEZ TRUJILLO, ADRIANO</t>
  </si>
  <si>
    <t>RODRIGUEZ VILLEGAS, BEATRIZ</t>
  </si>
  <si>
    <t>SUAREZ HERNANDEZ, YAIZA</t>
  </si>
  <si>
    <t>VILLALBA MARTIN, NAZARET</t>
  </si>
  <si>
    <t>BARRIOS SUVELZA, MARCELO PEDRO</t>
  </si>
  <si>
    <t>FEA HEMATOLOGIA Y HEMOTERAPIA</t>
  </si>
  <si>
    <t>P.MÉDICO HEMATOLOGÍA CLÍNICA</t>
  </si>
  <si>
    <t>BORJA GOYENECHE, CIELO DE LOS</t>
  </si>
  <si>
    <t>DIAZ LOPEZ, MARTA</t>
  </si>
  <si>
    <t>FERNANDEZ DEL CASTIL ONANDIA, PATRICIA</t>
  </si>
  <si>
    <t>GUTIERREZ MURILLO, LORENA</t>
  </si>
  <si>
    <t>IRAHETA REYES, SANDRA ELENA</t>
  </si>
  <si>
    <t>LAKHWANI LAKHWANI, SUNIL</t>
  </si>
  <si>
    <t>MARTIN MARTIN, ALEJANDRO</t>
  </si>
  <si>
    <t>PEREZ PINILLA, BELEN</t>
  </si>
  <si>
    <t>FEA HEMATOLOGÍA Y HEMOTERAPIA</t>
  </si>
  <si>
    <t>RODRIGUEZ SALAZAR, MARIA JOSE</t>
  </si>
  <si>
    <t>GONZALEZ GONZALEZ, BERNARDO JAVI</t>
  </si>
  <si>
    <t>P.MÉDICO HEMOSTASIA, HEMOT.Y B</t>
  </si>
  <si>
    <t>JEFE DE SERVICIO HEMATOLOGÍA Y</t>
  </si>
  <si>
    <t>LACALZADA HIGUERAS, CAROLINA</t>
  </si>
  <si>
    <t>FEA MEDICINA INTERNA</t>
  </si>
  <si>
    <t>P.MÉDICO INFECCIOSOS MEDICINA</t>
  </si>
  <si>
    <t>GODOY REYES, ANA MARIA</t>
  </si>
  <si>
    <t>LOPEZ LIROLA, ANA MARIA</t>
  </si>
  <si>
    <t>PEREZ HERNANDEZ, ONAN</t>
  </si>
  <si>
    <t>MARTIN SANTOS, TAIDA</t>
  </si>
  <si>
    <t>P.MÉDICO LABOR.HEMATOLOGÍA</t>
  </si>
  <si>
    <t>P.MÉDICO MED.NUCLEAR</t>
  </si>
  <si>
    <t>FEA MEDICINA NUCLEAR</t>
  </si>
  <si>
    <t>LARA MARTINEZ, MARIA FERNAND</t>
  </si>
  <si>
    <t>MEDINA ROMERO, FRANCISCO</t>
  </si>
  <si>
    <t>RAMOS RODRIGUEZ, LORENZO MANUE</t>
  </si>
  <si>
    <t>ROMERO ACEVEDO, SONIA</t>
  </si>
  <si>
    <t>VELA LEON, JAIRO FERNEY</t>
  </si>
  <si>
    <t>ALEMAN VALLS, MARIA REMEDIO</t>
  </si>
  <si>
    <t>JEFE SECCION M.ADJUNTO</t>
  </si>
  <si>
    <t>P.MÉDICO MEDICINA INTERNA</t>
  </si>
  <si>
    <t>CABAÑAS PERALES, ELISA</t>
  </si>
  <si>
    <t>DE LA PAZ ESTRELLO, ALEJANDRO MAR</t>
  </si>
  <si>
    <t>DURAN CASTELLON, MARIA DEL CAR</t>
  </si>
  <si>
    <t>FERNANDEZ ALONSO, PAULA</t>
  </si>
  <si>
    <t>MARTIN PONCE, ESTHER</t>
  </si>
  <si>
    <t>PELAZAS GONZALEZ, RICARDO</t>
  </si>
  <si>
    <t>PEREZ RAMIREZ, ALINA</t>
  </si>
  <si>
    <t>RODRIGUEZ DIAZ, DANIEL</t>
  </si>
  <si>
    <t>JEFE DE SERVICIO MEDICINA INTE</t>
  </si>
  <si>
    <t>RODRIGUEZ PEREZ, ALBA</t>
  </si>
  <si>
    <t>RODRIGUEZ RODRIGUEZ, EVA MARIA</t>
  </si>
  <si>
    <t>CALLEJON FERNANDEZ, MANUEL</t>
  </si>
  <si>
    <t>FEA MICROBIOLOGÍA Y PARASITOLO</t>
  </si>
  <si>
    <t>P.MÉDICO MICROBIOLOGÍA Y CONTR</t>
  </si>
  <si>
    <t>CAMPOS GUTIERREZ, SILVIA</t>
  </si>
  <si>
    <t>CASTRO HERNANDEZ, MARIA BEATRIZ</t>
  </si>
  <si>
    <t>CUADRADO GARCIA, BELEN</t>
  </si>
  <si>
    <t>DE GRACIA DIAZ, JOSE CARLOS</t>
  </si>
  <si>
    <t>DELGADO MELIAN, TERESITA</t>
  </si>
  <si>
    <t>HERNANDEZ PORTO, MIRIAM</t>
  </si>
  <si>
    <t>LECUONA FERNANDEZ, MARIA</t>
  </si>
  <si>
    <t>JEFE DE SERVICIO MICROBIOLOGÍA</t>
  </si>
  <si>
    <t>LOPEZ ACOSTA, DIANA CAROLIN</t>
  </si>
  <si>
    <t>LOPEZ MILLAN, CELIA</t>
  </si>
  <si>
    <t>MADUEÑO ALONSO, ANA</t>
  </si>
  <si>
    <t>MARTIN BERMUDEZ, ANA</t>
  </si>
  <si>
    <t>PEDROSO FERNANDEZ, YANET</t>
  </si>
  <si>
    <t>TOSCO NUÑEZ, TOMAS</t>
  </si>
  <si>
    <t>ALVAREZ GONZALEZ, ALEJANDRA MAX</t>
  </si>
  <si>
    <t>FEA NEFROLOGÍA</t>
  </si>
  <si>
    <t>P.MÉDICO NEFROLOGÍA</t>
  </si>
  <si>
    <t>ALVAREZ SOSA, DIEGO</t>
  </si>
  <si>
    <t>BONIS REDONDO, EDUARDO.DE</t>
  </si>
  <si>
    <t>CASTRO LOPEZ, MARIO ALEJAND</t>
  </si>
  <si>
    <t>COBO CASO, MARIA DE LOS</t>
  </si>
  <si>
    <t>DELGADO MALLEN, PATRICIA ISAB</t>
  </si>
  <si>
    <t>ESCAMILLA CABRERA, BEATRIZ</t>
  </si>
  <si>
    <t>ESTUPIÑAN TORRES, SARA</t>
  </si>
  <si>
    <t>REUNIÓN ANUAL CLUB DE NEFROPAT</t>
  </si>
  <si>
    <t>FARIÑA HERNANDEZ, ARMINDA</t>
  </si>
  <si>
    <t>FOX CONCEPCION, PATRICIA PILA</t>
  </si>
  <si>
    <t>GARCIA REBOLLO, M.SAGRARIO</t>
  </si>
  <si>
    <t>GONZALEZ RINNE, ANA MARIA</t>
  </si>
  <si>
    <t>HERNANDEZ MARRERO, DOMINGO J.</t>
  </si>
  <si>
    <t>JEFE DE SERVICIO NEFROLOGÍA</t>
  </si>
  <si>
    <t>MARRERO MIRANDA, DOMINGO</t>
  </si>
  <si>
    <t>MIQUEL RODRIGUEZ, ROSA MARIA</t>
  </si>
  <si>
    <t>PEGUERO URBANEJA, LAURA</t>
  </si>
  <si>
    <t>PEREZ TAMAJON, MARIA LOURDES</t>
  </si>
  <si>
    <t>RAMOS DE ASCANIO, CRISTINA</t>
  </si>
  <si>
    <t>RODRIGUEZ ADANERO, CONCEPCION</t>
  </si>
  <si>
    <t>RODRIGUEZ GAMBOA, MARIA JOSE</t>
  </si>
  <si>
    <t>SANCHEZ DORTA, NURIA VICTORI</t>
  </si>
  <si>
    <t>TERAN GARCIA, ELENA</t>
  </si>
  <si>
    <t>ZAMORA RODRIGUEZ, NAYARA</t>
  </si>
  <si>
    <t>ACOSTA FERNANDEZ, ORLANDO BRAUL</t>
  </si>
  <si>
    <t>FEA NEUMOLOGÍA</t>
  </si>
  <si>
    <t>P.MÉDICO NEUMOLOGÍA</t>
  </si>
  <si>
    <t>BAEZA RUIZ, ADRIAN</t>
  </si>
  <si>
    <t>CORNEJO BRITO, BETSYE</t>
  </si>
  <si>
    <t>DE LUCAS ALTABLE, SARA</t>
  </si>
  <si>
    <t>FERREIROS DE LA CAMPA, LAURA</t>
  </si>
  <si>
    <t>GALINDO MORALES, ROSA</t>
  </si>
  <si>
    <t>GONZALEZ EXPOSITO, HECTOR MANUEL</t>
  </si>
  <si>
    <t>HERNANDEZ PEREZ, PAULA ELISA</t>
  </si>
  <si>
    <t>IZAGUIRRE FLORES, HEMILY KATERI</t>
  </si>
  <si>
    <t>LLANOS GONZALEZ, ANA BELEN</t>
  </si>
  <si>
    <t>MARTIN MEDINA, ANA</t>
  </si>
  <si>
    <t>MEDINA GONZALVEZ, AGUSTIN</t>
  </si>
  <si>
    <t>MESA LEON, NELSON</t>
  </si>
  <si>
    <t>PEREZ DE ARMAS, PAULA</t>
  </si>
  <si>
    <t>SANTOS AROZARENA, DACIL</t>
  </si>
  <si>
    <t>SUAREZ TOSTE, ISABEL MARIA</t>
  </si>
  <si>
    <t>BRAGE MARTIN, LIBERTO</t>
  </si>
  <si>
    <t>FEA NEUROCIRUGÍA</t>
  </si>
  <si>
    <t>P.MÉDICO NEUROCIRUGÍA</t>
  </si>
  <si>
    <t>DONIZ GONZALEZ, AYOZE</t>
  </si>
  <si>
    <t>FARIÑA JERONIMO, HELGA</t>
  </si>
  <si>
    <t>GALILEA BENITO, PABLO</t>
  </si>
  <si>
    <t>GARCIA CONDE, MARIO</t>
  </si>
  <si>
    <t>LUCAS HERNANDEZ, CARMEN ELISA</t>
  </si>
  <si>
    <t>PEREZ ORAN, PAULA</t>
  </si>
  <si>
    <t>PLATA BELLO, JULIO MANUEL</t>
  </si>
  <si>
    <t>ROLDAN DELGADO, HECTOR</t>
  </si>
  <si>
    <t>PEREZ LORENSU, PEDRO JAVIER</t>
  </si>
  <si>
    <t>FEA NEUROFISIOLOGÍA CLÍNICA</t>
  </si>
  <si>
    <t>P.MÉDICO NEUROFISIOLOGÍA</t>
  </si>
  <si>
    <t>BARTOLOME YUMAR, ALBA ELISA</t>
  </si>
  <si>
    <t>P.MÉDICO NEUROLOGÍA</t>
  </si>
  <si>
    <t>CRESPO RODRIGUEZ, MARTA</t>
  </si>
  <si>
    <t>FEA NEUROLOGÍA</t>
  </si>
  <si>
    <t>CROISSIER ELIAS, CRISTINA</t>
  </si>
  <si>
    <t>DEL AGUILA ROMERO, SOFIA</t>
  </si>
  <si>
    <t>DUPUY ORIA, PALOMA ISABEL</t>
  </si>
  <si>
    <t>GARCIA ALVAREZ, DIONISIO MIGU</t>
  </si>
  <si>
    <t>GONZALEZ PEREZ, AMANDA</t>
  </si>
  <si>
    <t>HERNANDEZ GARCIA, MARIA JOSE</t>
  </si>
  <si>
    <t>HERNANDEZ JAVIER, CAROLINA</t>
  </si>
  <si>
    <t>IACAMPO LEIVA, LUCAS DARIO</t>
  </si>
  <si>
    <t>MILLET OVAL, MARCOS</t>
  </si>
  <si>
    <t>MORALES HERNANDEZ, CRISTIAN</t>
  </si>
  <si>
    <t>OWRANG CALVO, ISMAEL NAIM</t>
  </si>
  <si>
    <t>PADILLA LEON, DAVID ALEJAND</t>
  </si>
  <si>
    <t>PALLARES SANTOS, VANESSA</t>
  </si>
  <si>
    <t>PEREZ PEREZ, HELENA</t>
  </si>
  <si>
    <t>PUEYO MORLANS, MERCEDES PILA</t>
  </si>
  <si>
    <t>ROJO ALADRO, JOSE ANTONIO</t>
  </si>
  <si>
    <t>APARICIO PARRADO LEON, ALBA</t>
  </si>
  <si>
    <t>P.MÉDICO O.R.L.</t>
  </si>
  <si>
    <t>FEA OTORRINOLARINGOLOGÍA</t>
  </si>
  <si>
    <t>ARANBURU GARATE, MIREN</t>
  </si>
  <si>
    <t>ARIAS MARZAN, FRANCISCO</t>
  </si>
  <si>
    <t>DE LUCAS CARMONA, GEMMA</t>
  </si>
  <si>
    <t>GARCIA GONZALEZ, LUIS ANTONIO</t>
  </si>
  <si>
    <t>GARCIA PEREZ, TATIANA</t>
  </si>
  <si>
    <t>LOPEZ CAMPOS, DANIEL</t>
  </si>
  <si>
    <t>MACIAS RODRIGUEZ, DIEGO HERNAND</t>
  </si>
  <si>
    <t>MARTIN MARTIN, SILVIA</t>
  </si>
  <si>
    <t>MUÑOZ CORDERO, MARIA GABRIEL</t>
  </si>
  <si>
    <t>NAHLI YAHLOUL, MOHHAMED RIDA</t>
  </si>
  <si>
    <t>PACHECO CORONEL, ESTEBAN REINA</t>
  </si>
  <si>
    <t>PEREZ ORRIBO, ALICIA MARIA</t>
  </si>
  <si>
    <t>REDONDO VENTURA, FRANCISCO</t>
  </si>
  <si>
    <t>SACRAMENTO GARCIA, BEATRIZ</t>
  </si>
  <si>
    <t>SALOM LUCENA, MARIA CECILIA</t>
  </si>
  <si>
    <t>P.MÉDICO OBSTETRICIA</t>
  </si>
  <si>
    <t>TRUJILLO CARRILLO, JOSE LUIS</t>
  </si>
  <si>
    <t>P.MÉDICO OFTALMOLOGÍA</t>
  </si>
  <si>
    <t>ALONSO GONZALEZ, PAULA</t>
  </si>
  <si>
    <t>ANGEL PEREIRA, DENISSE</t>
  </si>
  <si>
    <t>ARMAS DOMINGUEZ, KARINTIA</t>
  </si>
  <si>
    <t>ARTEAGA HENRIQUEZ, CARLA</t>
  </si>
  <si>
    <t>ARTEAGA HERNANDEZ, VICTOR JAVIER</t>
  </si>
  <si>
    <t>JEFE DE SECCIÓN OFTALMOLOGÍA</t>
  </si>
  <si>
    <t>BLASCO ALBERTO, ANDRES</t>
  </si>
  <si>
    <t>XVIII CONGRESO SOCIEDAD ESPAÑO</t>
  </si>
  <si>
    <t>BRAVO LJUBETIC, LUCIANO ANDRE</t>
  </si>
  <si>
    <t>CABEZAS MONJAS, ELENA</t>
  </si>
  <si>
    <t>CORDOVES DORTA, LUIS MATEO</t>
  </si>
  <si>
    <t>DIAZ ALEMAN, VALENTIN TING</t>
  </si>
  <si>
    <t>DIAZ DE AGUILAR OSONA, MARIA</t>
  </si>
  <si>
    <t>GOMEZ PERERA, SANDRA</t>
  </si>
  <si>
    <t>HEREDIA FRIAS, ANA</t>
  </si>
  <si>
    <t>LARRAÑAGA FRAGOSO, PAULA CRISTIN</t>
  </si>
  <si>
    <t>LIMA MODINO, LAURA ANDREA</t>
  </si>
  <si>
    <t>LOPEZ DELGADO, DAVID</t>
  </si>
  <si>
    <t>MANTOLAN SARMIENTO, CRISTINA</t>
  </si>
  <si>
    <t>JEFE DE SERVICIO OFTALMOLOGÍA</t>
  </si>
  <si>
    <t>MARTIN BARRERA, FERNANDO MANU</t>
  </si>
  <si>
    <t>MARTIN GUTIERREZ, PAULA</t>
  </si>
  <si>
    <t>MEDINA MESA, ERICA</t>
  </si>
  <si>
    <t>MESA LUGO, FATIMA IRENE</t>
  </si>
  <si>
    <t>REBOSO PRIETO, GERARDO JOSE</t>
  </si>
  <si>
    <t>RECUERDA HERNANDEZ, MARGARITA</t>
  </si>
  <si>
    <t>REYES GALLARDO, LUIS</t>
  </si>
  <si>
    <t>RODRIGUEZ MARRERO, SARA</t>
  </si>
  <si>
    <t>RODRIGUEZ TALAVERA, IVAN</t>
  </si>
  <si>
    <t>SANCHEZ-GIJON GONZALEZ-MORO, MANUEL</t>
  </si>
  <si>
    <t>TAPIA QUIJADA, HUGO ERNESTO</t>
  </si>
  <si>
    <t>FEA ONCOLOGÍA MÉDICA</t>
  </si>
  <si>
    <t>P.MÉDICO ONCOLOGÍA MÉDICA</t>
  </si>
  <si>
    <t>ALONSO ALVAREZ, BEATRIZ EFIGE</t>
  </si>
  <si>
    <t>ESMO GASTROINTESTINAL CANCERS</t>
  </si>
  <si>
    <t>ARMAS GONZALEZ, ALBA</t>
  </si>
  <si>
    <t>CEBALLOS LENZA, ISAAC</t>
  </si>
  <si>
    <t>SAN ANTONIO BREAST CANCER SYMP</t>
  </si>
  <si>
    <t>CRUZ JURADO, JOSEFINA</t>
  </si>
  <si>
    <t>DE PALMA CASTILLO, FEDERICO</t>
  </si>
  <si>
    <t>GARCIA MARRERO, ROSA DELIA</t>
  </si>
  <si>
    <t>LLANOS MUÑOZ, MARTA</t>
  </si>
  <si>
    <t>MARTIN ABREU, CARLA MARIA</t>
  </si>
  <si>
    <t>MARTIN CALERO, BRAULIO</t>
  </si>
  <si>
    <t>ORAMAS RODRIGUEZ, JUANA MARIA</t>
  </si>
  <si>
    <t>JEFE DE SERVICIO ONCOLOGÍA MÉD</t>
  </si>
  <si>
    <t>EUROPEAN LUNG CANCER CONGRESS</t>
  </si>
  <si>
    <t>PEREZ FERNANDEZ, SERGIO</t>
  </si>
  <si>
    <t>RODRIGUEZ MORON, VALLE</t>
  </si>
  <si>
    <t>VARMA BHATIA, SONAL</t>
  </si>
  <si>
    <t>FEA PEDIATRÍA</t>
  </si>
  <si>
    <t>P.MÉDICO PEDIATRÍA</t>
  </si>
  <si>
    <t>BLANCO CASTILLA, IRENE</t>
  </si>
  <si>
    <t>CAPARROS NIETO, ANA BELEN</t>
  </si>
  <si>
    <t>CASTRO MILLAN, ANA MARIA</t>
  </si>
  <si>
    <t>CASTRO RODRIGUEZ, LAURA</t>
  </si>
  <si>
    <t>CERRUDO BORGES, PATRICIA</t>
  </si>
  <si>
    <t>CHINCHILLA HERNANDEZ, ALBA</t>
  </si>
  <si>
    <t>COBO COSTA, ALEJANDRO</t>
  </si>
  <si>
    <t>DEL BRIO CASTILLO, RODRIGO</t>
  </si>
  <si>
    <t>DIAZ GARCIA, ALEJANDRA</t>
  </si>
  <si>
    <t>DIAZ GONZALEZ, CANDELARIA LE</t>
  </si>
  <si>
    <t>DIAZ SANCHEZ, ELISABETH</t>
  </si>
  <si>
    <t>ESCALADA PELLITERO, SILVIA</t>
  </si>
  <si>
    <t>ESCOLANO DIEZ, LAURA</t>
  </si>
  <si>
    <t>FERNANDEZ SARABIA, JAVIER</t>
  </si>
  <si>
    <t>FRAGA BILBAO, FATIMA EULALI</t>
  </si>
  <si>
    <t>GARCIA FARIÑA, MONICA</t>
  </si>
  <si>
    <t>GARNIER RODRIGUEZ, MARIA BEATRIZ</t>
  </si>
  <si>
    <t>GARRIGA FERRER BERGUA, LUCIA</t>
  </si>
  <si>
    <t>GOMEZ PERERA, RAQUEL</t>
  </si>
  <si>
    <t>GONZALEZ CRUZ, MACARENA</t>
  </si>
  <si>
    <t>GONZALEZ SALCEDO, CECILIA</t>
  </si>
  <si>
    <t>GUERRA MARTIN, VICTORIA EUGE</t>
  </si>
  <si>
    <t>MACHUCA CARMONA, RAFAEL ANGEL</t>
  </si>
  <si>
    <t>MARTIN RIVADA, ALVARO</t>
  </si>
  <si>
    <t>MEDEROS RODRIGUEZ, ANDREA</t>
  </si>
  <si>
    <t>MOLINA SUAREZ, RUTH</t>
  </si>
  <si>
    <t>MURRAY HURTADO, MERCEDES</t>
  </si>
  <si>
    <t>OSTERHELD , ELISE</t>
  </si>
  <si>
    <t>OVEJERO GARCIA, MARIA TERESA</t>
  </si>
  <si>
    <t>PALENZUELA AFONSO, BEATRIZ</t>
  </si>
  <si>
    <t>RUIZ ALCANTARA, MARIA DEL PIL</t>
  </si>
  <si>
    <t>SAEZ GALLEGO, BLANCA</t>
  </si>
  <si>
    <t>SALVADOR CAÑIBANO, MARIA</t>
  </si>
  <si>
    <t>SANCHO PASCUAL, ANA</t>
  </si>
  <si>
    <t>VELASCO GONZALEZ, MARIA DEL VAL</t>
  </si>
  <si>
    <t>ADJUNTO PEDIATRÍA</t>
  </si>
  <si>
    <t>VILLANUEVA ACCAME, MARIA VICTORI</t>
  </si>
  <si>
    <t>CASTRO CONDE, JOSE RAMON</t>
  </si>
  <si>
    <t>P.MÉDICO PREMATUROS</t>
  </si>
  <si>
    <t>GONZALEZ BRAVO, MARIA NIEVES</t>
  </si>
  <si>
    <t>GONZALEZ CAMPO, CANDELARIA</t>
  </si>
  <si>
    <t>NIEMBRO MENDEZ, ADRIAN</t>
  </si>
  <si>
    <t>ROCAMORA SALORT, SANDRA</t>
  </si>
  <si>
    <t>SIERRA SAN NICOLAS, SARA</t>
  </si>
  <si>
    <t>APARICIO DOMINGUEZ, ALICIA</t>
  </si>
  <si>
    <t>P.MÉDICO PSIQUIATRÍA</t>
  </si>
  <si>
    <t>ARRANZ MARTINEZ, MONTSERRAT</t>
  </si>
  <si>
    <t>BAEZ MARRERO, CLAUDIA</t>
  </si>
  <si>
    <t>BALSA GARCIA, MARIA</t>
  </si>
  <si>
    <t>CASANOVA GRACIA, NATALIA</t>
  </si>
  <si>
    <t>CEJAS MENDEZ, MARIA DEL ROS</t>
  </si>
  <si>
    <t>CRIADO GUTIERREZ, ILENE ADRIANA</t>
  </si>
  <si>
    <t>DE LEON HERNANDEZ, RAQUEL</t>
  </si>
  <si>
    <t>PSICÓLOGO RESIDENTE DE 1º AÑO</t>
  </si>
  <si>
    <t>PSICÓLOGO RESIDENTE DE 2º AÑO</t>
  </si>
  <si>
    <t>DIAZ MARRERO, GORETTI</t>
  </si>
  <si>
    <t>DIAZ MARTINEZ, INOCENCIO</t>
  </si>
  <si>
    <t>DIAZ MESA, ESTEFANIA</t>
  </si>
  <si>
    <t>FERRANDO GARCIA, ANGEL MARIA</t>
  </si>
  <si>
    <t>FILGUEIRA ABEIJON, LORENA</t>
  </si>
  <si>
    <t>GARCIA GOMEZ-PAMO, FERNANDO JESU</t>
  </si>
  <si>
    <t>GARCIA-VALDECASAS CAMPELO, JOSE MARIA</t>
  </si>
  <si>
    <t>GIL HERNANDEZ, JUAN CARLOS</t>
  </si>
  <si>
    <t>GONZALEZ RODRIGUEZ, GABRIELA PATR</t>
  </si>
  <si>
    <t>HAMILTON LOPEZ, ANA MARIA</t>
  </si>
  <si>
    <t>MORENO GONZALEZ, IVAN ZEBENZUI</t>
  </si>
  <si>
    <t>PSICÓLOGO RESIDENTE DE 3º AÑO</t>
  </si>
  <si>
    <t>PSICÓLOGO RESIDENTE DE 4º AÑO</t>
  </si>
  <si>
    <t>PANIAGUA GONZALEZ, MIGUEL</t>
  </si>
  <si>
    <t>PAZ LOPEZ, MARIA</t>
  </si>
  <si>
    <t>PERAZA PERERA, ROMINA</t>
  </si>
  <si>
    <t>PEREZ SAGASETA DE ILURDOZ, IRENE</t>
  </si>
  <si>
    <t>QUANDT HERRERA, PATRICIA</t>
  </si>
  <si>
    <t>ROCH LOPEZ, IRENE</t>
  </si>
  <si>
    <t>RODRIGUEZ GAMITO, MARIA DEL CAR</t>
  </si>
  <si>
    <t>RODRIGUEZ HERRERA, YASMINA</t>
  </si>
  <si>
    <t>RUIZ QUINTANAL, LAURA</t>
  </si>
  <si>
    <t>SANCHEZ PAVESI, ANDRES LEANDR</t>
  </si>
  <si>
    <t>SANGINES YZZO, MARIELLA</t>
  </si>
  <si>
    <t>SUAREZ BENITEZ, MARIA DE LAS</t>
  </si>
  <si>
    <t>TEJERA ALVAREZ, SILVIA ALICIA</t>
  </si>
  <si>
    <t>VILLARINO HERNANDEZ, VALERIA</t>
  </si>
  <si>
    <t>YANES SANCHEZ, CLAUDIA</t>
  </si>
  <si>
    <t>YELMO CRUZ, SILVIA</t>
  </si>
  <si>
    <t>BASO PEREZ, CELIA</t>
  </si>
  <si>
    <t>P.MÉDICO RADIODIAGNÓSTICO</t>
  </si>
  <si>
    <t>BATISTA MARTIN, DANIEL</t>
  </si>
  <si>
    <t>FEA RADIODIAGNÓSTICO</t>
  </si>
  <si>
    <t>CHICO GONZALEZ, TANIA MARLEM</t>
  </si>
  <si>
    <t>DIAZ ACOSTA, TERESA</t>
  </si>
  <si>
    <t>FARFAN LEAL, FRANK ERIC</t>
  </si>
  <si>
    <t>GARCIA HERNANDEZ, OLGA MARIA</t>
  </si>
  <si>
    <t>HERNANDEZ PONCE, JUAN ANTONIO</t>
  </si>
  <si>
    <t>KOY SALIDO, GINES KUSAL</t>
  </si>
  <si>
    <t>LOPEZ GARCIA, JORGE ARGIMIR</t>
  </si>
  <si>
    <t>JEFE DE SECCIÓN RADIODIAGNÓSTI</t>
  </si>
  <si>
    <t>PEREZ BRITO, CARMEN NIEVES</t>
  </si>
  <si>
    <t>PORRAS HERNANDEZ, AREUSA</t>
  </si>
  <si>
    <t>RAMIREZ QUESADA, MIGUEL ANGEL</t>
  </si>
  <si>
    <t>SANCHEZ LORENZO-CACERES, MARIA BEATRIZ</t>
  </si>
  <si>
    <t>VILLAZON IGLESIAS, CARLOS</t>
  </si>
  <si>
    <t>VALLES GONZALEZ, HELIODORO</t>
  </si>
  <si>
    <t>P.MÉDICO RADIOL.VASCULAR INTER</t>
  </si>
  <si>
    <t>P.MÉDICO RADIOTERAPIA</t>
  </si>
  <si>
    <t>XXII CONGRESO SOCIEDAD ESPAÑOL</t>
  </si>
  <si>
    <t>BLANCO SANCHEZ, LAURA</t>
  </si>
  <si>
    <t>FEA ONCOLOGÍA RADIOTERÁPICA</t>
  </si>
  <si>
    <t>CAÑO BERMUDEZ, RODRIGO AARON</t>
  </si>
  <si>
    <t>CASTRO FERRAZ, HELENA</t>
  </si>
  <si>
    <t>DOLADO CORREA, MARIA DEL CAR</t>
  </si>
  <si>
    <t>GARRIDO BRETON, CARLOS</t>
  </si>
  <si>
    <t>FEA RADIOFÍSICA HOSPITALARIA</t>
  </si>
  <si>
    <t>KEITUQWA YAÑEZ, NART</t>
  </si>
  <si>
    <t>OTON SANCHEZ, LUIS FERNANDO</t>
  </si>
  <si>
    <t>PEÑATE GONZALEZ, JOSE GILBERTO</t>
  </si>
  <si>
    <t>RODRIGUEZ CHIMENO, GONZALO</t>
  </si>
  <si>
    <t>VERGEZ MUÑOZ, ADOLFO ALFRED</t>
  </si>
  <si>
    <t>FEA MEDICINA FÍSICA Y REHABILI</t>
  </si>
  <si>
    <t>P.MÉDICO REHABILITACIÓN</t>
  </si>
  <si>
    <t>CRUZ CHAMBER, CRISTINA</t>
  </si>
  <si>
    <t>ADJUNTO MEDICINA FÍSICA Y REHA</t>
  </si>
  <si>
    <t>GARCES GONZALEZ, MARIA DEL MAR</t>
  </si>
  <si>
    <t>GONZALEZ CARRILLO, JORGE</t>
  </si>
  <si>
    <t>HERNANDEZ MORALES, FRANCISCO JAV</t>
  </si>
  <si>
    <t>MONJE CHICO, MARIA JOSE</t>
  </si>
  <si>
    <t>MUÑOZ BARTELS, JUAN CARLOS</t>
  </si>
  <si>
    <t>NIETO HORNES, JOSE LUIS</t>
  </si>
  <si>
    <t>SOSA TOLOSA DEL.VALLE, FRANCISCO</t>
  </si>
  <si>
    <t>UNZURRUNZAGA ITURBE, AMAIA</t>
  </si>
  <si>
    <t>VELAZQUEZ FRAGOSO, RAUL</t>
  </si>
  <si>
    <t>AZNAR ESQUIVEL, ANTONIO JENAR</t>
  </si>
  <si>
    <t>FEA REUMATOLOGÍA</t>
  </si>
  <si>
    <t>P.MÉDICO REUMATOLOGÍA</t>
  </si>
  <si>
    <t>BETHENCOURT BAUTE, JUAN JOSE</t>
  </si>
  <si>
    <t>EUROPEAN CONGRESS OF RHEUMATOL</t>
  </si>
  <si>
    <t>DIAZ GONZALEZ, JOSE FEDERICO</t>
  </si>
  <si>
    <t>JEFE DE SERVICIO REUMATOLOGÍA</t>
  </si>
  <si>
    <t>EXPOSITO PEREZ, LORENA</t>
  </si>
  <si>
    <t>FERRAZ AMARO, IVAN ALEJANDR</t>
  </si>
  <si>
    <t>FLORES RODRIGUEZ, VALERIANO MIG</t>
  </si>
  <si>
    <t>GARCIA DORTA, ALICIA MARIA</t>
  </si>
  <si>
    <t>GARCIA GONZALEZ, MARIA</t>
  </si>
  <si>
    <t>GARCIA HERNANDEZ, JOSE CARLOS</t>
  </si>
  <si>
    <t>HERNANDEZ DIAZ, MARTA</t>
  </si>
  <si>
    <t>HERNANDEZ HERNANDEZ, MARIA VANESA</t>
  </si>
  <si>
    <t>MARTINEZ GONZALEZ, CRISTINA</t>
  </si>
  <si>
    <t>ORAMAS MARCO, CRISTINA</t>
  </si>
  <si>
    <t>RODRIGUEZ LOZANO, MARIA BEATRIZ</t>
  </si>
  <si>
    <t>SANCHEZ PEREZ, HIURMA</t>
  </si>
  <si>
    <t>TRUJILLO MARTIN, ELISA</t>
  </si>
  <si>
    <t>VIOTTI SERRA, JOSE MARIA</t>
  </si>
  <si>
    <t>ALVAREZ BENITO, NURIA</t>
  </si>
  <si>
    <t>FEA CIRUGÍA ORTOPÉDICA Y TRAUM</t>
  </si>
  <si>
    <t>P.MÉDICO TRAUMA</t>
  </si>
  <si>
    <t>AMAYA ESPINOSA, PATRICIA</t>
  </si>
  <si>
    <t>AYALA RODRIGO, MARIA DE LOS</t>
  </si>
  <si>
    <t>BOLUDA MENGOD, JUAN</t>
  </si>
  <si>
    <t>CORTES GARCIA, PEDRO ALFONSO</t>
  </si>
  <si>
    <t>JEFE DE SECCIÓN CIRUGÍA ORTOPÉ</t>
  </si>
  <si>
    <t>DENIZ RODRIGUEZ, BERNABE RAFAE</t>
  </si>
  <si>
    <t>FERNANDEZ ROVIRA, MARIA TRINIDA</t>
  </si>
  <si>
    <t>GONZALEZ CASAMAYOR, SERGIO</t>
  </si>
  <si>
    <t>HERRERA PEREZ, MARIO ULISES</t>
  </si>
  <si>
    <t>HERRERA RODRIGUEZ, ALEJANDRO</t>
  </si>
  <si>
    <t>LINARES YANES, FERNANDO</t>
  </si>
  <si>
    <t>MACHADO OLAVARRIA, LUIS ENRIQUE</t>
  </si>
  <si>
    <t>MARIN FLORES, ALVARO</t>
  </si>
  <si>
    <t>MARQUEZ MARFIL, FRANCISCO JES</t>
  </si>
  <si>
    <t>JEFE DE SERVICIO CIRUGÍA ORTOP</t>
  </si>
  <si>
    <t>MARRERO HERNANDEZ, ALBA</t>
  </si>
  <si>
    <t>MARTIN HERRERO, MARIA AZUCENA</t>
  </si>
  <si>
    <t>MARTIN VELEZ, PABLO</t>
  </si>
  <si>
    <t>MENDEZ OJEDA, MARYE MERCE</t>
  </si>
  <si>
    <t>MORALES DAVILA, JULIO CESAR</t>
  </si>
  <si>
    <t>MORALES MATA, EDUARDO</t>
  </si>
  <si>
    <t>MORALES PEREZ, EDUARDO</t>
  </si>
  <si>
    <t>OJEDA JIMENEZ, JORGE</t>
  </si>
  <si>
    <t>OLIAS LOPEZ, BEATRIZ</t>
  </si>
  <si>
    <t>PAIS BRITO, JOSE LUIS</t>
  </si>
  <si>
    <t>PEREZ GARCIA, EVA MARIA</t>
  </si>
  <si>
    <t>RENDON DIAZ, DIEGO ALEJAND</t>
  </si>
  <si>
    <t>SANCHEZ HERNANDEZ, PATRICIA</t>
  </si>
  <si>
    <t>SANTANA BETANCORT, ARIADNA</t>
  </si>
  <si>
    <t>CURSO TEÓRICO-PRÁCTICO ABORDAJ</t>
  </si>
  <si>
    <t>SOLANO MIRANDA, DAVID</t>
  </si>
  <si>
    <t>VILLANUEVA GARCIA, FRANCISCO JAV</t>
  </si>
  <si>
    <t>P.MÉDICO U.V.I:</t>
  </si>
  <si>
    <t>CABRERA RIVERO, JUDITH</t>
  </si>
  <si>
    <t>CORREA GUTIERREZ, PABLO JESUS</t>
  </si>
  <si>
    <t>GARCIA MARTIN, CAROLINA</t>
  </si>
  <si>
    <t>GONZALEZ HERNANDEZ, OSWALDO JESUS</t>
  </si>
  <si>
    <t>GONZALEZ MESA, ADRIANA</t>
  </si>
  <si>
    <t>GONZALEZ ROMERO, LUCAS</t>
  </si>
  <si>
    <t>JIMENEZ RIVERA, JUAN JOSE</t>
  </si>
  <si>
    <t>LOPEZ FAJARDO, PATRICIA</t>
  </si>
  <si>
    <t>LORENZO GARCIA, JOSE MANUEL</t>
  </si>
  <si>
    <t>LORENZO PEÑA, LISSET</t>
  </si>
  <si>
    <t>PIMENTEL GONZALEZ, JESUS MANUEL</t>
  </si>
  <si>
    <t>RAJA YANES, LORENA</t>
  </si>
  <si>
    <t>RAMOS DEL RIO, ALEJANDRO</t>
  </si>
  <si>
    <t>ROSADO MUÑOZ, CRISTINA</t>
  </si>
  <si>
    <t>VIERA ROSALES, SANTIAGO</t>
  </si>
  <si>
    <t>PEREZ MARTIN, ELISA</t>
  </si>
  <si>
    <t>P.MÉDICO UDAD.HOSP.A DOMICILIO</t>
  </si>
  <si>
    <t>P.MÉDICO UROLOGÍA</t>
  </si>
  <si>
    <t>CEREIJO TEJEDOR, DANIEL</t>
  </si>
  <si>
    <t>FEA UROLOGÍA</t>
  </si>
  <si>
    <t>CONCEPCION MASIP, TOMAS</t>
  </si>
  <si>
    <t>JEFE DE SERVICIO UROLOGÍA</t>
  </si>
  <si>
    <t>GIUNCO , LORENZO</t>
  </si>
  <si>
    <t>GUTIERREZ HIDALGO, BEATRIZ</t>
  </si>
  <si>
    <t>HERNANDEZ HERNANDEZ, DAVID</t>
  </si>
  <si>
    <t>HOFMANN , CATALINA</t>
  </si>
  <si>
    <t>MUÑIZ SUAREZ, LAURA</t>
  </si>
  <si>
    <t>PLATA BELLO, ANA CRISTINA</t>
  </si>
  <si>
    <t>RAMOS GUTIERREZ, VICTOR JAVIER</t>
  </si>
  <si>
    <t>TAMAYO JOVER, MARCO ANTONIO</t>
  </si>
  <si>
    <t>BETANCOR GARCIA, INES</t>
  </si>
  <si>
    <t>P.TEC.SUP.DE FARMACIA</t>
  </si>
  <si>
    <t>BULLEJOS MOLINA, MARINA</t>
  </si>
  <si>
    <t>FEA FARMACIA HOSPITALARIA</t>
  </si>
  <si>
    <t>CANTARELLI , LORENZO</t>
  </si>
  <si>
    <t>GARCIA GIL, SARA</t>
  </si>
  <si>
    <t>GUTIERREZ NICOLAS, FERNANDO</t>
  </si>
  <si>
    <t>MARTIN LOPEZ, ARIANA</t>
  </si>
  <si>
    <t>MARTINEZ-PINNA FERNANDEZ-CRIADO, MIGUEL</t>
  </si>
  <si>
    <t>NAVARRO DAVILA, MARCO ANTONIO</t>
  </si>
  <si>
    <t>NAZCO CASARIEGO, GLORIA JULIA</t>
  </si>
  <si>
    <t>JEFE DE SERVICIO FARMACIA HOSP</t>
  </si>
  <si>
    <t>FARMACÉUTICO RESIDENTE DE 4º A</t>
  </si>
  <si>
    <t>PEREZ MARTIN, CRISTO YARED</t>
  </si>
  <si>
    <t>PEREZ REYES, SERGIO</t>
  </si>
  <si>
    <t>ROMERO DELGADO, CRISTINA</t>
  </si>
  <si>
    <t>DIAZ-FLORES ESTEVEZ, FELICITAS M.</t>
  </si>
  <si>
    <t>SUBDIRECTOR MÉDICO ATENCION ES</t>
  </si>
  <si>
    <t>SUBDIRECCIÓN MÉDICA</t>
  </si>
  <si>
    <t>JUAN JIMENEZ, MARIA ANGELES</t>
  </si>
  <si>
    <t>RAYA SANCHEZ, JOSE MARIA</t>
  </si>
  <si>
    <t>SANCHEZ PEREZ, MARIA JOSE</t>
  </si>
  <si>
    <t>UDAD.DE INVESTIGACION</t>
  </si>
  <si>
    <t>HERNANDEZ GONZALEZ, MIGUEL</t>
  </si>
  <si>
    <t>UDAD.SALUD MENTAL DE LA LAGUNA</t>
  </si>
  <si>
    <r>
      <rPr>
        <b/>
        <sz val="11"/>
        <color rgb="FF000000"/>
        <rFont val="Calibri"/>
        <family val="2"/>
        <charset val="1"/>
      </rPr>
      <t>Descontado:</t>
    </r>
    <r>
      <rPr>
        <sz val="11"/>
        <color rgb="FF000000"/>
        <rFont val="Calibri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>Horas descontadas en nómina por no justificar el permiso autorizado dentro del plazo establecido.</t>
    </r>
  </si>
  <si>
    <t>ENFERMERA/O</t>
  </si>
  <si>
    <t>AREA ENFERMERIA - HN - CAE ICO</t>
  </si>
  <si>
    <t>FISIOTERAPEUTA</t>
  </si>
  <si>
    <t>SUPERVISOR/A DE UNIDAD</t>
  </si>
  <si>
    <t>HERRERA MESA, ROBERTO</t>
  </si>
  <si>
    <t>AREA.ENFERMERIA - CAE LA OROTA</t>
  </si>
  <si>
    <t>LOGOPEDA</t>
  </si>
  <si>
    <t>AREA.ENFERMERIA - CAE PTO.DE L</t>
  </si>
  <si>
    <t>LEON CABRERA, DIAMELA</t>
  </si>
  <si>
    <t>VENEGAS ANTEQUERA, FRANCISCA</t>
  </si>
  <si>
    <t>BLOQUE QUIRURGICO CENTRAL</t>
  </si>
  <si>
    <t>CARNEIRO CARO, ANA BELEN</t>
  </si>
  <si>
    <t>MÁSTER EN TÉCNICAS DE PERFUSIÓ</t>
  </si>
  <si>
    <t>PEREZ RODRIGUEZ, TAMARA</t>
  </si>
  <si>
    <t>CAMARA HIPERBARICA (PL.BAJA C.</t>
  </si>
  <si>
    <t>DORTA MARTIN, MIRIAM</t>
  </si>
  <si>
    <t>CONSULTA CARDIOLOGÍA</t>
  </si>
  <si>
    <t>MEDINA CHICO, JOSE SERGIO</t>
  </si>
  <si>
    <t>RODRIGUEZ GARCIA, ELENA</t>
  </si>
  <si>
    <t>BARROSO MENDEZ, FRANCISCO JAV</t>
  </si>
  <si>
    <t>CONSULTA CIRUG.VASCULAR, ANGIO</t>
  </si>
  <si>
    <t>SOSA JIMENEZ, MARIA DEL CAR</t>
  </si>
  <si>
    <t>CONSULTA DERMATOLOGÍA</t>
  </si>
  <si>
    <t>PEREZ LORENZO, MARIA NAYBET</t>
  </si>
  <si>
    <t>CONSULTA DIGESTIVO</t>
  </si>
  <si>
    <t>AUXILIAR DE ENFERMERÍA</t>
  </si>
  <si>
    <t>ESTEVEZ RODRIGUEZ, JOSE LUIS</t>
  </si>
  <si>
    <t>CONSULTA NEUMOLOGÍA</t>
  </si>
  <si>
    <t>LABRADOR HERNANDEZ, ANTONIA MARIA</t>
  </si>
  <si>
    <t>MEDINA ALVAREZ, NOEMI</t>
  </si>
  <si>
    <t>HERNANDEZ EXPOSITO, TERESA</t>
  </si>
  <si>
    <t>CONSULTA PEDIATRIA</t>
  </si>
  <si>
    <t>REGUEIRA RODRIGUEZ, SARAI</t>
  </si>
  <si>
    <t>ENFERMERA/O ESPECIALISTA EN EN</t>
  </si>
  <si>
    <t>RODRIGO FUENTES, MARIA EUGENIA</t>
  </si>
  <si>
    <t>CONSULTA REUMATOLOGÍA</t>
  </si>
  <si>
    <t>RODRIGUEZ VARGAS, ANA ISABEL</t>
  </si>
  <si>
    <t>GONZALEZ HERRERA, MARIA DESIREE</t>
  </si>
  <si>
    <t>DIETÉTICA Y NUTRICIÓN</t>
  </si>
  <si>
    <t>XXXIII CONGRESO NACIONAL TÉCNI</t>
  </si>
  <si>
    <t>HERNANDEZ HERNANDEZ, LEONOR</t>
  </si>
  <si>
    <t>39 CONGRESO NACIONAL SOCIEDAD</t>
  </si>
  <si>
    <t>LEDESMA MACHADO, JUANA DEL CAR</t>
  </si>
  <si>
    <t>PEREZ MARTIN, YAIZA</t>
  </si>
  <si>
    <t>RODRIGUEZ SUAREZ, MARIA CONCEPC</t>
  </si>
  <si>
    <t>TORT CURSELLAS, LOURDES</t>
  </si>
  <si>
    <t>VIERA VERA, RAQUEL</t>
  </si>
  <si>
    <t>MORA HERNANDEZ, OSCAR</t>
  </si>
  <si>
    <t>DIRECTOR DE ENFERMERÍA ATENCIÓ</t>
  </si>
  <si>
    <t>DIRECCIÓN ENFERMERÍA</t>
  </si>
  <si>
    <t>TÉCNICO ESPECIALISTA RADIOTERA</t>
  </si>
  <si>
    <t>EXPLORAC.RADIOTERAPIA</t>
  </si>
  <si>
    <t>PAEZ ALVAREZ, CHRISTIAN</t>
  </si>
  <si>
    <t>FORMACIÓN PERMANENTE ENFERMERÍ</t>
  </si>
  <si>
    <t>ARVELO RODRIGUEZ, YAIZA MARIA</t>
  </si>
  <si>
    <t>CASTELLANO MENDOZA, RUTH</t>
  </si>
  <si>
    <t>FERNANDEZ MENDEZ, FELIPE SANTIA</t>
  </si>
  <si>
    <t>GONZALEZ DARIAS, AYTHAMY</t>
  </si>
  <si>
    <t>MELIAN MORA, ISMAEL NOAH</t>
  </si>
  <si>
    <t>GIMNASIO REHABILITACION</t>
  </si>
  <si>
    <t>BARRETO MARRERO, PATRICIA</t>
  </si>
  <si>
    <t>TERAPEUTA OCUPACIONAL</t>
  </si>
  <si>
    <t>DELGADO RODRIGUEZ, MARIA SONIA</t>
  </si>
  <si>
    <t>GIL SANTANA, LAURA AITAMI</t>
  </si>
  <si>
    <t>GONZALEZ MONTAÑEZ, CAROLINA</t>
  </si>
  <si>
    <t>GUILLEN ABOS, TERESA</t>
  </si>
  <si>
    <t>LINARES TAVIO, ENCARNACION D</t>
  </si>
  <si>
    <t>ORRIOS GARCIA, INES</t>
  </si>
  <si>
    <t>PADRON AFONSO, ISAAC</t>
  </si>
  <si>
    <t>RODRIGUEZ MARTIN, SAMUEL</t>
  </si>
  <si>
    <t>VOLLMER MONSERRAT, MARIA DEL ROS</t>
  </si>
  <si>
    <t>BENITEZ GONZALEZ, REBECA</t>
  </si>
  <si>
    <t>H.DIA POLIVALENTE - CITOSTATIC</t>
  </si>
  <si>
    <t>CARRIO PUERTA, ANA TERESA</t>
  </si>
  <si>
    <t>GONZALEZ SANCHEZ, SONIA</t>
  </si>
  <si>
    <t>HERNANDEZ HERNANDEZ, MARIA GORETTI</t>
  </si>
  <si>
    <t>PADRON PEÑA, MARIA DEL PIL</t>
  </si>
  <si>
    <t>BETHENCOURT PADILLA, ABRAHAM</t>
  </si>
  <si>
    <t>HOSPIT.DIA INFEC.MED.INTERNA</t>
  </si>
  <si>
    <t>HERNANDEZ HERNANDEZ, MARIA INMACUL</t>
  </si>
  <si>
    <t>SOTO PEREZ, PATRICIA</t>
  </si>
  <si>
    <t>HOSPITAL DIA HEMATOLOGIA CLÍNI</t>
  </si>
  <si>
    <t>HOSPITAL. PREMATUROS</t>
  </si>
  <si>
    <t>GUILLEN ABOS, GEMA</t>
  </si>
  <si>
    <t>MARRERO LOPEZ, LAURA</t>
  </si>
  <si>
    <t>MEDINA PAZ, MARIA DACIL</t>
  </si>
  <si>
    <t>RODRIGUEZ CAÑADAS, MARIA JOSE</t>
  </si>
  <si>
    <t>GONZALEZ MARTIN, DENISSE</t>
  </si>
  <si>
    <t>HOSPITAL. U.C.S.I.</t>
  </si>
  <si>
    <t>ARENAS JARA, MIRIAM</t>
  </si>
  <si>
    <t>VEGA GONZALEZ, JESUS</t>
  </si>
  <si>
    <t>LAB.HEMOT.Y BCO.SANGRE</t>
  </si>
  <si>
    <t>BONILLA GARCIA, JUAN M.</t>
  </si>
  <si>
    <t>RODRIGUEZ BAUTE, DACIL</t>
  </si>
  <si>
    <t>ROSQUETE AFONSO, GUILLERMO</t>
  </si>
  <si>
    <t>LABOR.DE MICROBIOLOGIA Y CONTR</t>
  </si>
  <si>
    <t>TÉCNICO ESPECIALISTA LABORATOR</t>
  </si>
  <si>
    <t>DIAZ DIAZ, YURENA</t>
  </si>
  <si>
    <t>LABORATORIO CENTRAL</t>
  </si>
  <si>
    <t>BELLO GUTIERREZ, OSCAR</t>
  </si>
  <si>
    <t>BOTIN CASTRO, RITA MARGARET</t>
  </si>
  <si>
    <t>GARCIA HERRERA, NAYRA</t>
  </si>
  <si>
    <t>MEDICINA DEL DOLOR</t>
  </si>
  <si>
    <t>GONZALEZ PEREZ, MARIA DOLORES</t>
  </si>
  <si>
    <t>NIDOS</t>
  </si>
  <si>
    <t>BALLESTA SALUDES, SILVIA</t>
  </si>
  <si>
    <t>ENFERMERÍA EN FORMACIÓN 1º AÑO</t>
  </si>
  <si>
    <t>PARITORIO</t>
  </si>
  <si>
    <t>ENFERMERÍA EN FORMACIÓN 2º AÑO</t>
  </si>
  <si>
    <t>MATRONA</t>
  </si>
  <si>
    <t>CATALA JIMENEZ-TIGRE, ANA</t>
  </si>
  <si>
    <t>HERNANDEZ MARTIN, MARIA BELEN</t>
  </si>
  <si>
    <t>MORANO CARRANZA, JAVIER</t>
  </si>
  <si>
    <t>SANCHEZ GARCIA MORENO, CLARA</t>
  </si>
  <si>
    <t>SANCHEZ MOLINERO, MARIA DE AIMO</t>
  </si>
  <si>
    <t>VERA FERRER, LAURA TIMANFA</t>
  </si>
  <si>
    <t>ALVAREZ PARDO, JUAN PABLO</t>
  </si>
  <si>
    <t>CRUZ DOMINGUEZ, HUMBERTO</t>
  </si>
  <si>
    <t>GONZALEZ ASTRAY, SARA</t>
  </si>
  <si>
    <t>GONZALEZ VARGAS, SARAI</t>
  </si>
  <si>
    <t>GUILLERMO ALBA, ABIGAIL</t>
  </si>
  <si>
    <t>LOPEZ DIAZ, BEATRIZ</t>
  </si>
  <si>
    <t>LUIS DIAZ, JENNIFER MARI</t>
  </si>
  <si>
    <t>NAVARRO SANTAMARIA, CRISTINA</t>
  </si>
  <si>
    <t>OTERO NOVO, PABLO</t>
  </si>
  <si>
    <t>PEREZ PEREZ, ESTEFANIA</t>
  </si>
  <si>
    <t>RAMCHANDANI RAMESH, ANGELI</t>
  </si>
  <si>
    <t>BELLO HERNANDEZ, MARIA JESUS</t>
  </si>
  <si>
    <t>MESA DELGADO, PATRICIA</t>
  </si>
  <si>
    <t>MAFFASSANTI REYES, MALENA</t>
  </si>
  <si>
    <t>RODRIGUEZ RODRIGUEZ, MARIA CONCEPC</t>
  </si>
  <si>
    <t>MENDEZ-BENCOMO SHARKEY, MARIA CAITHRI</t>
  </si>
  <si>
    <t>SILVESTRE HERRERA, MARIA JOSE</t>
  </si>
  <si>
    <t>GANDIA GONZALEZ, RUTH</t>
  </si>
  <si>
    <t>GONZALEZ CASTAÑO, PATRICIA</t>
  </si>
  <si>
    <t>DIAZ DIAZ, MARIA CRISTIN</t>
  </si>
  <si>
    <t>MEDINA CRUZ, ERIK</t>
  </si>
  <si>
    <t>MOLINA PADILLA, SARA</t>
  </si>
  <si>
    <t>GONZALEZ SUAREZ, MIRIAM</t>
  </si>
  <si>
    <t>PLANTA 10ª IMPAR - HOSP.EDIF.A</t>
  </si>
  <si>
    <t>PLANTA 1ª - SUBAGUDOS</t>
  </si>
  <si>
    <t>PLANTA 2ª - HOSPITALIZACIÓN ED</t>
  </si>
  <si>
    <t>BARRERA GONZALEZ, LAURA</t>
  </si>
  <si>
    <t>PLANTA 2ª CENTRAL A - EDIF.B</t>
  </si>
  <si>
    <t>GUTIERREZ BARRETO, MARIA INES</t>
  </si>
  <si>
    <t>LUIS LEON, CRISTINA</t>
  </si>
  <si>
    <t>SOSA DEL ROSARIO, ARIADNA</t>
  </si>
  <si>
    <t>PLANTA 3ª - HOSPITALIZACIÓN ED</t>
  </si>
  <si>
    <t>PLANTA BAJA - HOSP.EDIF.M.</t>
  </si>
  <si>
    <t>DORTA JIMENEZ, CARMEN ALEXIA</t>
  </si>
  <si>
    <t>PLANTA BAJA PAR - HOSP.EDIF.A</t>
  </si>
  <si>
    <t>PLANTILLA VOLANTE</t>
  </si>
  <si>
    <t>SIVERIO HERNANDEZ, HERMINIA</t>
  </si>
  <si>
    <t>PLANTILLA VOLANTE DEL EAA (EDI</t>
  </si>
  <si>
    <t>CRUZ CORDOBES, OLIVIA</t>
  </si>
  <si>
    <t>CONVERSACIONES EN MIGRAÑA</t>
  </si>
  <si>
    <t>DIAZ.DE.LA ROSA, TAYRA CAROLIN</t>
  </si>
  <si>
    <t>EXPOSITO CORDOBES, MARIA DEL MAR</t>
  </si>
  <si>
    <t>GONZALEZ PEREZ, CARMEN DELIA</t>
  </si>
  <si>
    <t>MONTOYA CIFUENTES, VALENTINA</t>
  </si>
  <si>
    <t>RODRIGUEZ ARTEAGA, ANA CRISTINA</t>
  </si>
  <si>
    <t>PITTI PEREZ, JORGE</t>
  </si>
  <si>
    <t>TÉCNICO ESPECIALISTA RADIODIAG</t>
  </si>
  <si>
    <t>RADIODIAGNOSTICO</t>
  </si>
  <si>
    <t>CURSO MANEJO DEL CATÉTER: MIDL</t>
  </si>
  <si>
    <t>RADIOLOG.VASCULAR INTERV. - AN</t>
  </si>
  <si>
    <t>CRUZ GARCIA, SHAILA MARIA</t>
  </si>
  <si>
    <t>MANEJO DEL CATÉTER: MIDLINE Y</t>
  </si>
  <si>
    <t>GARCIA GONZALEZ, MELANIA</t>
  </si>
  <si>
    <t>GOMEZ PEREZ, FRANCISCO</t>
  </si>
  <si>
    <t>SUPERVISOR DE UNIDAD</t>
  </si>
  <si>
    <t>HERRERA AGUIAR, ELENA</t>
  </si>
  <si>
    <t>MOLINA LUZON, MARIA DEL CAR</t>
  </si>
  <si>
    <t>RODRIGUEZ PEREZ, DANIEL</t>
  </si>
  <si>
    <t>TOLEDO NEGRIN, CRISTINA ESTH</t>
  </si>
  <si>
    <t>BOSCH LLARENA, CARMEN A.</t>
  </si>
  <si>
    <t>SUPERVISOR/A DE ÁREA</t>
  </si>
  <si>
    <t>SUBDIRECCIÓN ENFERMERÍA</t>
  </si>
  <si>
    <t>DELGADO LORENZO, ROBERTO</t>
  </si>
  <si>
    <t>TOMOGRAFIA AXIAL COMPUTERIZADA</t>
  </si>
  <si>
    <t>U.COORDINADORA DE TRASPLANTES</t>
  </si>
  <si>
    <t>U.V.I.</t>
  </si>
  <si>
    <t>JIMENEZ GARCIA, JENNIFER</t>
  </si>
  <si>
    <t>AFONSO DAVILA, REBECA</t>
  </si>
  <si>
    <t>U.V.I. PEDIATRICA</t>
  </si>
  <si>
    <t>ARBELO MOLINA, JUDITH</t>
  </si>
  <si>
    <t>DARIAS GARCIA, ROBERTO DAVID</t>
  </si>
  <si>
    <t>UDAD.C.A.P.D.</t>
  </si>
  <si>
    <t>UDAD.CORONARIAS</t>
  </si>
  <si>
    <t>SIVERIO LORENZO, EMILIO</t>
  </si>
  <si>
    <t>GUILLEN CORREA, CRISTINA</t>
  </si>
  <si>
    <t>UDAD.DE HOSPIT.A DOMICILIO</t>
  </si>
  <si>
    <t>CRUZ PERERA, CORIOLANO DE</t>
  </si>
  <si>
    <t>DIAZ MARTIN, LAURA</t>
  </si>
  <si>
    <t>UDAD.DOCENCIA ENFERM.SALUD MEN</t>
  </si>
  <si>
    <t>ALONSO SAN MARTIN, CARMEN</t>
  </si>
  <si>
    <t>GRACIA ALCALDE, ISABEL</t>
  </si>
  <si>
    <t>RUIZ DE LARRINAGA RODRIGUEZ, UXUE</t>
  </si>
  <si>
    <t>VILLAMOR GAUNA, LIDIA</t>
  </si>
  <si>
    <t>CEDRES EXPOSITO, YAIZA</t>
  </si>
  <si>
    <t>UDAD.ENDOSCOPIA</t>
  </si>
  <si>
    <t>UDAD.HEMODÍALISIS</t>
  </si>
  <si>
    <t>SANCHEZ VILLAR, ISIDRO</t>
  </si>
  <si>
    <t>BARROSO MORALES, MARIA LORETO</t>
  </si>
  <si>
    <t>UDAD.HEMODINAMICA</t>
  </si>
  <si>
    <t>GONZALEZ GARCIA, MIRIAM</t>
  </si>
  <si>
    <t>HERNANDEZ CABRERA, OSCAR LUIS</t>
  </si>
  <si>
    <t>HERNANDEZ RODRIGUEZ, MANUEL JOSE</t>
  </si>
  <si>
    <t>LECUONA GARCIA, MIRIAM</t>
  </si>
  <si>
    <t>MARTIN HERNANDEZ, MARIA PILAR</t>
  </si>
  <si>
    <t>SANCHEZ ESTEBAN, JUAN JESUS</t>
  </si>
  <si>
    <t>MARTIN CASAÑAS, FELISA V.</t>
  </si>
  <si>
    <t>RODRIGUEZ FRIAS, LAURA</t>
  </si>
  <si>
    <t>UDAD.SALUD MENTAL DE LA VERA (</t>
  </si>
  <si>
    <t>GONZALEZ MONTESINO, EVA RUTH</t>
  </si>
  <si>
    <t>JORDAN SUAREZ, MARIA EDUVIGI</t>
  </si>
  <si>
    <t>NIEVES LAMELA, M.PILAR</t>
  </si>
  <si>
    <t>UDAD.SALUD MENTAL DE TACORONTE</t>
  </si>
  <si>
    <t>UNIDAD DE SALUD MENTAL INFANTO</t>
  </si>
  <si>
    <t>GONZALEZ HERNANDEZ, JOSE MANUEL</t>
  </si>
  <si>
    <t>RODRIGUEZ GARCIA, MIGUEL ANGEL</t>
  </si>
  <si>
    <t>GONZALEZ LOPEZ, NATALIA</t>
  </si>
  <si>
    <t>UNIDAD DE TERAPIA INTRAVENOSA</t>
  </si>
  <si>
    <t>VELAZQUEZ DORTA, SERGIO RAFAEL</t>
  </si>
  <si>
    <t>XI JORNADAS DE ACTUALIZACIÓN E</t>
  </si>
  <si>
    <t>BORGES DORTA, ALEXIA</t>
  </si>
  <si>
    <t>URGENCIAS</t>
  </si>
  <si>
    <t>DORTA FLORES, AIRAM</t>
  </si>
  <si>
    <t>FUENTE GONZALEZ, RAQUEL.DE.LA</t>
  </si>
  <si>
    <t>GARCIA LLANOS, LUIS CARMELO</t>
  </si>
  <si>
    <t>GOMEZ THOMSEN, GARA MARIA</t>
  </si>
  <si>
    <t>URGENCIAS - HN_CEAU</t>
  </si>
  <si>
    <t>CURSO CIRUGÍA MENOR</t>
  </si>
  <si>
    <t>GONZALEZ MENDOZA, JUAN ANDRES</t>
  </si>
  <si>
    <t>TÉCNICO SUPERIOR DE GESTIÓN Y</t>
  </si>
  <si>
    <t>ALBAÑILERÍA</t>
  </si>
  <si>
    <t>GRUPO TÉCNICO FUNCIÓN ADMINIST</t>
  </si>
  <si>
    <t>ASESORÍA JURÍDICA</t>
  </si>
  <si>
    <t>PENA MACHIN, MARGARITA</t>
  </si>
  <si>
    <t>AFONSO GONZALEZ, GENESIS BERIS</t>
  </si>
  <si>
    <t>CONTRATACIÓN ADMINISTRATIVA</t>
  </si>
  <si>
    <t>DE CACERES SERRA, CARMEN SHARON</t>
  </si>
  <si>
    <t>HERNANDEZ MARTIN, MARIA DE LAS</t>
  </si>
  <si>
    <t>JEFE DE SERVICIO ADMINISTRATIV</t>
  </si>
  <si>
    <t>LOZANO MEDINA, ANA ESTRELLA</t>
  </si>
  <si>
    <t>MARTIN DIONIS, ANA CATAISA</t>
  </si>
  <si>
    <t>GRUPO GESTIÓN FUNCIÓN ADMINIST</t>
  </si>
  <si>
    <t>TORRES HERNANDEZ, ANA BELEN</t>
  </si>
  <si>
    <t>ZAMORA GONZALEZ, VERONICA</t>
  </si>
  <si>
    <t>BRANDSTATTER , RENE</t>
  </si>
  <si>
    <t>DIRECCIÓN DE GESTIÓN</t>
  </si>
  <si>
    <t>GARCIA GONZALEZ, MARIA TERESA</t>
  </si>
  <si>
    <t>CURSO CONTRATACIÓN ADMINISTRAT</t>
  </si>
  <si>
    <t>GUTIERREZ CASAÑAS, EUFRASIO</t>
  </si>
  <si>
    <t>DIRECTOR DE GESTION Y SSGG. AT</t>
  </si>
  <si>
    <t>BATISTA HERRERA, MARIO SAMIR</t>
  </si>
  <si>
    <t>INGENIERO TÉCNICO (HUC)</t>
  </si>
  <si>
    <t>SEC.INGEN. BIOMÉDICA</t>
  </si>
  <si>
    <t>GONZALEZ PEREZ, BLAS ANTONIO</t>
  </si>
  <si>
    <t>SEC.INGEN.TELECOMUN.Y TELEMÁTI</t>
  </si>
  <si>
    <t>HERNANDEZ ARMAS, JOSE ANGEL</t>
  </si>
  <si>
    <t>JEFE DE SECCIÓN ADMINISTRATIVA</t>
  </si>
  <si>
    <t>TÉCNICO ESPECIALISTA DE MANTEN</t>
  </si>
  <si>
    <t>SUAREZ MARTIN, NELSON</t>
  </si>
  <si>
    <t>SEC.INSTALACIONES Y MÁQUINAS</t>
  </si>
  <si>
    <t>SERV. DE APROVISIONAMIENTO</t>
  </si>
  <si>
    <t>GARCIA GARCIA, ELENA ASUNCIO</t>
  </si>
  <si>
    <t>HERNANDEZ MARTIN, ALICIA</t>
  </si>
  <si>
    <t>MANRIQUE SIVERIO, ERIKA</t>
  </si>
  <si>
    <t>MARTINEZ PADRON, JAVIER LUIS</t>
  </si>
  <si>
    <t>PERSONAL TÉCNICO (G.MEDIO)</t>
  </si>
  <si>
    <t>LUIS DIAZ, JUAN JOSE.DE</t>
  </si>
  <si>
    <t>SUBDIRECTOR DE GESTION Y SSGG</t>
  </si>
  <si>
    <t>ASCANIO VELAZQUEZ, CARLOS ALBERT</t>
  </si>
  <si>
    <t>SUBDIRECCIÓN INGENIERÍA</t>
  </si>
  <si>
    <t>UDAD. ADTVA. ASISTENCIAL</t>
  </si>
  <si>
    <t>GARCIA-RAMOS PORRES, LAURA</t>
  </si>
  <si>
    <t>D.RRHH SERV.ADMINISTRACIÓN DE</t>
  </si>
  <si>
    <t>FARIÑA TADEO, SANTIAGO</t>
  </si>
  <si>
    <t>D.RRHH SERV.SELEC.EVALUACIÓN -</t>
  </si>
  <si>
    <t>DIAZ PADRON, AVELINA</t>
  </si>
  <si>
    <t>DIRECCIÓN DE RECURSOS HUMANOS</t>
  </si>
  <si>
    <t>Inversión Económica 2025</t>
  </si>
  <si>
    <t>Resumen 2025</t>
  </si>
  <si>
    <t>Actividad 2025</t>
  </si>
  <si>
    <t>Importante: Datos calculados a fecha 30/1/2026 – (Base datos= Del 1/1/25 al 31/12/25) (SolicitRegistradasDirec2)</t>
  </si>
  <si>
    <r>
      <t>Periodo: 01/1/2025 al 31/12/2025-</t>
    </r>
    <r>
      <rPr>
        <b/>
        <sz val="10"/>
        <color rgb="FF000000"/>
        <rFont val="Arial"/>
        <family val="2"/>
        <charset val="1"/>
      </rPr>
      <t>REGISTRO SOLICITUD</t>
    </r>
  </si>
  <si>
    <t>Poster</t>
  </si>
  <si>
    <r>
      <t xml:space="preserve">Diferencia de 47 solicitudes (descontado devuelto) con </t>
    </r>
    <r>
      <rPr>
        <b/>
        <sz val="11"/>
        <color rgb="FF000000"/>
        <rFont val="Arial"/>
        <family val="2"/>
        <charset val="1"/>
      </rPr>
      <t xml:space="preserve">Autorizados (1) E_2 </t>
    </r>
  </si>
  <si>
    <r>
      <rPr>
        <sz val="11"/>
        <color rgb="FF000000"/>
        <rFont val="Arial"/>
        <family val="2"/>
        <charset val="1"/>
      </rPr>
      <t xml:space="preserve">Nota: Los datos son extraidos de la consulta </t>
    </r>
    <r>
      <rPr>
        <b/>
        <sz val="11"/>
        <color rgb="FF000000"/>
        <rFont val="Arial1"/>
        <charset val="1"/>
      </rPr>
      <t>(TipoPartic2)</t>
    </r>
  </si>
  <si>
    <t>Tipo de Participación 2025</t>
  </si>
  <si>
    <t>Resumen Anual 2025</t>
  </si>
  <si>
    <t xml:space="preserve">ASESORÍA JURÍDICA  </t>
  </si>
  <si>
    <t xml:space="preserve">EDIFICIO AGUDOS HP  </t>
  </si>
  <si>
    <t xml:space="preserve">GERENCIA  </t>
  </si>
  <si>
    <t xml:space="preserve">TRABAJO SOCIAL  </t>
  </si>
  <si>
    <t xml:space="preserve">UDAD.DE INVESTIGACION  </t>
  </si>
  <si>
    <t xml:space="preserve">UNIDAD DE CALIDAD  </t>
  </si>
  <si>
    <t xml:space="preserve">ADMISIÓN CENTRAL  </t>
  </si>
  <si>
    <t xml:space="preserve">CAMARA HIPERBARICA (PL.BAJA C.  </t>
  </si>
  <si>
    <t xml:space="preserve">CONS.OFTALMOLOGÍA ¿ CAE LA LAG  </t>
  </si>
  <si>
    <t xml:space="preserve">DIRECCIÓN MÉDICA  </t>
  </si>
  <si>
    <t xml:space="preserve">FARMACOLOGÍA CLÍNICA  </t>
  </si>
  <si>
    <t xml:space="preserve">FÍSICA MÉDICA (UDAD.TÉC.RADIOP  </t>
  </si>
  <si>
    <t xml:space="preserve">P. MÉDICO  ALERGOLOGÍA.  </t>
  </si>
  <si>
    <t xml:space="preserve">P. MÉDICO PALIATIVOS  </t>
  </si>
  <si>
    <t xml:space="preserve">P.MÉDICO ANATOMÍA PATOLÓGICA  </t>
  </si>
  <si>
    <t xml:space="preserve">P.MÉDICO ANESTESIA  </t>
  </si>
  <si>
    <t xml:space="preserve">P.MÉDICO CARDIOLOGÍA  </t>
  </si>
  <si>
    <t xml:space="preserve">P.MÉDICO CIRUG.CARDIACA  </t>
  </si>
  <si>
    <t xml:space="preserve">P.MÉDICO CIRUG.GENERAL  </t>
  </si>
  <si>
    <t xml:space="preserve">P.MÉDICO CIRUG.GRAL.COORDINADO  </t>
  </si>
  <si>
    <t xml:space="preserve">P.MÉDICO CIRUG.MAXILOFACIAL  </t>
  </si>
  <si>
    <t xml:space="preserve">P.MÉDICO CIRUG.PEDIÁTRICA  </t>
  </si>
  <si>
    <t xml:space="preserve">P.MÉDICO CIRUG.PLÁSTICA  </t>
  </si>
  <si>
    <t xml:space="preserve">P.MÉDICO CIRUG.TORACICA  </t>
  </si>
  <si>
    <t xml:space="preserve">P.MÉDICO CIRUG.VASCULAR, ANGIO  </t>
  </si>
  <si>
    <t xml:space="preserve">P.MÉDICO CITOGENÉTICA  </t>
  </si>
  <si>
    <t xml:space="preserve">P.MÉDICO CITOLOGÍA CLÍNICA  </t>
  </si>
  <si>
    <t xml:space="preserve">P.MÉDICO DE URGENCIAS  </t>
  </si>
  <si>
    <t xml:space="preserve">P.MÉDICO DERMATOLOGÍA  </t>
  </si>
  <si>
    <t xml:space="preserve">P.MÉDICO DIGESTIVO  </t>
  </si>
  <si>
    <t xml:space="preserve">P.MÉDICO ENDOCRINOLOGÍA  </t>
  </si>
  <si>
    <t xml:space="preserve">P.MÉDICO F.I.V.  </t>
  </si>
  <si>
    <t xml:space="preserve">P.MÉDICO FISIOLOGÍA Y BIOQUÍMI  </t>
  </si>
  <si>
    <t xml:space="preserve">P.MÉDICO GERIATRÍA HOSP.NORTE  </t>
  </si>
  <si>
    <t xml:space="preserve">P.MÉDICO GINECOLOGÍA  </t>
  </si>
  <si>
    <t xml:space="preserve">P.MÉDICO HEMATOLOGÍA CLÍNICA  </t>
  </si>
  <si>
    <t xml:space="preserve">P.MÉDICO HEMOSTASIA, HEMOT.Y B  </t>
  </si>
  <si>
    <t xml:space="preserve">P.MÉDICO INFECCIOSOS MEDICINA  </t>
  </si>
  <si>
    <t xml:space="preserve">P.MÉDICO LABOR.HEMATOLOGÍA  </t>
  </si>
  <si>
    <t xml:space="preserve">P.MÉDICO MED.NUCLEAR  </t>
  </si>
  <si>
    <t xml:space="preserve">P.MÉDICO MEDICINA INTERNA  </t>
  </si>
  <si>
    <t xml:space="preserve">P.MÉDICO MICROBIOLOGÍA Y CONTR  </t>
  </si>
  <si>
    <t xml:space="preserve">P.MÉDICO NEFROLOGÍA  </t>
  </si>
  <si>
    <t xml:space="preserve">P.MÉDICO NEUMOLOGÍA  </t>
  </si>
  <si>
    <t xml:space="preserve">P.MÉDICO NEUROCIRUGÍA  </t>
  </si>
  <si>
    <t xml:space="preserve">P.MÉDICO NEUROFISIOLOGÍA  </t>
  </si>
  <si>
    <t xml:space="preserve">P.MÉDICO NEUROLOGÍA  </t>
  </si>
  <si>
    <t xml:space="preserve">P.MÉDICO O.R.L.  </t>
  </si>
  <si>
    <t xml:space="preserve">P.MÉDICO OBSTETRICIA  </t>
  </si>
  <si>
    <t xml:space="preserve">P.MÉDICO ODONTOLOGÍA  </t>
  </si>
  <si>
    <t xml:space="preserve">P.MÉDICO OFTALMOLOGÍA  </t>
  </si>
  <si>
    <t xml:space="preserve">P.MÉDICO ONCOLOGÍA MÉDICA  </t>
  </si>
  <si>
    <t xml:space="preserve">P.MÉDICO PEDIATRÍA  </t>
  </si>
  <si>
    <t xml:space="preserve">P.MÉDICO PREMATUROS  </t>
  </si>
  <si>
    <t xml:space="preserve">P.MÉDICO PSIQUIATRÍA  </t>
  </si>
  <si>
    <t xml:space="preserve">P.MÉDICO RADIODIAGNÓSTICO  </t>
  </si>
  <si>
    <t xml:space="preserve">P.MÉDICO RADIOL.VASCULAR INTER  </t>
  </si>
  <si>
    <t xml:space="preserve">P.MÉDICO RADIOTERAPIA  </t>
  </si>
  <si>
    <t xml:space="preserve">P.MÉDICO REHABILITACIÓN  </t>
  </si>
  <si>
    <t xml:space="preserve">P.MÉDICO RES.MEDICINA FAMILIAR  </t>
  </si>
  <si>
    <t xml:space="preserve">P.MÉDICO REUMATOLOGÍA  </t>
  </si>
  <si>
    <t xml:space="preserve">P.MÉDICO TOMOGRAFÍA C.E.  </t>
  </si>
  <si>
    <t xml:space="preserve">P.MÉDICO TRAUMA  </t>
  </si>
  <si>
    <t xml:space="preserve">P.MÉDICO U.V.I:  </t>
  </si>
  <si>
    <t xml:space="preserve">P.MÉDICO UDAD.HOSP.A DOMICILIO  </t>
  </si>
  <si>
    <t xml:space="preserve">P.MÉDICO ULTRASONOGRAFÍA  </t>
  </si>
  <si>
    <t xml:space="preserve">P.MÉDICO UROLOGÍA  </t>
  </si>
  <si>
    <t xml:space="preserve">P.TEC.SUP.DE FARMACIA  </t>
  </si>
  <si>
    <t xml:space="preserve">SUBDIRECCIÓN MÉDICA  </t>
  </si>
  <si>
    <t xml:space="preserve">UDAD.SALUD MENTAL DE LA LAGUNA  </t>
  </si>
  <si>
    <t xml:space="preserve">AREA ENFERMERIA - HN - CAE ICO  </t>
  </si>
  <si>
    <t xml:space="preserve">AREA.ENFERMERIA - CAE LA OROTA  </t>
  </si>
  <si>
    <t xml:space="preserve">AREA.ENFERMERIA - CAE PTO.DE L  </t>
  </si>
  <si>
    <t xml:space="preserve">BLOQUE QUIRURGICO CENTRAL  </t>
  </si>
  <si>
    <t xml:space="preserve">CONSULTA ALERGOLOGÍA.  </t>
  </si>
  <si>
    <t xml:space="preserve">CONSULTA CARDIOLOGÍA  </t>
  </si>
  <si>
    <t xml:space="preserve">CONSULTA CIRUG.VASCULAR, ANGIO  </t>
  </si>
  <si>
    <t xml:space="preserve">CONSULTA DERMATOLOGÍA  </t>
  </si>
  <si>
    <t xml:space="preserve">CONSULTA DIGESTIVO  </t>
  </si>
  <si>
    <t xml:space="preserve">CONSULTA NEFROLOGÍA  </t>
  </si>
  <si>
    <t xml:space="preserve">CONSULTA NEUMOLOGÍA  </t>
  </si>
  <si>
    <t xml:space="preserve">CONSULTA NEUROLOGÍA  </t>
  </si>
  <si>
    <t xml:space="preserve">CONSULTA OFTALMOLOGÍA  </t>
  </si>
  <si>
    <t xml:space="preserve">CONSULTA PEDIATRIA  </t>
  </si>
  <si>
    <t xml:space="preserve">CONSULTA REUMATOLOGÍA  </t>
  </si>
  <si>
    <t xml:space="preserve">DIETÉTICA Y NUTRICIÓN  </t>
  </si>
  <si>
    <t xml:space="preserve">DIRECCIÓN ENFERMERÍA  </t>
  </si>
  <si>
    <t xml:space="preserve">EXPLORAC.RADIOTERAPIA  </t>
  </si>
  <si>
    <t xml:space="preserve">FORMACIÓN PERMANENTE ENFERMERÍ  </t>
  </si>
  <si>
    <t xml:space="preserve">GIMNASIO REHABILITACION  </t>
  </si>
  <si>
    <t xml:space="preserve">H.DIA POLIVALENTE - CITOSTATIC  </t>
  </si>
  <si>
    <t xml:space="preserve">HOSPIT.DIA INFEC.MED.INTERNA  </t>
  </si>
  <si>
    <t xml:space="preserve">HOSPITAL DIA HEMATOLOGIA CLÍNI  </t>
  </si>
  <si>
    <t xml:space="preserve">HOSPITAL DIA PEDIATRIA  </t>
  </si>
  <si>
    <t xml:space="preserve">HOSPITAL DIA REUMATOLOGIA  </t>
  </si>
  <si>
    <t xml:space="preserve">HOSPITAL. PREMATUROS  </t>
  </si>
  <si>
    <t xml:space="preserve">HOSPITAL. U.C.S.I.  </t>
  </si>
  <si>
    <t xml:space="preserve">LAB.HEMOT.Y BCO.SANGRE  </t>
  </si>
  <si>
    <t xml:space="preserve">LABOR. ANATOMIA PATOLSGICA  </t>
  </si>
  <si>
    <t xml:space="preserve">LABOR.DE MICROBIOLOGIA Y CONTR  </t>
  </si>
  <si>
    <t xml:space="preserve">LABORATORIO CENTRAL  </t>
  </si>
  <si>
    <t xml:space="preserve">MEDICINA DEL DOLOR  </t>
  </si>
  <si>
    <t xml:space="preserve">MEDICINA NUCLEAR  </t>
  </si>
  <si>
    <t xml:space="preserve">NIDOS  </t>
  </si>
  <si>
    <t xml:space="preserve">PARITORIO  </t>
  </si>
  <si>
    <t xml:space="preserve">PLANTA  1ª  PAR   - HOSP.EDIF.  </t>
  </si>
  <si>
    <t xml:space="preserve">PLANTA  1ª IMPAR - HOSP.EDIF.A  </t>
  </si>
  <si>
    <t xml:space="preserve">PLANTA  2ª  - HOSPITAL DEL NOR  </t>
  </si>
  <si>
    <t xml:space="preserve">PLANTA  2ª IMPAR-HOSP.EDIF.A  </t>
  </si>
  <si>
    <t xml:space="preserve">PLANTA  4ª  PAR   - HOSP.EDIF.  </t>
  </si>
  <si>
    <t xml:space="preserve">PLANTA  6ª  PAR   - HOSP.EDIF.  </t>
  </si>
  <si>
    <t xml:space="preserve">PLANTA  6ª IMPAR - HOSP.EDIF.A  </t>
  </si>
  <si>
    <t xml:space="preserve">PLANTA  8ª  PAR   - HOSP.EDIF.  </t>
  </si>
  <si>
    <t xml:space="preserve">PLANTA  8ª IMPAR - HOSP.EDIF.A  </t>
  </si>
  <si>
    <t xml:space="preserve">PLANTA  9ª IMPAR - HOSP.EDIF.A  </t>
  </si>
  <si>
    <t xml:space="preserve">PLANTA 10ª  PAR  - HOSP.EDIF.A  </t>
  </si>
  <si>
    <t xml:space="preserve">PLANTA 10ª IMPAR - HOSP.EDIF.A  </t>
  </si>
  <si>
    <t xml:space="preserve">PLANTA 1ª - SUBAGUDOS  </t>
  </si>
  <si>
    <t xml:space="preserve">PLANTA 2ª - HOSPITALIZACIÓN ED  </t>
  </si>
  <si>
    <t xml:space="preserve">PLANTA 2ª CENTRAL A - EDIF.B  </t>
  </si>
  <si>
    <t xml:space="preserve">PLANTA 3ª - HOSPITALIZACIÓN ED  </t>
  </si>
  <si>
    <t xml:space="preserve">PLANTA 3ª/4ª URA  </t>
  </si>
  <si>
    <t xml:space="preserve">PLANTA BAJA - HOSP.EDIF.M.  </t>
  </si>
  <si>
    <t xml:space="preserve">PLANTA BAJA PAR - HOSP.EDIF.A  </t>
  </si>
  <si>
    <t xml:space="preserve">PLANTILLA VOLANTE  </t>
  </si>
  <si>
    <t xml:space="preserve">PLANTILLA VOLANTE DEL EAA (EDI  </t>
  </si>
  <si>
    <t xml:space="preserve">RADIODIAGNOSTICO  </t>
  </si>
  <si>
    <t xml:space="preserve">RADIOLOG.VASCULAR INTERV. - AN  </t>
  </si>
  <si>
    <t xml:space="preserve">SUBDIRECCIÓN ENFERMERÍA  </t>
  </si>
  <si>
    <t xml:space="preserve">TOMOGRAFIA AXIAL COMPUTERIZADA  </t>
  </si>
  <si>
    <t xml:space="preserve">U.COORDINADORA DE TRASPLANTES  </t>
  </si>
  <si>
    <t xml:space="preserve">U.V.I.  </t>
  </si>
  <si>
    <t xml:space="preserve">U.V.I. PEDIATRICA  </t>
  </si>
  <si>
    <t xml:space="preserve">UDAD.C.A.P.D.  </t>
  </si>
  <si>
    <t xml:space="preserve">UDAD.CORONARIAS  </t>
  </si>
  <si>
    <t xml:space="preserve">UDAD.DE HOSPIT.A DOMICILIO  </t>
  </si>
  <si>
    <t xml:space="preserve">UDAD.DE RECUPERACIÓN DE QUIRÓF  </t>
  </si>
  <si>
    <t xml:space="preserve">UDAD.DOCENCIA ENFERM.SALUD MEN  </t>
  </si>
  <si>
    <t xml:space="preserve">UDAD.ENDOSCOPIA  </t>
  </si>
  <si>
    <t xml:space="preserve">UDAD.HEMODÍALISIS  </t>
  </si>
  <si>
    <t xml:space="preserve">UDAD.HEMODINAMICA  </t>
  </si>
  <si>
    <t xml:space="preserve">UDAD.SALUD MENTAL DE LA VERA (  </t>
  </si>
  <si>
    <t xml:space="preserve">UDAD.SALUD MENTAL DE TACORONTE  </t>
  </si>
  <si>
    <t xml:space="preserve">UNIDAD DE SALUD MENTAL INFANTO  </t>
  </si>
  <si>
    <t xml:space="preserve">UNIDAD DE TERAPIA INTRAVENOSA  </t>
  </si>
  <si>
    <t xml:space="preserve">URGENCIAS  </t>
  </si>
  <si>
    <t xml:space="preserve">URGENCIAS - HN_CEAU  </t>
  </si>
  <si>
    <t xml:space="preserve">ALBAÑILERÍA  </t>
  </si>
  <si>
    <t xml:space="preserve">CALDERAS  </t>
  </si>
  <si>
    <t xml:space="preserve">COCINA  </t>
  </si>
  <si>
    <t xml:space="preserve">CONTRATACIÓN ADMINISTRATIVA  </t>
  </si>
  <si>
    <t xml:space="preserve">DIRECCIÓN DE GESTIÓN  </t>
  </si>
  <si>
    <t xml:space="preserve">GESTIÓN ECONÓMICA - FINANCIERA  </t>
  </si>
  <si>
    <t xml:space="preserve">INFORMÁTICA  </t>
  </si>
  <si>
    <t xml:space="preserve">MECÁNICA  </t>
  </si>
  <si>
    <t xml:space="preserve">SEC. ING.DE INSTALACIONES Y EN  </t>
  </si>
  <si>
    <t xml:space="preserve">SEC.INGEN. BIOMÉDICA  </t>
  </si>
  <si>
    <t xml:space="preserve">SEC.INGEN.TELECOMUN.Y TELEMÁTI  </t>
  </si>
  <si>
    <t xml:space="preserve">SEC.INSTALACIONES Y MÁQUINAS  </t>
  </si>
  <si>
    <t xml:space="preserve">SERV. DE APROVISIONAMIENTO  </t>
  </si>
  <si>
    <t xml:space="preserve">SERVICIO MANTENIMIENTO E INSTA  </t>
  </si>
  <si>
    <t xml:space="preserve">SUBDIRECCIÓN INGENIERÍA  </t>
  </si>
  <si>
    <t xml:space="preserve">UDAD. ADTVA. ASISTENCIAL  </t>
  </si>
  <si>
    <t>D.RRHH SERV.ADMINISTRACIÓN DE PERSONAL</t>
  </si>
  <si>
    <t xml:space="preserve">ENFERMERA/O  </t>
  </si>
  <si>
    <t xml:space="preserve">FEA MEDICINA PREVENTIVA Y SALU  </t>
  </si>
  <si>
    <t xml:space="preserve">GRUPO TÉCNICO FUNCIÓN ADMINIST  </t>
  </si>
  <si>
    <t xml:space="preserve">PERSONAL TÉCNICO (TIT.SUPER.)  </t>
  </si>
  <si>
    <t xml:space="preserve">SUBDIRECTOR DE GESTION Y SSGG  </t>
  </si>
  <si>
    <t xml:space="preserve">TÉCNICO ESPECIALISTA LABORATOR  </t>
  </si>
  <si>
    <t xml:space="preserve">TÉCNICO TITULADO MEDIO - ASIST  </t>
  </si>
  <si>
    <t xml:space="preserve">TÉCNICO TITULADO SUPERIOR - LC  </t>
  </si>
  <si>
    <t xml:space="preserve">TRABAJADOR /A SOCIAL  </t>
  </si>
  <si>
    <t>RADIOFÍSICO RESIDENTE</t>
  </si>
  <si>
    <t>NOTA: EN LA DIRECCIÓN GERENCIA SE CONTABILIZARON SOLICITUDES QUE FIRMÓ LA DIRECCIÓN MÉDICA.</t>
  </si>
  <si>
    <t>FACULTATIVA/O RESIDENTE</t>
  </si>
  <si>
    <t>FARMACÉUTICA/O RESIDENTE</t>
  </si>
  <si>
    <t>PSICÓLOGA/O RESIDENTE</t>
  </si>
  <si>
    <t xml:space="preserve">ADJUNTO ANESTESIOLOGÍA Y REANI  </t>
  </si>
  <si>
    <t xml:space="preserve">ADJUNTO ANGIOLOGÍA Y CIRUGÍA V  </t>
  </si>
  <si>
    <t xml:space="preserve">ADJUNTO APARATO DIGESTIVO  </t>
  </si>
  <si>
    <t xml:space="preserve">ADJUNTO CARDIOLOGÍA  </t>
  </si>
  <si>
    <t xml:space="preserve">ADJUNTO CITOGENÉTICA  </t>
  </si>
  <si>
    <t xml:space="preserve">ADJUNTO DERMATOLOGÍA MEDICOQUI  </t>
  </si>
  <si>
    <t xml:space="preserve">ADJUNTO ENDOCRINOLOGÍA Y NUTRI  </t>
  </si>
  <si>
    <t xml:space="preserve">ADJUNTO MEDICINA FÍSICA Y REHA  </t>
  </si>
  <si>
    <t xml:space="preserve">ADJUNTO OBSTETRICIA Y GINECOLO  </t>
  </si>
  <si>
    <t xml:space="preserve">ADJUNTO ONCOLOGÍA RADIOTERÁPIC  </t>
  </si>
  <si>
    <t xml:space="preserve">ADJUNTO PEDIATRÍA  </t>
  </si>
  <si>
    <t xml:space="preserve">DIRECTOR MÉDICO ATENCION ESPEC  </t>
  </si>
  <si>
    <t xml:space="preserve">FEA ALERGOLOGÍA  </t>
  </si>
  <si>
    <t xml:space="preserve">FEA ANÁLISIS CLÍNICOS  </t>
  </si>
  <si>
    <t xml:space="preserve">FEA ANATOMIA PATOLOGICA  </t>
  </si>
  <si>
    <t xml:space="preserve">FEA ANATOMÍA PATOLÓGICA  </t>
  </si>
  <si>
    <t xml:space="preserve">FEA ANESTESIOLOGÍA Y REANIMACI  </t>
  </si>
  <si>
    <t xml:space="preserve">FEA ANGIOLOGÍA Y CIRUGÍA VASCU  </t>
  </si>
  <si>
    <t xml:space="preserve">FEA APARATO DIGESTIVO  </t>
  </si>
  <si>
    <t xml:space="preserve">FEA BIOQUÍMICA CLÍNICA  </t>
  </si>
  <si>
    <t xml:space="preserve">FEA CARDIOLOGÍA  </t>
  </si>
  <si>
    <t xml:space="preserve">FEA CIRUGÍA CARDIOVASCULAR  </t>
  </si>
  <si>
    <t xml:space="preserve">FEA CIRUGÍA GENERAL Y APARATO  </t>
  </si>
  <si>
    <t xml:space="preserve">FEA CIRUGÍA ORAL Y MAXILOFACIA  </t>
  </si>
  <si>
    <t xml:space="preserve">FEA CIRUGÍA ORTOPÉDICA Y TRAUM  </t>
  </si>
  <si>
    <t xml:space="preserve">FEA CIRUGÍA PEDIÁTRICA  </t>
  </si>
  <si>
    <t xml:space="preserve">FEA CIRUGÍA PLÁSTICA, ESTETICA  </t>
  </si>
  <si>
    <t xml:space="preserve">FEA CIRUGÍA TORÁCICA  </t>
  </si>
  <si>
    <t xml:space="preserve">FEA DERMATOLOGÍA  </t>
  </si>
  <si>
    <t xml:space="preserve">FEA ENDOCRINOLOGÍA Y NUTRICIÓN  </t>
  </si>
  <si>
    <t xml:space="preserve">FEA FARMACIA HOSPITALARIA  </t>
  </si>
  <si>
    <t xml:space="preserve">FEA FARMACOLOGÍA CLÍNICA  </t>
  </si>
  <si>
    <t xml:space="preserve">FEA GERIATRÍA  </t>
  </si>
  <si>
    <t xml:space="preserve">FEA HEMATOLOGIA Y HEMOTERAPIA  </t>
  </si>
  <si>
    <t xml:space="preserve">FEA HEMATOLOGÍA Y HEMOTERAPIA  </t>
  </si>
  <si>
    <t xml:space="preserve">FEA INMUNOLOGÍA  </t>
  </si>
  <si>
    <t xml:space="preserve">FEA MEDICINA FAMILIAR Y COMUNI  </t>
  </si>
  <si>
    <t xml:space="preserve">FEA MEDICINA FÍSICA Y REHABILI  </t>
  </si>
  <si>
    <t xml:space="preserve">FEA MEDICINA INTENSIVA  </t>
  </si>
  <si>
    <t xml:space="preserve">FEA MEDICINA INTERNA  </t>
  </si>
  <si>
    <t xml:space="preserve">FEA MEDICINA NUCLEAR  </t>
  </si>
  <si>
    <t xml:space="preserve">FEA MICROBIOLOGÍA Y PARASITOLO  </t>
  </si>
  <si>
    <t xml:space="preserve">FEA NEFROLOGÍA  </t>
  </si>
  <si>
    <t xml:space="preserve">FEA NEUMOLOGÍA  </t>
  </si>
  <si>
    <t xml:space="preserve">FEA NEUROCIRUGÍA  </t>
  </si>
  <si>
    <t xml:space="preserve">FEA NEUROFISIOLOGÍA CLÍNICA  </t>
  </si>
  <si>
    <t xml:space="preserve">FEA NEUROLOGÍA  </t>
  </si>
  <si>
    <t xml:space="preserve">FEA OBSTETRICIA Y GINECOLOGÍA  </t>
  </si>
  <si>
    <t xml:space="preserve">FEA OFTALMOLOGÍA  </t>
  </si>
  <si>
    <t xml:space="preserve">FEA ONCOLOGÍA MÉDICA  </t>
  </si>
  <si>
    <t xml:space="preserve">FEA ONCOLOGÍA RADIOTERÁPICA  </t>
  </si>
  <si>
    <t xml:space="preserve">FEA OTORRINOLARINGOLOGÍA  </t>
  </si>
  <si>
    <t xml:space="preserve">FEA PEDIATRÍA  </t>
  </si>
  <si>
    <t xml:space="preserve">FEA PSICOLOGÍA CLÍNICA  </t>
  </si>
  <si>
    <t xml:space="preserve">FEA PSIQUIATRÍA  </t>
  </si>
  <si>
    <t xml:space="preserve">FEA RADIODIAGNÓSTICO  </t>
  </si>
  <si>
    <t xml:space="preserve">FEA RADIOFÍSICA HOSPITALARIA  </t>
  </si>
  <si>
    <t xml:space="preserve">FEA REUMATOLOGÍA  </t>
  </si>
  <si>
    <t xml:space="preserve">FEA UROLOGÍA  </t>
  </si>
  <si>
    <t xml:space="preserve">GRUPO ADMINISTRATIVO  </t>
  </si>
  <si>
    <t xml:space="preserve">GRUPO GESTIÓN FUNCIÓN ADMINIST  </t>
  </si>
  <si>
    <t xml:space="preserve">JEFE DE SECCIÓN  </t>
  </si>
  <si>
    <t xml:space="preserve">JEFE DE SERVICIO  </t>
  </si>
  <si>
    <t xml:space="preserve">MEDICA/O DE ADMISION Y DOCUMEN  </t>
  </si>
  <si>
    <t xml:space="preserve">MÉDICO DE CUIDADOS PALIATIVOS  </t>
  </si>
  <si>
    <t xml:space="preserve">MÉDICO URGENCIA HOSPITALARIA  </t>
  </si>
  <si>
    <t xml:space="preserve">ODONTOLOGO  </t>
  </si>
  <si>
    <t xml:space="preserve">SUBDIRECTOR MÉDICO ATENCION ES  </t>
  </si>
  <si>
    <t xml:space="preserve">TECNICA/O TITULAD.SUPERIOR  </t>
  </si>
  <si>
    <t xml:space="preserve">AUXILIAR DE ENFERMERÍA  </t>
  </si>
  <si>
    <t xml:space="preserve">DIRECTOR DE ENFERMERÍA ATENCIÓ  </t>
  </si>
  <si>
    <t xml:space="preserve">ENFERMERA/O ESPECIALISTA  </t>
  </si>
  <si>
    <t xml:space="preserve">ENFERMERÍA EN FORMACIÓN  </t>
  </si>
  <si>
    <t xml:space="preserve">FISIOTERAPEUTA  </t>
  </si>
  <si>
    <t xml:space="preserve">LOGOPEDA  </t>
  </si>
  <si>
    <t xml:space="preserve">MATRONA  </t>
  </si>
  <si>
    <t xml:space="preserve">ÓPTICO OPTOMETRISTA  </t>
  </si>
  <si>
    <t xml:space="preserve">SUPERVISOR/A DE ÁREA  </t>
  </si>
  <si>
    <t xml:space="preserve">SUPERVISOR/A DE UNIDAD  </t>
  </si>
  <si>
    <t xml:space="preserve">TÉCNICO ESPECIALISTA ANATOMÍA  </t>
  </si>
  <si>
    <t xml:space="preserve">TÉCNICO ESPECIALISTA EN DIETÉT  </t>
  </si>
  <si>
    <t xml:space="preserve">TÉCNICO ESPECIALISTA RADIODIAG  </t>
  </si>
  <si>
    <t xml:space="preserve">TÉCNICO ESPECIALISTA RADIOTERA  </t>
  </si>
  <si>
    <t xml:space="preserve">TERAPEUTA OCUPACIONAL  </t>
  </si>
  <si>
    <t xml:space="preserve">DIRECTOR DE GESTION Y SSGG. AT  </t>
  </si>
  <si>
    <t xml:space="preserve">JEFE DE SERVICIO (NO SANITARIO  </t>
  </si>
  <si>
    <t xml:space="preserve">JEFE SERVICIO ADMINISTRATIVO (  </t>
  </si>
  <si>
    <t xml:space="preserve">TÉCNICO SUPERIOR DE GESTIÓN Y  </t>
  </si>
  <si>
    <t xml:space="preserve">JEFE DE SECCIÓN ADMINISTRATIVA  </t>
  </si>
  <si>
    <t xml:space="preserve">INGENIERO TÉCNICO  </t>
  </si>
  <si>
    <t xml:space="preserve">JEFE DE SERVICIO ADMINISTRATIV  </t>
  </si>
  <si>
    <t xml:space="preserve">PERSONAL TÉCNICO (G.MEDIO)  </t>
  </si>
  <si>
    <t xml:space="preserve">JEFE DE COCINA  </t>
  </si>
  <si>
    <t xml:space="preserve">COORDINADOR CALDERAS Y CLIMATI  </t>
  </si>
  <si>
    <t xml:space="preserve">INGENIERO TÉCNICO INDUSTRIAL  </t>
  </si>
  <si>
    <t xml:space="preserve">TECNICO TITULADO MEDIO - ARQUI  </t>
  </si>
  <si>
    <t xml:space="preserve">ARQUITECTA/O TÉCNICA/O  </t>
  </si>
  <si>
    <t xml:space="preserve">TÉCNICO TITULADO MEDIO - INFOR  </t>
  </si>
  <si>
    <t xml:space="preserve">TÉCNICO ESPECIALISTA DE MANTEN  </t>
  </si>
  <si>
    <t xml:space="preserve">MECÁNICO  </t>
  </si>
  <si>
    <t xml:space="preserve">AUXILIAR ADMINISTRATIVO  </t>
  </si>
  <si>
    <t>CONGRESO NACIONAL CONTRATACIÓN</t>
  </si>
  <si>
    <t>JORNADA PROTOCOLO DE ACOSO EN</t>
  </si>
  <si>
    <t>IV JORNADAS DE DERECHO E INVES</t>
  </si>
  <si>
    <t>FORMACIÓN EN SUPERVISIÓN ESSCA</t>
  </si>
  <si>
    <t>TALLER DE SUPERVISIÓN</t>
  </si>
  <si>
    <t>INFORME SOCIAL EN EL PROCEDIMI</t>
  </si>
  <si>
    <t>CLAVERIE BEAUTELL, MATILDE</t>
  </si>
  <si>
    <t>ENCUENTRO DE RESPONSABLES DE C</t>
  </si>
  <si>
    <t>MEDINA PEREZ, MARIA MONTSER</t>
  </si>
  <si>
    <t>JORNADAS DE PROMOCIÓN DE LA SA</t>
  </si>
  <si>
    <t>EXPOSITO FORTE, NEREA</t>
  </si>
  <si>
    <t>GUILLEN PEREZ, MARIA ISABEL</t>
  </si>
  <si>
    <t>FORMACIÓN EN SUPERVISIÓN. ESSS</t>
  </si>
  <si>
    <t>JORNADA DE FORMACION CLAVE-A 2</t>
  </si>
  <si>
    <t>JORNADA INSULAR DE PREVENCION</t>
  </si>
  <si>
    <t>XI CONGRESO NACIONAL SINAPSIS'</t>
  </si>
  <si>
    <t>FORMACIÓN EN SUPERVICIÓN ESSCA</t>
  </si>
  <si>
    <t>XI CONGRESO NACIONAL SINAPSIS</t>
  </si>
  <si>
    <t>YUMAR MARRERO, MARIANA</t>
  </si>
  <si>
    <t>ACEVEDO AROZENA, ABRAHAM</t>
  </si>
  <si>
    <t>INTERNATIONAL CONGRESS ON NEUR</t>
  </si>
  <si>
    <t>CONFERENCE AMYOTROPHIC LATERAL</t>
  </si>
  <si>
    <t>55 CONGRESO DE LA SOCIEDAD CAN</t>
  </si>
  <si>
    <t>FUMERO GONZALEZ, MARIA CECILIA</t>
  </si>
  <si>
    <t>III JORNADAS DE LAS PLATAFORMA</t>
  </si>
  <si>
    <t>DUQUE ARIMANY, JAVIER HUGO</t>
  </si>
  <si>
    <t>FEA MEDICINA PREVENTIVA Y SALU</t>
  </si>
  <si>
    <t>XXIII NACIONAL CONGRESO. XII I</t>
  </si>
  <si>
    <t>Resumen Enero-Diciembre 2025</t>
  </si>
  <si>
    <t>Total ASESORÍA JURÍDICA</t>
  </si>
  <si>
    <t>Total EDIFICIO AGUDOS HP</t>
  </si>
  <si>
    <t>Total GERENCIA</t>
  </si>
  <si>
    <t>Total TRABAJO SOCIAL</t>
  </si>
  <si>
    <t>Total UDAD.DE INVESTIGACION</t>
  </si>
  <si>
    <t>Total UNIDAD DE CALIDAD</t>
  </si>
  <si>
    <t>17. feb. 2025</t>
  </si>
  <si>
    <t>18. feb. 2025</t>
  </si>
  <si>
    <t>13. may. 2025</t>
  </si>
  <si>
    <t>14. nov. 2025</t>
  </si>
  <si>
    <t>7. feb. 2025</t>
  </si>
  <si>
    <t>14. mar. 2025</t>
  </si>
  <si>
    <t>11. abr. 2025</t>
  </si>
  <si>
    <t>5. may. 2025</t>
  </si>
  <si>
    <t>7. may. 2025</t>
  </si>
  <si>
    <t>9. may. 2025</t>
  </si>
  <si>
    <t>6. jun. 2025</t>
  </si>
  <si>
    <t>4. jul. 2025</t>
  </si>
  <si>
    <t>20. nov. 2025</t>
  </si>
  <si>
    <t>21. nov. 2025</t>
  </si>
  <si>
    <t>25. mar. 2025</t>
  </si>
  <si>
    <t>24. sep. 2025</t>
  </si>
  <si>
    <t>9. oct. 2025</t>
  </si>
  <si>
    <t>13. nov. 2025</t>
  </si>
  <si>
    <t>28. may. 2025</t>
  </si>
  <si>
    <t>29. may. 2025</t>
  </si>
  <si>
    <t>28. jul. 2025</t>
  </si>
  <si>
    <t>31. jul. 2025</t>
  </si>
  <si>
    <t>16. oct. 2025</t>
  </si>
  <si>
    <t>17. oct. 2025</t>
  </si>
  <si>
    <t>27. oct. 2025</t>
  </si>
  <si>
    <t>29. oct. 2025</t>
  </si>
  <si>
    <t>18. jun. 2025</t>
  </si>
  <si>
    <t>20. jun. 2025</t>
  </si>
  <si>
    <t>9º CONGRESO NACIONAL AAS</t>
  </si>
  <si>
    <t>MASTER DE FORMACION PERMANENTE</t>
  </si>
  <si>
    <t>PRESCRIPCIÓN DE LA ACTIVIDAD F</t>
  </si>
  <si>
    <t>MASTER DE FORMACIÓN PERMANENTE</t>
  </si>
  <si>
    <t>MASTER EN FORMACION PERMANENTE</t>
  </si>
  <si>
    <t>CURSO MICROSOFT POWER BI PARA</t>
  </si>
  <si>
    <t>XX JORNADAS NACIONALES DE DOCU</t>
  </si>
  <si>
    <t>9 CONGRESO NACIONAL AAS</t>
  </si>
  <si>
    <t>4º CONGRESO NACIONAL DE MEDICI</t>
  </si>
  <si>
    <t>101 CONGRESO SEO 2025</t>
  </si>
  <si>
    <t>24º CONGRESO NACIONAL DE HOSPI</t>
  </si>
  <si>
    <t>CONGRESO NACIONAL SOBRE AUTISM</t>
  </si>
  <si>
    <t>IV JORNADAS PATOLOGIA DUAL Y A</t>
  </si>
  <si>
    <t>XXVIII CONGRESO NACIONAL DE PS</t>
  </si>
  <si>
    <t>33rd EUROPEAN CONGRESS OF PSYC</t>
  </si>
  <si>
    <t>27º CONGRESO PATOLOGÍA DUAL</t>
  </si>
  <si>
    <t>8ª REUNIÓN CLUB NEMEA</t>
  </si>
  <si>
    <t>38TH ECNP CONGRESS</t>
  </si>
  <si>
    <t>CONGRESO SEPL SANTANDER 2025</t>
  </si>
  <si>
    <t>XXXIII CURSO NACIONAL DE ACTUA</t>
  </si>
  <si>
    <t>CONGRESO PATOLOGÍA DUAL</t>
  </si>
  <si>
    <t>JORNADAS DE FORMACIÓN EN DIÁLO</t>
  </si>
  <si>
    <t>TERAPIA DE COMPASIÓN Y MODULOS</t>
  </si>
  <si>
    <t>VI ESCUELA DE OTOÑO</t>
  </si>
  <si>
    <t>XXIX CONGRESO NACIONAL DE LA A</t>
  </si>
  <si>
    <t>LA PRACTICA DE DIALOGOS ABIERT</t>
  </si>
  <si>
    <t>JORNADAS BIOÉTICA</t>
  </si>
  <si>
    <t>XI CONGRESO ANCEI</t>
  </si>
  <si>
    <t>JORNADAS ACTIVIDADES CONJUNTAS</t>
  </si>
  <si>
    <t>III JORNADA DOSIMETRIA EN MEDI</t>
  </si>
  <si>
    <t>9º CONGRESO CONJUNTO. 25 SEFM/</t>
  </si>
  <si>
    <t>DIPLOMA EXPERTO EN FUNDAMENTOS</t>
  </si>
  <si>
    <t>RADIOBIOLOGÍA CLÍNICA</t>
  </si>
  <si>
    <t>9º CONGRESO CONJUNTO SEFM-SEPR</t>
  </si>
  <si>
    <t>CURSO CS508EU-ETHOS ADAPTIVE C</t>
  </si>
  <si>
    <t>PHYSICIST ACADEMY 2025</t>
  </si>
  <si>
    <t>XXI REUNIÓN CYNA CONTROVESIAS</t>
  </si>
  <si>
    <t>ESCUELA DX DIAGNÓSTICO</t>
  </si>
  <si>
    <t>EAACI CONGRESS 2025</t>
  </si>
  <si>
    <t>MPL MULTIPERSPECTIVE LECTURES</t>
  </si>
  <si>
    <t>35º CONGRESO SEAIC</t>
  </si>
  <si>
    <t>GAFA 2025 - GLOBAL FORUM ON AN</t>
  </si>
  <si>
    <t>ESCUELA ÁCAROX DE LA CUNA AL V</t>
  </si>
  <si>
    <t>INMUNOTEK DESDE DENTRO</t>
  </si>
  <si>
    <t>35 CONGRESO SEAIC</t>
  </si>
  <si>
    <t>ANACARE GA2FA</t>
  </si>
  <si>
    <t>ISAF-RHINA 2025. INTERNATIONAL</t>
  </si>
  <si>
    <t>CIS 2025 ANNUAL MEETING</t>
  </si>
  <si>
    <t>CONGRESO SEICAP</t>
  </si>
  <si>
    <t>INMUNOTEK DESDE DENTRO.</t>
  </si>
  <si>
    <t>ATRAEH 25 EL FUTURO ES HOY</t>
  </si>
  <si>
    <t>I JORNADAS DE CUIDADOS PALIATI</t>
  </si>
  <si>
    <t>NEXT IN LUNGS DIAGNÓSTICO Y ME</t>
  </si>
  <si>
    <t>NEXT IN LUNGS DIAGNOSTICO Y ME</t>
  </si>
  <si>
    <t>37TH EUROPEAN CONGRESS OF PANT</t>
  </si>
  <si>
    <t>XXXII CONGRESO SEAP-IAP 2025</t>
  </si>
  <si>
    <t>ACTUALIZACIÓN EN LINFOMAS CUTÁ</t>
  </si>
  <si>
    <t>4º EDICIÓN WORKSHOP IMPERAS</t>
  </si>
  <si>
    <t>4ª EDICION WORKSHOP IMPERAS</t>
  </si>
  <si>
    <t>9 ACADEMY OF INMUNOHISTO DEMIS</t>
  </si>
  <si>
    <t>XXXII CONGRESO SEAP-IAP</t>
  </si>
  <si>
    <t>XXXII CONGRESO NACIONAL SEAP-I</t>
  </si>
  <si>
    <t>REUNION ATECAN-APIAM PATOLOGIA</t>
  </si>
  <si>
    <t>EXERCISE AND DIET IN OBESITY,</t>
  </si>
  <si>
    <t>REUNION ATECAN-APIAM 2025</t>
  </si>
  <si>
    <t>XXI CONGRESO NACIONAL SOCIEDAD</t>
  </si>
  <si>
    <t>CURSO EN ACTUALIZACIONES EN AN</t>
  </si>
  <si>
    <t>XXIII CURSO DE VENTILACIÓN MEC</t>
  </si>
  <si>
    <t>CURSO ATLS. ADVANCED TRAUMA LI</t>
  </si>
  <si>
    <t>31º REUNION ANUAL ESRA 2025</t>
  </si>
  <si>
    <t>JORNADA NACIONAL DE RESIDENTES</t>
  </si>
  <si>
    <t>XXIV JORNADAS CANARIAS DE ANES</t>
  </si>
  <si>
    <t>ESAIC ADVANCED PATIENT SAFETY</t>
  </si>
  <si>
    <t>X REUNIÓN DE LA SECCIÓN DE CUI</t>
  </si>
  <si>
    <t>TALLER DE ECOGRAFÍA DE PACIENT</t>
  </si>
  <si>
    <t>I JORNADAS SEDAR-SENSAR DE SEG</t>
  </si>
  <si>
    <t>IX CURSO DE SIMULACIÓN CLÍNICA</t>
  </si>
  <si>
    <t>X REUNIÓN SECCIÓN DE HOMOSTASI</t>
  </si>
  <si>
    <t>THREE DAY COURSE IN OBSTETRIA</t>
  </si>
  <si>
    <t>21 CONGRESO DE LA SOCIEDAD ESP</t>
  </si>
  <si>
    <t>CURSO RETOS EN ECCO2R</t>
  </si>
  <si>
    <t>ALS ADVANCED LIFE SUPPORT</t>
  </si>
  <si>
    <t>JORNADAS JEFES DE SERVICIO DE</t>
  </si>
  <si>
    <t>JORNADAS NACIONALES DE RESIDEN</t>
  </si>
  <si>
    <t>LANZAMIENTO IQ HFX</t>
  </si>
  <si>
    <t>REUNION ANUAL SOCIEDAD CANARIA</t>
  </si>
  <si>
    <t>21 CONGRESO SOCIEDAD ESPAÑOLA</t>
  </si>
  <si>
    <t>ARTROSIS Y OSTEOPOROSIS EN ATE</t>
  </si>
  <si>
    <t>RUNIÓN DEL GRUPO DE TRABAJO DE</t>
  </si>
  <si>
    <t>I JORNADA DE TUTORES MEDICOS R</t>
  </si>
  <si>
    <t>TALLER DE VENTILACIÓN MECÁNICA</t>
  </si>
  <si>
    <t>R1-ESTESIA. II JORNADA DE BIEN</t>
  </si>
  <si>
    <t>CURSO SOPORTE VITAL AVANZADO</t>
  </si>
  <si>
    <t>CURSO ACTUALIZACIÓN EN EL MANE</t>
  </si>
  <si>
    <t>IN2VENTILATION</t>
  </si>
  <si>
    <t>PERSONALIZACIÓN DE LA ANESTESI</t>
  </si>
  <si>
    <t>ANESTESIA MULTIMODAL</t>
  </si>
  <si>
    <t>XV CONGRESO NACIONAL DE ANESTE</t>
  </si>
  <si>
    <t>I JORNADAS SALUD Y MUJER</t>
  </si>
  <si>
    <t>ACTUALIZACION EN EL MANEJO DE</t>
  </si>
  <si>
    <t>CONGRESO SOCIEDAD ESPAÑOLA DEL</t>
  </si>
  <si>
    <t>BASIC &amp; CLINICAL SCIENCE FOR T</t>
  </si>
  <si>
    <t>CURSO DE ELECTROCARDIOGRAFÍA C</t>
  </si>
  <si>
    <t>31º CONGRESO NACIONAL SOCIEDAD</t>
  </si>
  <si>
    <t>CURSO ECOCARDIOGRAMA DE ESFUER</t>
  </si>
  <si>
    <t>REUNIÓN CARDIOCLÍNICA 2025</t>
  </si>
  <si>
    <t>HEART FAILURE 2025- WORLD CONG</t>
  </si>
  <si>
    <t>CARDIOCLÍNICA 2025</t>
  </si>
  <si>
    <t>ESC CONGRESS 2025. WORLD CONGR</t>
  </si>
  <si>
    <t>CONGRESO PCR 2025</t>
  </si>
  <si>
    <t>45º CURSO DE ECOCARDIOGRAFIA,</t>
  </si>
  <si>
    <t>CONGRESO SEAC. 32º CONGRESO IN</t>
  </si>
  <si>
    <t>ECS ACUTE CARDIO VASCULAR CARE</t>
  </si>
  <si>
    <t>43º CONGRESO DE LA ASOCIACIÓN</t>
  </si>
  <si>
    <t>MACOM UPDATE EN CARDIOLOGÍA 20</t>
  </si>
  <si>
    <t>II SIMPOSIO EN INSUFICIENCIA C</t>
  </si>
  <si>
    <t>2ª JORNADA CARDIOGERIATRÍA DE</t>
  </si>
  <si>
    <t>CAREME. SUMMIT 25</t>
  </si>
  <si>
    <t>37 CONGRESO SOCANCAR</t>
  </si>
  <si>
    <t>ESC CONGRESS 2025 MADRID. WORL</t>
  </si>
  <si>
    <t>86º SIC CONGRESSO NAZIONALE</t>
  </si>
  <si>
    <t>CURSO -4. ECOCARDIOGRAMA DE ES</t>
  </si>
  <si>
    <t>37 JORNADAS DE ACTUALIZACIÓN E</t>
  </si>
  <si>
    <t>XI ENCUENTRO NACIONAL DE UNIDA</t>
  </si>
  <si>
    <t>JORNADAS PREVENCIÓN VASCULAR S</t>
  </si>
  <si>
    <t>ESC ACUTE CARDIO VASCULAR CARE</t>
  </si>
  <si>
    <t>45º CURSO DE ECOCARDIOGRADIA,</t>
  </si>
  <si>
    <t>ROTACIÓN UNIDAD CARDIORENAL</t>
  </si>
  <si>
    <t>CARDIOIMAGEN 2025. 43º CONGRES</t>
  </si>
  <si>
    <t>ESC ACUTE CARDIOVASCULAR CARE</t>
  </si>
  <si>
    <t>ACC2025. TRANSFORMING CARDIOVA</t>
  </si>
  <si>
    <t>ESC CONGRESS 2025</t>
  </si>
  <si>
    <t>REUNIÓN RITMO 2025</t>
  </si>
  <si>
    <t>ACVC SCHOOL. ACUTE CARDIO VASC</t>
  </si>
  <si>
    <t>ABLACIÓN DE FA CON CAMPO PULSA</t>
  </si>
  <si>
    <t>CASE OBSERVATION. AURORA EV-IC</t>
  </si>
  <si>
    <t>AVEIR LEADLESS PACEMAKER (LP)</t>
  </si>
  <si>
    <t>AURORA EV-ICD LAB BASED TRAINI</t>
  </si>
  <si>
    <t>FORMACIÓN AVANZADA SeQuent DCB</t>
  </si>
  <si>
    <t>REUNIÓN ASOCIACIÓN CARDIOPATÍA</t>
  </si>
  <si>
    <t>HEART FAILURE 2025</t>
  </si>
  <si>
    <t>CONGRESO NACIONAL DE CARDIOLOG</t>
  </si>
  <si>
    <t>CSC 2025 CONGRESO CORONARIO Y</t>
  </si>
  <si>
    <t>COURSE EURO PCR 2025</t>
  </si>
  <si>
    <t>X WORKSHOP DE EXTRACCIÓN DE EL</t>
  </si>
  <si>
    <t>V TALLER AVANZADO DE CIRUGÍA C</t>
  </si>
  <si>
    <t>BEST PRACTICES AND TECHNIQUES</t>
  </si>
  <si>
    <t>THE 39TH EACTS ANNUAL MEETING</t>
  </si>
  <si>
    <t>MARCO ESTRATÉGICO DE LA COORIN</t>
  </si>
  <si>
    <t>DOS AÑOS DE LA APROBACIÓN DE L</t>
  </si>
  <si>
    <t>XXIII CURSO DE CIRUGÍA VALVULA</t>
  </si>
  <si>
    <t>BUILDING YOUR IMPELLA PROGRAM</t>
  </si>
  <si>
    <t>CURSO MITRAL 2025</t>
  </si>
  <si>
    <t>IV EDICIÓN DE SIMULACIÓN LAPAR</t>
  </si>
  <si>
    <t>47th ANNUAL INTERNATIONAL CONG</t>
  </si>
  <si>
    <t>XXV REUNIÓN NACIONAL DE CIRUGÍ</t>
  </si>
  <si>
    <t>XXVIII CONGRESO NACIONAL AECP</t>
  </si>
  <si>
    <t>XXV REUNION NACIONAL CIRUGIA</t>
  </si>
  <si>
    <t>JORNADA CASOS COMPLEJOS Y CIRU</t>
  </si>
  <si>
    <t>XVIII REUNIÓN AECP 2025</t>
  </si>
  <si>
    <t>XVI PROYECTO ENDOSCOPIA: CURSO</t>
  </si>
  <si>
    <t>XXIV CONGRESO SOCIEDAD CANARIA</t>
  </si>
  <si>
    <t>XVII CURSO DE FORMACION EN PAT</t>
  </si>
  <si>
    <t>CURSO AUTOFLUORESCENCIA CON SO</t>
  </si>
  <si>
    <t>VI CONGRESO NACIONAL REHABILIT</t>
  </si>
  <si>
    <t>VII CURSO DE CIRUGIA DE URGENC</t>
  </si>
  <si>
    <t>VIII CURSO DE CIRUGIA DE URGEN</t>
  </si>
  <si>
    <t>III REUNIÓN DE LA SECCIÓN DE T</t>
  </si>
  <si>
    <t>EMERGENCY SURGERY COURSE. ESC.</t>
  </si>
  <si>
    <t>XXIV COGRESO SOCIEDAD CANARIA</t>
  </si>
  <si>
    <t>II CURSO EN CIRUGÍA ENDOSCÓPIC</t>
  </si>
  <si>
    <t>XVI REUNIÓN NACIONAL DE CIRUGÍ</t>
  </si>
  <si>
    <t>XXV RNC</t>
  </si>
  <si>
    <t>XXVIII CURSO HERNIA INGUINAL</t>
  </si>
  <si>
    <t>574º CURSO DE ATLS</t>
  </si>
  <si>
    <t>IV JORNADA NACIONAL DE LA SECC</t>
  </si>
  <si>
    <t>4º ENCUENTRO IBERICO DE ACTUAL</t>
  </si>
  <si>
    <t>XXV RNC. REUNIÓN NACIONAL CIRU</t>
  </si>
  <si>
    <t>24 EUROPEAN CONGRESS OF TRAUMA</t>
  </si>
  <si>
    <t>EHS 2025. 47th ANNUAL INTERNAT</t>
  </si>
  <si>
    <t>EMERGENCY SURGERY COURSE</t>
  </si>
  <si>
    <t>24th EUROPEAN CONGRESS OF TRAU</t>
  </si>
  <si>
    <t>II REUNIÓN DE LA SECCIÓN DE TR</t>
  </si>
  <si>
    <t>ESC SEVILLA</t>
  </si>
  <si>
    <t>XXV REUNIÓN NACIONAL CIRUGÍA</t>
  </si>
  <si>
    <t>XXVRNC REUNION NACIONAL CIRUGI</t>
  </si>
  <si>
    <t>EHS 47TH ANNUAL INTERNATIONAL</t>
  </si>
  <si>
    <t>XXVIII REUNIÓN SECCIÓN DE CIRU</t>
  </si>
  <si>
    <t>7TH INTERNATIONAL MASTER CLASS</t>
  </si>
  <si>
    <t>XVIII REUNIÓN NACIONAL AECP 20</t>
  </si>
  <si>
    <t>44th CONGRESS OF THE EUROPEAN</t>
  </si>
  <si>
    <t>CURSO RADIOFRECUENCIA DE NODUL</t>
  </si>
  <si>
    <t>XLIV JORNADAS DE ACTUALIZACIÓN</t>
  </si>
  <si>
    <t>REUNIÓN NACIONAL ÚLTIMOS AVANC</t>
  </si>
  <si>
    <t>XXV RNC REUNION NACIONAL CIRUG</t>
  </si>
  <si>
    <t>JORNADAS CASOS COMPLEJOS Y CIR</t>
  </si>
  <si>
    <t>27º CONGRESO NACIONAL SECOMCYC</t>
  </si>
  <si>
    <t>ACTUALIZACIÓN EN FISURAS FACIA</t>
  </si>
  <si>
    <t>II FORMACIÓN ESPECIALIZADA TRA</t>
  </si>
  <si>
    <t>BIOIMPRESIÓN 3D: TÉCNOLOGÍA EM</t>
  </si>
  <si>
    <t>IPEG MEETING. KAGOSAIMA.</t>
  </si>
  <si>
    <t>XXV CONGRESO SOCIEDAD PORTUGUE</t>
  </si>
  <si>
    <t>CURSO DE UROLOGÍA FUNCIONAL PE</t>
  </si>
  <si>
    <t>35TH ESPU CONGRESS 2025.</t>
  </si>
  <si>
    <t>X REUNIÓN GRECOP</t>
  </si>
  <si>
    <t>LXII CONGRESO SOCIEDAD ESPAÑOL</t>
  </si>
  <si>
    <t>I CURSO DE UROLOGÍA FUNCIONAL</t>
  </si>
  <si>
    <t>VI CURSO CIRUGÍA DE CONTROL DE</t>
  </si>
  <si>
    <t>35TH ESPU CONGRESS 2025</t>
  </si>
  <si>
    <t>III CURSO PRÁCTICO DE VÍA AÉRE</t>
  </si>
  <si>
    <t>CURSO PRACTICO DE LAPAROSCOPIA</t>
  </si>
  <si>
    <t>AESTHETIC BREAST RECONSTRUCTIO</t>
  </si>
  <si>
    <t>1ST ULTRASOUND FOR MICROSURGEO</t>
  </si>
  <si>
    <t>XII CONGRESS OF THE WORLD SOCI</t>
  </si>
  <si>
    <t>57º CONGRESO NACIONAL SECPRE</t>
  </si>
  <si>
    <t>CURSO ACTUALIZACIÓN EN MELANOM</t>
  </si>
  <si>
    <t>VIDEOCIRUGIAS 20 CIRUJANOS TOP</t>
  </si>
  <si>
    <t>XV CONGRESO DE LA SECT</t>
  </si>
  <si>
    <t>70 CONGRESO SEACV</t>
  </si>
  <si>
    <t>CHARING CROSS</t>
  </si>
  <si>
    <t>IBERIAN AORTIC SUMMIT, 2nd EDI</t>
  </si>
  <si>
    <t>ESVS ANNUAL MEETING 2025</t>
  </si>
  <si>
    <t>NUEVAS TECNOLOGIAS APLICADAS A</t>
  </si>
  <si>
    <t>XX CONVENCION INTERNACIONAL DE</t>
  </si>
  <si>
    <t>52 CONGRESO SOCIEDAD CANARIA D</t>
  </si>
  <si>
    <t>REUNION NEXT MEETING ESPECIALI</t>
  </si>
  <si>
    <t>II JORNADA TRASLACIONAL DE ONC</t>
  </si>
  <si>
    <t>X SIMPOSIO AVANCES DE LAS TÉCN</t>
  </si>
  <si>
    <t>NEXT IN LUNGS - CURSO EN DIAGN</t>
  </si>
  <si>
    <t>LA URGENCIA DE RESPIRAR</t>
  </si>
  <si>
    <t>V CONGRESO INTERNACIONAL CIENT</t>
  </si>
  <si>
    <t>ELA: EL RETO DE ACOMPAÑAR</t>
  </si>
  <si>
    <t>JDP JOURNÉES DERMATOLOGIQUES D</t>
  </si>
  <si>
    <t>36 REUNION GEDET</t>
  </si>
  <si>
    <t>70 REUNION GEIDAC MADRID.</t>
  </si>
  <si>
    <t>10º CONGRESO DE PSORIASIS</t>
  </si>
  <si>
    <t>36 REUNIÓN GEDOC</t>
  </si>
  <si>
    <t>XXVII REUNIÓN CLÍNICA INTERNAC</t>
  </si>
  <si>
    <t>10º CURSO AVANZADO DE DERMATOS</t>
  </si>
  <si>
    <t>37 REUNION GEDOC</t>
  </si>
  <si>
    <t>52 CONGRESO NACIONAL DE DERMAT</t>
  </si>
  <si>
    <t>11TH WORLD CONGRESS OF MELANOM</t>
  </si>
  <si>
    <t>EADV CONGRESS 2025</t>
  </si>
  <si>
    <t>21st CONGRESS OF THE EUROPEAN</t>
  </si>
  <si>
    <t>52 CONGRESO NACIONAL DERMATOLO</t>
  </si>
  <si>
    <t>EADV CONGRESS</t>
  </si>
  <si>
    <t>11 WORLD CONGRESS OF MELANOMA</t>
  </si>
  <si>
    <t>ADD ANNUAL MEETING AMERICAN AC</t>
  </si>
  <si>
    <t>IX PRACTICUM DERMATOLOGÍA PEDI</t>
  </si>
  <si>
    <t>37 REUNIÓN GEDOC</t>
  </si>
  <si>
    <t>MIRADA ATÍPICA, UN NUEVO ENFOQ</t>
  </si>
  <si>
    <t>XII SYMPOSIUM INTERNACIONAL AV</t>
  </si>
  <si>
    <t>XIX REUNION NACIONAL DE RESIDD</t>
  </si>
  <si>
    <t>AEDV 2025</t>
  </si>
  <si>
    <t>XII SYMPOSIUM INTERNACIONAL, A</t>
  </si>
  <si>
    <t>11th WORLD CONGRESS OF MELANOM</t>
  </si>
  <si>
    <t>XII CURSO DE ENFERMEDADES AUTO</t>
  </si>
  <si>
    <t>ROTACIONES INTERPSASIÓN</t>
  </si>
  <si>
    <t>CONGRESO AMERICANO DERMATOLOGÍ</t>
  </si>
  <si>
    <t>XIX REUNION NACIONAL DE RESIDE</t>
  </si>
  <si>
    <t>EADV CONGRESS 2025 PARIS</t>
  </si>
  <si>
    <t>AEDV 2025. 52 CONGRESO NACIONA</t>
  </si>
  <si>
    <t>XXXIII REUNION ASENEM</t>
  </si>
  <si>
    <t>CURSO SEDACION LAS PALMAS SEED</t>
  </si>
  <si>
    <t>JORNADAS FORMATIVAS EII</t>
  </si>
  <si>
    <t>28 REUNIÓN ANUAL ASOCIACIÓN ES</t>
  </si>
  <si>
    <t>GETECCU. 36 REUNIÓN NACIONAL</t>
  </si>
  <si>
    <t>2º JORNADA GETECCU-SER</t>
  </si>
  <si>
    <t>JORNADAS FORMATICAS EN EII</t>
  </si>
  <si>
    <t>50 CONGRESO ANUAL ASOCIACIÓN E</t>
  </si>
  <si>
    <t>CONGRESS EASL 2025</t>
  </si>
  <si>
    <t>CARACTERIZACIÓN DE LESIONES CO</t>
  </si>
  <si>
    <t>CONGRESO NACIONAL DE LA SOCIED</t>
  </si>
  <si>
    <t>EASL CONGRESS</t>
  </si>
  <si>
    <t>VALLADOLIVE 6TH INTERVENTIONAL</t>
  </si>
  <si>
    <t>10º CURSO RESIDENTES AEEH. APL</t>
  </si>
  <si>
    <t>44 JORNADAS SCPD SOCIEDAD CANA</t>
  </si>
  <si>
    <t>47º SEED CONGRESO NACIONAL DE</t>
  </si>
  <si>
    <t>CURSO MONOGRÁFICO EN EII PARA</t>
  </si>
  <si>
    <t>GEECCU. 36 REUNION NACIONAL.</t>
  </si>
  <si>
    <t>20 CONGRESO OF ECCO</t>
  </si>
  <si>
    <t>5 NATONS ADVANCED COURSE ON IB</t>
  </si>
  <si>
    <t>GETECCU 36 REUNION NACIONAL</t>
  </si>
  <si>
    <t>CARACTERIZACIÓN DE LAS LESIONE</t>
  </si>
  <si>
    <t>10º CURSO RESIDENTES AEEH APLI</t>
  </si>
  <si>
    <t>REUNION NACIONAL 2025 SEEDO TO</t>
  </si>
  <si>
    <t>THE 18th INTERNATIONAL CONFERE</t>
  </si>
  <si>
    <t>EASO. 32ND EUROPEAN CONGRESS O</t>
  </si>
  <si>
    <t>II CURSO DE ACTUALIZACIÓN EN D</t>
  </si>
  <si>
    <t>XVI CONGRESO SOCIEDAD CANARIA</t>
  </si>
  <si>
    <t>66 CONGRESO SEEN</t>
  </si>
  <si>
    <t>XXXVI CONGRESO NACIONAL SED</t>
  </si>
  <si>
    <t>ADVANCED TECHNOLOGIES &amp; TREATM</t>
  </si>
  <si>
    <t>XXXVI CONGRESO NACIONAL SOCIED</t>
  </si>
  <si>
    <t>JOIN CONGRESS OF ESPE AND ESE</t>
  </si>
  <si>
    <t>PRESIDENT'S WELCOME LETTER. EU</t>
  </si>
  <si>
    <t>EUROPEAN ASSOCIATION FOR THE S</t>
  </si>
  <si>
    <t>40 CONGRESO NACIONAL SENPE 202</t>
  </si>
  <si>
    <t>47th ESPEN CONGRESS ON CLINICA</t>
  </si>
  <si>
    <t>66 CONGRESO SEEN. GRANADA</t>
  </si>
  <si>
    <t>ESPE-ESE-2025 CONGRESO</t>
  </si>
  <si>
    <t>III CURSO DE ACTUALIZACION DE</t>
  </si>
  <si>
    <t>XXXVI CONGRESO NACIONAL SED. S</t>
  </si>
  <si>
    <t>XXX CURSO DE FORMACIÓN CONTINU</t>
  </si>
  <si>
    <t>TODOS EN RANGO CONSEGUIMOS MAS</t>
  </si>
  <si>
    <t>CURSO FORMATIVO LIPID TALENT 2</t>
  </si>
  <si>
    <t>THE 18th ADVANCED TECHNOLOGIES</t>
  </si>
  <si>
    <t>XVII REUNIÓN CIENTÍFICA ANUAL</t>
  </si>
  <si>
    <t>27º CONGRESO REGIONAL SOGC.</t>
  </si>
  <si>
    <t>IN FERTILITY. ADVANCES MEETING</t>
  </si>
  <si>
    <t>XXI JORNADAS REGIONALES DE MAT</t>
  </si>
  <si>
    <t>THE 33rd WORLD CONGRESS ON CON</t>
  </si>
  <si>
    <t>33rd WORLD CONGRESS ON CONTROV</t>
  </si>
  <si>
    <t>XXII JORNADAS NACIONALES HM GA</t>
  </si>
  <si>
    <t>ESHRE 2025</t>
  </si>
  <si>
    <t>38 CONGRESO NACIONAL SEGO</t>
  </si>
  <si>
    <t>11th INTERNATIONAL IVIRMA CONG</t>
  </si>
  <si>
    <t>FUTURITY. EL ESPACIO DE ENCUEN</t>
  </si>
  <si>
    <t>JORNADAS DE TRANSPARENCIA DE R</t>
  </si>
  <si>
    <t>SEGO 2025</t>
  </si>
  <si>
    <t>ESHRE 2025.</t>
  </si>
  <si>
    <t>XIX CONGRESO NACIONAL DE LABOR</t>
  </si>
  <si>
    <t>VISITA REFERENCE LABORATORY</t>
  </si>
  <si>
    <t>CURSO FORMACIÓN TRAINING CARDI</t>
  </si>
  <si>
    <t>45º CONGRESO SOCIEDAD ESPAÑOLA</t>
  </si>
  <si>
    <t>VIII ESCUELA DE INMUNOLOGÍA E</t>
  </si>
  <si>
    <t>LABCLIN. XIX CONGRESO NACIONAL</t>
  </si>
  <si>
    <t>26th IFCC.EFLM EUROMEDLAB CONG</t>
  </si>
  <si>
    <t>45 CONGRESO SEI</t>
  </si>
  <si>
    <t>387th EUROPEAN IMMUNOGENETICS</t>
  </si>
  <si>
    <t>XVI CONGRESO NACIONAL DE ERROR</t>
  </si>
  <si>
    <t>VII JORNADA NACIONAL: UTILIDAD</t>
  </si>
  <si>
    <t>LABCLIN XIX CONGRESO NACIONAL</t>
  </si>
  <si>
    <t>TOMORROWLAB</t>
  </si>
  <si>
    <t>62nd ERA CONGRESS</t>
  </si>
  <si>
    <t>FORO INNOVAMOS LAB 2025</t>
  </si>
  <si>
    <t>XIX CONGRESO NACIONAL DEL LABO</t>
  </si>
  <si>
    <t>XLI CONGRESO SECA 2025</t>
  </si>
  <si>
    <t>PROGRAMA CONTACT. ESTANCIAS FO</t>
  </si>
  <si>
    <t>RETOS Y OPORTUNIDADES DE LA IN</t>
  </si>
  <si>
    <t>AIDAY AUTOINMUNE DISEASES DAY.</t>
  </si>
  <si>
    <t>26th IFCC-EFLM EUROMEDLAB CONG</t>
  </si>
  <si>
    <t>JORNADAS CIENTÍFICAS ACREDITAC</t>
  </si>
  <si>
    <t>JORNADAS TÉCNICAS, BECKMAN COU</t>
  </si>
  <si>
    <t>ESTANCIAS FORMATIVAS EN ESCLER</t>
  </si>
  <si>
    <t>JORNADAS TÉCNICAS. FORMACIÓN T</t>
  </si>
  <si>
    <t>26TH IFCC-EFLM EUROMEDLAB CONG</t>
  </si>
  <si>
    <t>6ª JORNADA GERIATRIA TRANSVERS</t>
  </si>
  <si>
    <t>65 CONGRESO SEGG-28 CONGRESO S</t>
  </si>
  <si>
    <t>1º REUNIÓN DE PROGRAMACIÓN DE</t>
  </si>
  <si>
    <t>INTERNATIONAL STUDY GROUP OF L</t>
  </si>
  <si>
    <t>JORNADA DE RECUPERACION INTENS</t>
  </si>
  <si>
    <t>XI CURSO DE ECOGRAFÍA GINECOLÓ</t>
  </si>
  <si>
    <t>27 CONGRESO REGIONAL DE LA SOG</t>
  </si>
  <si>
    <t>27º CONGRESO REGIONAL SOGC</t>
  </si>
  <si>
    <t>ENTRENA OBSTETRICIA. VENTE DE</t>
  </si>
  <si>
    <t>3er CAMPUS SEF PRESERVACIÓN DE</t>
  </si>
  <si>
    <t>10 REUNION NACIONAL DE GRUPOS</t>
  </si>
  <si>
    <t>33 WORLD CONGRESS CONTROVERSIE</t>
  </si>
  <si>
    <t>CURSO DE CIRUGÍA DIGESTIVA, UR</t>
  </si>
  <si>
    <t>IX CURSO DE ECOGRAFIA GINECOLO</t>
  </si>
  <si>
    <t>27 CONGRESO REGIONAL SOGC</t>
  </si>
  <si>
    <t>ENTRENA OBSTETRICIA VENTE DE G</t>
  </si>
  <si>
    <t>XXI JORNADAS DE ACTUALIZACIÓN</t>
  </si>
  <si>
    <t>10 REUNIÓN NACIONAL DE GRUPOS</t>
  </si>
  <si>
    <t>XVIII CURSO DE FUNDAMENTOS EN</t>
  </si>
  <si>
    <t>CURSO FUNCIONAL BY SINUG 2025</t>
  </si>
  <si>
    <t>XXIX REUNIÓN NACIONAL GRUPO DE</t>
  </si>
  <si>
    <t>ADVISORY BOARD SOBRE MANEJO Y</t>
  </si>
  <si>
    <t>JORNADA DE RECUPERACIÓN INTENS</t>
  </si>
  <si>
    <t>IX CURSO DE ECOGRAFÍA GINECOLÓ</t>
  </si>
  <si>
    <t>ENTRENA OBSTETRICIA</t>
  </si>
  <si>
    <t>XI CURSO DE ECOGRAFIA GINECOLO</t>
  </si>
  <si>
    <t>CURSO FUNCIONAL BY SINUG.</t>
  </si>
  <si>
    <t>III CONGRESO NACIONAL SEGERF</t>
  </si>
  <si>
    <t>PRIMER CONGRESO NACIONAL DE AC</t>
  </si>
  <si>
    <t>ORIGYN-UNA APROXIMACIÓN A LA S</t>
  </si>
  <si>
    <t>JORNADA DE CIRUGÍA EXPERIMENTA</t>
  </si>
  <si>
    <t>ADVANCED EVALUATION OF PELVIC</t>
  </si>
  <si>
    <t>THE 33ND WORLD CONGRESS CONTRO</t>
  </si>
  <si>
    <t>CONGRESO NACIONAL DE ACTUALIZA</t>
  </si>
  <si>
    <t>WORLD CONGRESS IN FETAL MEDICI</t>
  </si>
  <si>
    <t>IX MATERNAL-FETAL MEDICINE CON</t>
  </si>
  <si>
    <t>II JORNADA DE LA RED DE INVEST</t>
  </si>
  <si>
    <t>XVIII CONGRESO DE LA SOCIEDAD</t>
  </si>
  <si>
    <t>XII CURSO TEÓRICO-PRÁCTICO DE</t>
  </si>
  <si>
    <t>LXVII CONGRESO NACIONAL SEHH S</t>
  </si>
  <si>
    <t>LXVII CONGRESO NACIONAL SEHH.</t>
  </si>
  <si>
    <t>CONFLUENCIAS 2025</t>
  </si>
  <si>
    <t>X EDICIÓN PUESTA AL DÍA HEMATO</t>
  </si>
  <si>
    <t>9º CURSO DE INMERSION EN LA HE</t>
  </si>
  <si>
    <t>XVI CURSO DE GAMMAPATIAS MONOC</t>
  </si>
  <si>
    <t>XXII CURSO MIR DE HEMATOLOGIA</t>
  </si>
  <si>
    <t>XII CURSO TEÓRICO-PRACTICO DE</t>
  </si>
  <si>
    <t>JORNADAS DEL OPERADOR THERAKOS</t>
  </si>
  <si>
    <t>34º CONGRESO DE LA SOCIEDAD ES</t>
  </si>
  <si>
    <t>9th INTERNATIONAL MULTIDISCIPL</t>
  </si>
  <si>
    <t>HEMATOLOGY ONCORE</t>
  </si>
  <si>
    <t>15 REUNIÓN ANUAL GELL</t>
  </si>
  <si>
    <t>MYELO MOMENTS</t>
  </si>
  <si>
    <t>GRUPO ESPAÑOL DE MIELOMA 2025</t>
  </si>
  <si>
    <t>67TH ASH ANNUAL MEETING AND EX</t>
  </si>
  <si>
    <t>HI-LIGHTS. DONDE LAS PIEZAS DE</t>
  </si>
  <si>
    <t>NEUTROFORUM 2025</t>
  </si>
  <si>
    <t>CURSO DE INMERSIÓN EN LA HEMAT</t>
  </si>
  <si>
    <t>III CURSO ACREDITADO PARA RESI</t>
  </si>
  <si>
    <t>18TH ICML. INTERNATIONAL CONFE</t>
  </si>
  <si>
    <t>PRECEPTORSHIP 2025.</t>
  </si>
  <si>
    <t>1ª JORNADA DE ASPECTOS PRÁCTIC</t>
  </si>
  <si>
    <t>66th ASH ANNUAL MEETING AND EX</t>
  </si>
  <si>
    <t>18th ICML. INTERNATIONAL CONFE</t>
  </si>
  <si>
    <t>NEOPLASIAS MIELOPROLIFERATIVAS</t>
  </si>
  <si>
    <t>NEUTROFORUM CAMBIO DE PARADIGM</t>
  </si>
  <si>
    <t>66tH ASH ANNUAL MEETING AND EX</t>
  </si>
  <si>
    <t>5th EDITION HEMPOWER</t>
  </si>
  <si>
    <t>HI LIGTH. DONDE LAS PIEZAS DE</t>
  </si>
  <si>
    <t>12 WORKSHOP ANUAL LMA PETHEMA.</t>
  </si>
  <si>
    <t>PRECEPTORSHIP EN LEUCEMIA LINF</t>
  </si>
  <si>
    <t>XXVIII CONGRESO NACIONAL SEIMC</t>
  </si>
  <si>
    <t>HABILIDADES DE INVESTIGACIÓN E</t>
  </si>
  <si>
    <t>XVI CONGRESO NACIONAL GESIDA.</t>
  </si>
  <si>
    <t>23rd EUROPEAN CONGRESS OF INTE</t>
  </si>
  <si>
    <t>ONCOLOGY TRANSFORMAZION SUMMIT</t>
  </si>
  <si>
    <t>XVIII JORNADAS ANUALES AWGE. A</t>
  </si>
  <si>
    <t>AVANCES Y ACTUALIZACIONES EN H</t>
  </si>
  <si>
    <t>FORO INNOVAMOS LAB CANARIAS</t>
  </si>
  <si>
    <t>ANNUAL CONGRESS OF THE EUROPEA</t>
  </si>
  <si>
    <t>XLI CONGRESO SEMNIM</t>
  </si>
  <si>
    <t>CURSO CAPACITACION DE SUPERVIS</t>
  </si>
  <si>
    <t>JORNADA PARA PORTAVOCES BAYER</t>
  </si>
  <si>
    <t>PET/RM SUMMIT</t>
  </si>
  <si>
    <t>COLLABORATION &amp; INNOVATION SUM</t>
  </si>
  <si>
    <t>25 CURSO PET</t>
  </si>
  <si>
    <t>SPECT/PET CEREBRAL</t>
  </si>
  <si>
    <t>CURSO SPECT/PET CEREBRAL</t>
  </si>
  <si>
    <t>XLII CURSO DE CARDIOLOGIA NUCL</t>
  </si>
  <si>
    <t>20 CONFERENCIA EUROPEA SOBRE E</t>
  </si>
  <si>
    <t>FORMATE 360, ROTACIÓN EN CENTR</t>
  </si>
  <si>
    <t>XVIII FORUM ENFERMEDAD TROMBOE</t>
  </si>
  <si>
    <t>III JORNADA FORMATIVA EN INSUF</t>
  </si>
  <si>
    <t>46 CONGRESO NACIONAL DE LA SOC</t>
  </si>
  <si>
    <t>INTERCONSULTAS EN ENFERMEDADES</t>
  </si>
  <si>
    <t>23 EUROPEAN CONGRESS OF INTERN</t>
  </si>
  <si>
    <t>XIII CURSO DE VMNIEN LA INSUFI</t>
  </si>
  <si>
    <t>XXVII REUNIÓN INSUFICIENCIA CA</t>
  </si>
  <si>
    <t>CURSO ONLINE ECOGRAFÍA CLÍNICA</t>
  </si>
  <si>
    <t>XVIII EPOC-VI REUNIÓN EPOC RES</t>
  </si>
  <si>
    <t>WHAT`S 2025 NEXT IN LIPIDS &amp; C</t>
  </si>
  <si>
    <t>IX REUNIÓN SOBRE ALCOHOL Y OTR</t>
  </si>
  <si>
    <t>XII REUNION PACIENTES CRONICOS</t>
  </si>
  <si>
    <t>1ª EDICION POCUS SUMMIT. DOMIN</t>
  </si>
  <si>
    <t>CLASES TEÓRICAS DEL MÁSTER DE</t>
  </si>
  <si>
    <t>FUNDAMENTOS EN SALUD INTERNACI</t>
  </si>
  <si>
    <t>INVESTIGACIÓN EN SALUD INTERNA</t>
  </si>
  <si>
    <t>XIII REUNION SEMTSI</t>
  </si>
  <si>
    <t>MANEJO DE LAS ENFERMEDADES INF</t>
  </si>
  <si>
    <t>DESCIFRANDO X FABRY</t>
  </si>
  <si>
    <t>CURSO TEÓRICO EN ECOCARDIOSCOP</t>
  </si>
  <si>
    <t>XIX REUNIÓN DIABETES, OBESIDAD</t>
  </si>
  <si>
    <t>ROTACIÓN EN CENTROS DE REFEREN</t>
  </si>
  <si>
    <t>CURSO ACTUALIZACIÓN EN INFECCI</t>
  </si>
  <si>
    <t>FORMACION 360 EN EL MANEJO DE</t>
  </si>
  <si>
    <t>WHAT'S 2025 NEXT IN LIPIDS &amp; C</t>
  </si>
  <si>
    <t>VIII CURSO PRÁCTICO EN TRATAMI</t>
  </si>
  <si>
    <t>XVIII EPOC</t>
  </si>
  <si>
    <t>XII REUNIÓN DE ECOGRAFÍA CLÍNI</t>
  </si>
  <si>
    <t>II JORNADAS CANARIAS DE ENFERM</t>
  </si>
  <si>
    <t>46 CONGRESO NACIONAL SOCIEDAD</t>
  </si>
  <si>
    <t>II CURSO DE FORMACIÓN PARA LOS</t>
  </si>
  <si>
    <t>VII JORNADA ANUAL DE NEUMONIA.</t>
  </si>
  <si>
    <t>TIME POR DELTA</t>
  </si>
  <si>
    <t>CURSO DE ACTUALIZACIÓN EN EL A</t>
  </si>
  <si>
    <t>JORNADAS DE PUERTAS ABIERTAS D</t>
  </si>
  <si>
    <t>ESCMID GLOBAL. EUROPEAN CONGRE</t>
  </si>
  <si>
    <t>I JORNADA CIENTÍFICA DE JÓVENE</t>
  </si>
  <si>
    <t>6ª ESCUELA DE VERANO SEIMC</t>
  </si>
  <si>
    <t>8º ENCUENTRO MULTIDISCIPLINAR</t>
  </si>
  <si>
    <t>35th CONGRESS OF THE EUROPEAN</t>
  </si>
  <si>
    <t>MÓDULO 4. ANÁLISIS DE GENOMAS</t>
  </si>
  <si>
    <t>EUROPEAN CONGRESS OF CLINICAL</t>
  </si>
  <si>
    <t>23rd EUROPEAN CONGRESS OF CLIN</t>
  </si>
  <si>
    <t>XVII REUNION DE LA SOCIEDAD CA</t>
  </si>
  <si>
    <t>AGORA 360 MOLECULAR MICROBIOLO</t>
  </si>
  <si>
    <t>I JORNADA AUTONÓMICA PARA LA P</t>
  </si>
  <si>
    <t>PROGRAMAS DE OPTIMAZACION DEL</t>
  </si>
  <si>
    <t>MICROBIOLGY APP FORUM</t>
  </si>
  <si>
    <t>I JORNADA AUTONÓMICA SOBRE PRE</t>
  </si>
  <si>
    <t>I CURSO PRESENCIAL DE INFECCIO</t>
  </si>
  <si>
    <t>REUNIÓN PRESENCIAL. OPEN THE D</t>
  </si>
  <si>
    <t>SOLUCIONES PARA EL ÁREA DE SER</t>
  </si>
  <si>
    <t>REUNIÓN ANUAL DE EQUIPOS DE TR</t>
  </si>
  <si>
    <t>TRASPLANTE CARE 5 EDICION</t>
  </si>
  <si>
    <t>55 CONGRESO DE LA SOCIEDAD ESP</t>
  </si>
  <si>
    <t>ASTRAZENECA CAREME 2025</t>
  </si>
  <si>
    <t>FUNDAMENTOS DE NUTRICIÓN RENAL</t>
  </si>
  <si>
    <t>18º ENCUENTRO NACIONAL Y 2º EN</t>
  </si>
  <si>
    <t>I CURSO DE ECOGRAFÍA E INTERVE</t>
  </si>
  <si>
    <t>GLOBIDA. EN EL ORIGEN DE LA PA</t>
  </si>
  <si>
    <t>XX CURSO TEÓRICO PRÁCTICO ECOG</t>
  </si>
  <si>
    <t>IX CURSO NACIONAL DE GLOMERULO</t>
  </si>
  <si>
    <t>62 ERA CONGRESS</t>
  </si>
  <si>
    <t>3º CURSO DE TRASPLANTE RENAL D</t>
  </si>
  <si>
    <t>CAREME SUMMIT 2025</t>
  </si>
  <si>
    <t>NOVEDADES TERAPÉUTICAS EN NEFR</t>
  </si>
  <si>
    <t>II PUNTO DE ENCUENTRO SOCAMFYC</t>
  </si>
  <si>
    <t>IV JORNADA ONCONEFROLOGÍA</t>
  </si>
  <si>
    <t>X JORNADAS DE TÉCNICAS APLICAD</t>
  </si>
  <si>
    <t>CURSO DE FORMACIÓN CONTINUADA</t>
  </si>
  <si>
    <t>FORMACIÓN EN LA UNIDAD DE HEMO</t>
  </si>
  <si>
    <t>XLII REUNIÓN SOCIEDAD CANARIA</t>
  </si>
  <si>
    <t>SPLENDID CURSO AVANZADO DE TRA</t>
  </si>
  <si>
    <t>II JORNADA DE TRABAJO RICORS20</t>
  </si>
  <si>
    <t>XLVIII CONGRESO NACIONAL NEFRO</t>
  </si>
  <si>
    <t>CONGRESO SOCANNE. XLII REUNIÓN</t>
  </si>
  <si>
    <t>DOKI CME. EXERCISE AND DIET IN</t>
  </si>
  <si>
    <t>ESOT CONGRESS. THE INTERNATION</t>
  </si>
  <si>
    <t>IMLIFIDASE ACADEMY III</t>
  </si>
  <si>
    <t>REUNION DE LANZAMIENTO INDICAC</t>
  </si>
  <si>
    <t>ESOT CONGRESS. NURTURING A SUS</t>
  </si>
  <si>
    <t>13 DETECT ACS ANTI-HLA</t>
  </si>
  <si>
    <t>DETECTACS ANTI-HLA</t>
  </si>
  <si>
    <t>CURSO AVANZADO DE TRASPLANTE R</t>
  </si>
  <si>
    <t>5ª EDICION 2025 TRANSPLANTCARE</t>
  </si>
  <si>
    <t>REUNIÓN DE LANZAMIENTO INDICAC</t>
  </si>
  <si>
    <t>XLII REUNION SOCIEDAD CANARIA</t>
  </si>
  <si>
    <t>IV JORNADAS DE NEFROPATÍAS HER</t>
  </si>
  <si>
    <t>3º CURSO DE CARDIONEFROLOGIA P</t>
  </si>
  <si>
    <t>FUNDAMENTOS DE LA DIÁLISIS PER</t>
  </si>
  <si>
    <t>20 CURSO DE HIPERTENSIÓN ARTER</t>
  </si>
  <si>
    <t>13 DETECTACS ANTI-HLA</t>
  </si>
  <si>
    <t>XXX CURSO DE ACTUALIZACIÓN EN</t>
  </si>
  <si>
    <t>20 CURSO HTA, DIABETES Y RIESG</t>
  </si>
  <si>
    <t>1ªEDICION POCUS SUMMIT. DOMINA</t>
  </si>
  <si>
    <t>VIII CARDIOREN</t>
  </si>
  <si>
    <t>II REUNIÓN NACIONAL ESTIMULACI</t>
  </si>
  <si>
    <t>CAREMA SUMMIT 25</t>
  </si>
  <si>
    <t>X CURSO DE FORMACION EN NEFROL</t>
  </si>
  <si>
    <t>XII CURSO VASCULITIS DE LA SOC</t>
  </si>
  <si>
    <t>20th JOHN VANE MEMORIAL SYMPOS</t>
  </si>
  <si>
    <t>V CURSO REGIONAL NEUMOLOGIA IN</t>
  </si>
  <si>
    <t>XXXIX CONGRESO REGIONAL NEUMOC</t>
  </si>
  <si>
    <t>II CURSO DE ETV PARA RESIDENTE</t>
  </si>
  <si>
    <t>GESTION ESTRATEGICA EN EL MANE</t>
  </si>
  <si>
    <t>34 REUNIÓN DE INVIERNO CONJUNT</t>
  </si>
  <si>
    <t>58º CONGRESO SEPAR</t>
  </si>
  <si>
    <t>CURSO NEW GENERATION OF LEADER</t>
  </si>
  <si>
    <t>2º EDICIÓN CURSO DE ECOGRAFÍA</t>
  </si>
  <si>
    <t>58 CONGRESO SEPAR 2025</t>
  </si>
  <si>
    <t>35 REUNIÓN DE INVIERNO CONJUNT</t>
  </si>
  <si>
    <t>V REUNIÓN NACIONAL HAPPEN.</t>
  </si>
  <si>
    <t>VIDEOFORO. 4º INTERNACIONAL EN</t>
  </si>
  <si>
    <t>BRONCOSCOPIAS Y ASMA GRAVE</t>
  </si>
  <si>
    <t>TALLER TEÓRICO-PRÁCTICO SOBRE</t>
  </si>
  <si>
    <t>XXIX CONGRESO NACIONAL ASOCIAC</t>
  </si>
  <si>
    <t>CURSO CITOLOGÍA RÁPIDA ''IN SI</t>
  </si>
  <si>
    <t>34 REUNIÓN DE INVIERNO ÁREAS S</t>
  </si>
  <si>
    <t>CURSO SOBRE EL MANEJO DE LA IN</t>
  </si>
  <si>
    <t>TALLER TEORICO-PRACTICO SOBRE</t>
  </si>
  <si>
    <t>34 REUNIÓN DE INVIERNO CONUNTA</t>
  </si>
  <si>
    <t>58 CONGRESO SEPAR</t>
  </si>
  <si>
    <t>ATS 2025</t>
  </si>
  <si>
    <t>ARIA INSPIRE BREATH</t>
  </si>
  <si>
    <t>V REUNION NACIONAL HAPPEN.</t>
  </si>
  <si>
    <t>CHEST 2025</t>
  </si>
  <si>
    <t>8TH EDITION DAAT EXPERT FORUM</t>
  </si>
  <si>
    <t>IV JORNADA INTERNACIONAL MULTI</t>
  </si>
  <si>
    <t>CHICAGO CHEST 2025 ADVANCING E</t>
  </si>
  <si>
    <t>XXXVII CURSO DE ACTUALIZACION</t>
  </si>
  <si>
    <t>IV CURSO DE ETV PARA RESIDENTE</t>
  </si>
  <si>
    <t>ARIA 2025</t>
  </si>
  <si>
    <t>V CURSO REGIONAL NEUMOLOGÍA IN</t>
  </si>
  <si>
    <t>PROGRAMA DE TRATAMIENTO INTEGR</t>
  </si>
  <si>
    <t>35 REUNION DE INVIERNO CONJUNT</t>
  </si>
  <si>
    <t>TRATAMIENTO CON ANTICUERPOS MO</t>
  </si>
  <si>
    <t>JORNADA DE FORMACIÓN DE CIRUGÍ</t>
  </si>
  <si>
    <t>IX CONGRESO SOCIEDAD ESPAÑOLA</t>
  </si>
  <si>
    <t>XXVI CONGRESS OF THE EUROPEAN</t>
  </si>
  <si>
    <t>ECODOLOR 2025. TÉCNICAS INVASI</t>
  </si>
  <si>
    <t>XXVIII CONGRESO SOCIEDAD ESPAÑ</t>
  </si>
  <si>
    <t>XVI CONGRESO NACIONAL SEBAC</t>
  </si>
  <si>
    <t>8TH MAPPING COURSE BELLVITGE 2</t>
  </si>
  <si>
    <t>CURSO DE ACTUALIZACIÓN Y EVIDE</t>
  </si>
  <si>
    <t>24 CONGRESO NACIONAL NEURORAQU</t>
  </si>
  <si>
    <t>39 CONGRESO NACIONAL GEER</t>
  </si>
  <si>
    <t>40 REUNIÓN DE LA SOCIEDAD ESPA</t>
  </si>
  <si>
    <t>MÁSTER UNIVERSITARIO EN ASPECT</t>
  </si>
  <si>
    <t>7º CURSO BÁSICO VÍAS ABORDAJE</t>
  </si>
  <si>
    <t>V CURSO DE ACTUALIZACIÓN EN PA</t>
  </si>
  <si>
    <t>IX CURSO BÁSICO DE PATOLOGÍA V</t>
  </si>
  <si>
    <t>SENEP 2025-40 REUNIÓN SOCIEDAD</t>
  </si>
  <si>
    <t>CURSO TEÓRICO &amp; PRÁCTICO STRYK</t>
  </si>
  <si>
    <t>TRAINING &amp; EDUCATION CSDH MEET</t>
  </si>
  <si>
    <t>CURSO EGG EN PACIENTES CRÍTICO</t>
  </si>
  <si>
    <t>IX CONGRESO ASOCIACIÓN MONITOR</t>
  </si>
  <si>
    <t>ECCN LONDON 2025</t>
  </si>
  <si>
    <t>IX CONGRESO ASOCIACIÓN DE MONI</t>
  </si>
  <si>
    <t>CURSO DE VIDEOELECTROENCEFALOG</t>
  </si>
  <si>
    <t>2º EDICIÓN AVANCES NEUROFISIOL</t>
  </si>
  <si>
    <t>ECCN 2025 LONDON</t>
  </si>
  <si>
    <t>ECTRIMS 2025. 41ST CONGRESS OF</t>
  </si>
  <si>
    <t>PRECEPTORSHIP MERCK</t>
  </si>
  <si>
    <t>NEWROLOGY COPENHAGUE</t>
  </si>
  <si>
    <t>NEURO SUMMIT 2025</t>
  </si>
  <si>
    <t>PRECEPTORSHIP ESCLEROSIS MÚLTI</t>
  </si>
  <si>
    <t>ECTRIMS 2025. 4ºST CONGRESS OF</t>
  </si>
  <si>
    <t>POST EHF 2025</t>
  </si>
  <si>
    <t>REUNIÓN SOCANE SOCIEDAD CANARI</t>
  </si>
  <si>
    <t>XXXI CURSO DE ENFERMEDADES CER</t>
  </si>
  <si>
    <t>LXXVII RASEN</t>
  </si>
  <si>
    <t>XXIII JORNADAS DE LA SOCIEDAD</t>
  </si>
  <si>
    <t>LXXVII REUNIÓN ANUAL DE LA SOC</t>
  </si>
  <si>
    <t>XI CONGRESO SOCIEDAD ESPAÑOLA</t>
  </si>
  <si>
    <t>3º REUNIÓN NACIONAL ANUAL DEL</t>
  </si>
  <si>
    <t>EHC25 19TH EUROPEAN HEADACHE C</t>
  </si>
  <si>
    <t>EPILEPSIAS AUTOINMUNES</t>
  </si>
  <si>
    <t>36TH INTERNATIONAL EPILEPSY CO</t>
  </si>
  <si>
    <t>LXXVII REUNION ANUAL DE LA SOC</t>
  </si>
  <si>
    <t>XI CONGRESO DE LA SOCIEDAD ESP</t>
  </si>
  <si>
    <t>ECOTOXIN NEUROLOGÍA CLIMB</t>
  </si>
  <si>
    <t>EXPERIENCE ON. EXPERIENCIAS Y</t>
  </si>
  <si>
    <t>XX NEUROFARMACOLOGÍA DE LOS TR</t>
  </si>
  <si>
    <t>ADBS IBERIA INNOVATION SUMMIT</t>
  </si>
  <si>
    <t>LXXVII RASEN REUNION ANUAL DE</t>
  </si>
  <si>
    <t>EUS EVIDENCE UPDATE SUMMIT EPI</t>
  </si>
  <si>
    <t>MEJORA DEL MANEJO DEL PACIENTE</t>
  </si>
  <si>
    <t>THE IHC 2025</t>
  </si>
  <si>
    <t>XIV REUNIÓN DE ACTUALIZACIONES</t>
  </si>
  <si>
    <t>IV CONGRESO DE RESIDENTES DE N</t>
  </si>
  <si>
    <t>7ª CURSO RESIDENTES NEUROLOGÍA</t>
  </si>
  <si>
    <t>17TH WORLD STROKE CONGRESS</t>
  </si>
  <si>
    <t>LXXVII REURION ANUAL DE LA SOC</t>
  </si>
  <si>
    <t>19TH EUROPEAN HEADACHE CONGRES</t>
  </si>
  <si>
    <t>REUNIÓN DE PRIMAVERA SOCIEDAD</t>
  </si>
  <si>
    <t>NEURODAYS UPDATE EN PARKINSONI</t>
  </si>
  <si>
    <t>CONGRESO ECTRIMS 2025</t>
  </si>
  <si>
    <t>VIII CONFERENCIA MALAGA ALZHEI</t>
  </si>
  <si>
    <t>CENTRO DE EXCELENCIA EN ALZHEI</t>
  </si>
  <si>
    <t>CURSO DE CIRUGIA ENDOSCOPICA N</t>
  </si>
  <si>
    <t>CURSO BASICO DE DISECCION DE H</t>
  </si>
  <si>
    <t>76 CONGRESO NACIONAL SEORL-CCC</t>
  </si>
  <si>
    <t>V EDICIÓN THE EAR LAB</t>
  </si>
  <si>
    <t>XI REUNIÓN DE ORL DE INVIERNO</t>
  </si>
  <si>
    <t>IX CURSO DE INTRODUCCION A LA</t>
  </si>
  <si>
    <t>76 CONGRESO NACIONAL SEORL CCC</t>
  </si>
  <si>
    <t>25º CURSO DE DISECCIÓN Y ANATO</t>
  </si>
  <si>
    <t>XXX CURSO DE CIRUGÍA CERVICAL</t>
  </si>
  <si>
    <t>CURSO PROCEDIMIENYOS EN CONSUL</t>
  </si>
  <si>
    <t>XXVI REUNIÓN INVERNAL DE OTOLO</t>
  </si>
  <si>
    <t>CURSO ECOGRAFÍA EN CABEZA Y CU</t>
  </si>
  <si>
    <t>II CURSO DE RECONSTRUCCIÓN EN</t>
  </si>
  <si>
    <t>ESENCIALES EN RINOSINUSITIS CR</t>
  </si>
  <si>
    <t>RINNOVA. REUNIÓN NACIONAL DE I</t>
  </si>
  <si>
    <t>ACTUALIZACIÓN DE LA RSCCPN Y T</t>
  </si>
  <si>
    <t>30th CONGRESS OF EUROPEAN RHIN</t>
  </si>
  <si>
    <t>PRECISION QUIRURGICA PARA LA C</t>
  </si>
  <si>
    <t>30 CONGRESS OF EUROPEAN RHINOL</t>
  </si>
  <si>
    <t>RINNOVA, REUNIÓN NACIONAL DE I</t>
  </si>
  <si>
    <t>ACTUALIZACION DE LA RSCCPN Y T</t>
  </si>
  <si>
    <t>VIII REUNIÓN DE PRIMAVERA</t>
  </si>
  <si>
    <t>CURSO DE ECOGRAFÍA EN CABEZA Y</t>
  </si>
  <si>
    <t>CURSO DE PROCEDIMIENTOS EN CON</t>
  </si>
  <si>
    <t>IV CURSO DE CIRUGÍA LARÍNGEA</t>
  </si>
  <si>
    <t>VI EDICION EXPERTO EN ESTETICA</t>
  </si>
  <si>
    <t>CURSO BÁSICO DE SUTURAS EN OFT</t>
  </si>
  <si>
    <t>101 CONGRESO DE LA SOCIEDAD ES</t>
  </si>
  <si>
    <t>BAUSCH LOMB BIOMETRICS SUMMIT</t>
  </si>
  <si>
    <t>XXII REUNIÓN ANUAL DE LA SOCIE</t>
  </si>
  <si>
    <t>IV JORNADAS NEUROOFTALMOLOGÍA</t>
  </si>
  <si>
    <t>AMIR AESTHETIC MEDICINE. MASTE</t>
  </si>
  <si>
    <t>XXV SIMPOSIO DE CONTROVERSIAS</t>
  </si>
  <si>
    <t>HIGH TECH DAYS 2025</t>
  </si>
  <si>
    <t>HORIZONTE ALCON 2025</t>
  </si>
  <si>
    <t>XXII REUNIÓN ANUAL SOCIEDAD DE</t>
  </si>
  <si>
    <t>40 CONGRESO SECOIR</t>
  </si>
  <si>
    <t>19 CONGRESO SOCIEDAD ESPAÑOLA</t>
  </si>
  <si>
    <t>HORIZONTE ALCON 2025. REIMAGIN</t>
  </si>
  <si>
    <t>REUNIÓN READYT 2025.</t>
  </si>
  <si>
    <t>28 CONGRESO SOCIEDAD ESPAÑOLA</t>
  </si>
  <si>
    <t>READYT RETINA AVANCES EN EL DI</t>
  </si>
  <si>
    <t>43RD CONGRESS OF THE ESCRS</t>
  </si>
  <si>
    <t>ADVANCED SURGICAL GLAUCOMA (MI</t>
  </si>
  <si>
    <t>XXVIII CURSO NACIONAL DE INICI</t>
  </si>
  <si>
    <t>WORLD SOCIETY OF OPHTHALMIC PL</t>
  </si>
  <si>
    <t>XXXIV CONGRESO SECOP</t>
  </si>
  <si>
    <t>HORIZONTE ALCON 2025 REIMAGINA</t>
  </si>
  <si>
    <t>READYT. RETINA: AVANCES EN EL</t>
  </si>
  <si>
    <t>25th EURETINA CONGRESS 2025</t>
  </si>
  <si>
    <t>XXVIII CURO NACIONAL DE INICIO</t>
  </si>
  <si>
    <t>101 CONGRESO SOCIEDAD ESPAÑOLA</t>
  </si>
  <si>
    <t>SECOMIR 9º CURSO ACTUALIZACIÓN</t>
  </si>
  <si>
    <t>19 CONGRESO DE LA SOCIEDAD ESP</t>
  </si>
  <si>
    <t>25th EURERINA CONGRESS</t>
  </si>
  <si>
    <t>X EDICIÓN READYT</t>
  </si>
  <si>
    <t>XXII REUNIÓN ANUAL D ELA SOCIE</t>
  </si>
  <si>
    <t>REUNUR XVII. URGENCIAS QUIRÚRG</t>
  </si>
  <si>
    <t>SHINTEN 10 AÑOS INNOVANDO EN G</t>
  </si>
  <si>
    <t>WSOPRAS 2025</t>
  </si>
  <si>
    <t>RETINA BILBAO. I CURSO DE ACTU</t>
  </si>
  <si>
    <t>DESAFIO MACULAR BY BAYER</t>
  </si>
  <si>
    <t>CEM ESPECIALISTAS. PROGRAMA AV</t>
  </si>
  <si>
    <t>COURSE BASIC CATARACT</t>
  </si>
  <si>
    <t>ESCRS. COPEN HAGEN 2025.</t>
  </si>
  <si>
    <t>52º CONGRESO SOCIEDAD CANARIA</t>
  </si>
  <si>
    <t>10 READYT RETINA AVANCES EN EL</t>
  </si>
  <si>
    <t>V DESAFÍO MACULAR</t>
  </si>
  <si>
    <t>FLORETING ICOOR 2025</t>
  </si>
  <si>
    <t>PROGRAMA UNIVERSITARIO ACCESO</t>
  </si>
  <si>
    <t>EURETINA 2025</t>
  </si>
  <si>
    <t>SOCIEDAD EUROPEA DE OFTALMOLOG</t>
  </si>
  <si>
    <t>25TH EURETINA CONGRESS PARIS 2</t>
  </si>
  <si>
    <t>101 CONGRESO SEO</t>
  </si>
  <si>
    <t>PRECEPTORSHIP TUMORES VÍA BILI</t>
  </si>
  <si>
    <t>X SIMPOSIO. SYMPOSIUM 2025. BI</t>
  </si>
  <si>
    <t>XXXIII SIMPOSIO INTERNACIONAL</t>
  </si>
  <si>
    <t>ONCO ACADEMY NEXTGEN ONCOLOGÍA</t>
  </si>
  <si>
    <t>XXXIII SIMPOSIO INTERNACIONAL.</t>
  </si>
  <si>
    <t>27º CURSO R5 - EN EL UMBRAL DE</t>
  </si>
  <si>
    <t>CONGRESO SEOM 2025</t>
  </si>
  <si>
    <t>1ST ENDEAVOUR-BREAST ANNUAL ME</t>
  </si>
  <si>
    <t>BREAST CANCER. MANAGEMENT: LAT</t>
  </si>
  <si>
    <t>SABCS 2025 SYMPOSIUM</t>
  </si>
  <si>
    <t>2025 ASCO ANNUAL MEETING.</t>
  </si>
  <si>
    <t>X CURSO GEM. FORMACION EN CUES</t>
  </si>
  <si>
    <t>27º CURSO R5. EN EL UMBRAL DE</t>
  </si>
  <si>
    <t>XIX CURSO SEOM PARA RESIDENTES</t>
  </si>
  <si>
    <t>CONGRESO ESMD 2025</t>
  </si>
  <si>
    <t>SEOM 2025</t>
  </si>
  <si>
    <t>XVIII CURSO GOTEL</t>
  </si>
  <si>
    <t>X SIMPOSIO ONCOPROMESAS VS ONC</t>
  </si>
  <si>
    <t>XVII CURSO AVANZADO DE SARCOMA</t>
  </si>
  <si>
    <t>XXV JORNADA DE REVISIÓN DEL CO</t>
  </si>
  <si>
    <t>XVIII CURSO GOTEL.</t>
  </si>
  <si>
    <t>ESMD CONGRESS BERLIN 2025</t>
  </si>
  <si>
    <t>THE ESMO ACADEMY 2025.</t>
  </si>
  <si>
    <t>ESMO ACADEMY 2025</t>
  </si>
  <si>
    <t>15º CURSO DE CAPACITACIÓN EN C</t>
  </si>
  <si>
    <t>16TH CONGRESS LUNG ON</t>
  </si>
  <si>
    <t>XXIX REUNIÓN ANUAL SOCIEDAD ES</t>
  </si>
  <si>
    <t>XLVI REUNIÓN SOCIEDAD ESPAÑOLA</t>
  </si>
  <si>
    <t>XI CURSO DE NEUROLOGÍA PEDIÁTR</t>
  </si>
  <si>
    <t>39 CONGRESO NACIONAL. SOCIEDAD</t>
  </si>
  <si>
    <t>71º CONGRESO AEP</t>
  </si>
  <si>
    <t>PRECEPTORSHIP NF1</t>
  </si>
  <si>
    <t>HEMATOLOGÍA PEDIÁTRICA: TODO A</t>
  </si>
  <si>
    <t>AVANCES EN GASTROENTEROLOGIA,</t>
  </si>
  <si>
    <t>XXXI CONGRESO SEGHNP 2028</t>
  </si>
  <si>
    <t>7th INTERNATIONAL SYMPOSIUM ON</t>
  </si>
  <si>
    <t>XII CONGRESO DE LA SOCIEDAD ES</t>
  </si>
  <si>
    <t>52º REUNIÓN ANUAL CONJUNTA DE</t>
  </si>
  <si>
    <t>II JORNADAS DE ACANEP</t>
  </si>
  <si>
    <t>21 CONGRESO ACTUALIACIÓN PEDIA</t>
  </si>
  <si>
    <t>JORNADA INSULAR PARA LA PREVEN</t>
  </si>
  <si>
    <t>39 CONGRESO NACIONAL SEPEAP. I</t>
  </si>
  <si>
    <t>52ª REUNIÓN ANUAL CONJUNTA DE</t>
  </si>
  <si>
    <t>71 CONGRESO AEP</t>
  </si>
  <si>
    <t>ANALGESIA Y SEDACION EN EL PAC</t>
  </si>
  <si>
    <t>CURSO TEORICO-PRACTICO EN COLE</t>
  </si>
  <si>
    <t>I FORO LIVERCARE</t>
  </si>
  <si>
    <t>XXXI CONGRESO SEGHNP</t>
  </si>
  <si>
    <t>III EDICIÓN JORNADAS SALUD MEN</t>
  </si>
  <si>
    <t>XXVII CONGRESO DE PEDIATRIA SO</t>
  </si>
  <si>
    <t>II CURSO DE ECOGRAFÍA CLÍNICA</t>
  </si>
  <si>
    <t>XXIX REUNION ANUAL DE LA SOCIE</t>
  </si>
  <si>
    <t>XVII CURSO DE ARRITMIAS EN LA</t>
  </si>
  <si>
    <t>58th ANNUAL MEETING OF THE ASS</t>
  </si>
  <si>
    <t>57TH ANNUAL MEETING OF THE EUR</t>
  </si>
  <si>
    <t>21º CONGRESO ACTUALIZACIÓN PED</t>
  </si>
  <si>
    <t>SEUP 2025. XXIX REUNIÓN ANUAL</t>
  </si>
  <si>
    <t>47º CONGRESO FSEEP</t>
  </si>
  <si>
    <t>II CURSO DE ADOLESCENCIA: GINE</t>
  </si>
  <si>
    <t>47º FUNDACIÓN SOCIEDAD ESPAÑOL</t>
  </si>
  <si>
    <t>15º CURSO PRACTICO EAPAP PARA</t>
  </si>
  <si>
    <t>52º REUNIÓN ANUAL CONJUNTA SOC</t>
  </si>
  <si>
    <t>PEDIVAD. VÍA AÉREA DIFÍCIL EN</t>
  </si>
  <si>
    <t>CURSO DE ACTUALIZACIÓN EN NEON</t>
  </si>
  <si>
    <t>CURSO DE VENTILACION MECANICA</t>
  </si>
  <si>
    <t>INTERNATIONAL CONGRESS OF INBO</t>
  </si>
  <si>
    <t>XLVII REUNIÓN ANUAL SENEP</t>
  </si>
  <si>
    <t>XXXVIII EDICION. AVANCES EN NE</t>
  </si>
  <si>
    <t>XI CONGRESO DE LA SEEP</t>
  </si>
  <si>
    <t>III CURSO DE ADOLESCENCIA: GIN</t>
  </si>
  <si>
    <t>12 INTERNATIONAL CONFERENCE ON</t>
  </si>
  <si>
    <t>XXXI CONGRESO SEGHNP.</t>
  </si>
  <si>
    <t>ICIEM 2025 INTERNATIONAL CONGR</t>
  </si>
  <si>
    <t>CURSO DE SALUD Y PROCESOS MIGR</t>
  </si>
  <si>
    <t>43º CONGRESO ANUAL SOCIEDAD EU</t>
  </si>
  <si>
    <t>PRIMER CURSO DE AVANCES EN PAT</t>
  </si>
  <si>
    <t>47 CONGRESO FSEEP</t>
  </si>
  <si>
    <t>HENNING ANDERSEN EDUCATIONAL</t>
  </si>
  <si>
    <t>ONCOMING LLA. INTELIGENCIA ART</t>
  </si>
  <si>
    <t>8ª JORNADA UNIDAD MULTIDISCIPL</t>
  </si>
  <si>
    <t>XXXVIII EDICIÓN JORNADAS AVANC</t>
  </si>
  <si>
    <t>SEUP 2025. XXIX REUNION ANUAL</t>
  </si>
  <si>
    <t>THE 3RD CONGRESS OF INSPIRED I</t>
  </si>
  <si>
    <t>XLVI REUNION SOCIEDAD ESPAÑOLA</t>
  </si>
  <si>
    <t>XVIII CONGRESO NACIONAL SEFQ</t>
  </si>
  <si>
    <t>XV CURSO GETECCU-SEGHNP SOBRE</t>
  </si>
  <si>
    <t>XXIV CURSO DE ACTUALIZACIÓN EN</t>
  </si>
  <si>
    <t>XX REUNIÓN DEL GRUPO DE TRABAJ</t>
  </si>
  <si>
    <t>XXX CONGRESO DE NEONATOLOGIA Y</t>
  </si>
  <si>
    <t>XXVIII REUNIÓN ANUAL GRUPO DE</t>
  </si>
  <si>
    <t>XXX CONGRESO DE NEONATOLOGÍA Y</t>
  </si>
  <si>
    <t>XXX CONGRESO NEONATOLOGÍA Y ME</t>
  </si>
  <si>
    <t>CURSO SEMI-PRESENCIAL DE ECOGR</t>
  </si>
  <si>
    <t>XX REUNION DEL GRUPO DE TRABAJ</t>
  </si>
  <si>
    <t>PERCEPTORSHIP HIPEROXALURIA PR</t>
  </si>
  <si>
    <t>MÁSTER CARDIOLOGÍA PEDIÁTRICA</t>
  </si>
  <si>
    <t>FORO SEGHNP</t>
  </si>
  <si>
    <t>ICON INTERNATIONAL CHOLESTASIS</t>
  </si>
  <si>
    <t>XV CONGRESO NACIONAL DE TRASTO</t>
  </si>
  <si>
    <t>APLICACIONES CLÍNICAS DE LA TE</t>
  </si>
  <si>
    <t>XXIV CONGRESO NACIONAL Y V INT</t>
  </si>
  <si>
    <t>VI CONGRESO IBERICO DE TERAPIA</t>
  </si>
  <si>
    <t>JORNADA DE FORMACIÓN DIALOGOS</t>
  </si>
  <si>
    <t>IV JORNADAS DE PATOLOGIA DUAL</t>
  </si>
  <si>
    <t>JORNADA PREVENCION DE LOS TRAS</t>
  </si>
  <si>
    <t>JORNADAS: ACTUALIZACIÓN EN EL</t>
  </si>
  <si>
    <t>ABORDAJE INTERDISCIPLINAR EN E</t>
  </si>
  <si>
    <t>TOP 10 PSIQUIATRIA. UNA PUESTA</t>
  </si>
  <si>
    <t>38TH ECNP CONGRESS AMSTERDAM</t>
  </si>
  <si>
    <t>27º CONGRESO DE PATOLOGÍA DUAL</t>
  </si>
  <si>
    <t>MENS SANA IN CORPORE SANO</t>
  </si>
  <si>
    <t>ATENCION EN CRISIS BASADA EN D</t>
  </si>
  <si>
    <t>XXIX CURSO ANUAL DE ESQUIZOFRE</t>
  </si>
  <si>
    <t>APLICACIONES CLINICAS DE LA TE</t>
  </si>
  <si>
    <t>68 CONGRESO AEPNYA</t>
  </si>
  <si>
    <t>JORNADA DE PREVENCION DEL SUIC</t>
  </si>
  <si>
    <t>TRATAMIENTO INTEGRADO DE TRAST</t>
  </si>
  <si>
    <t>XXVI CONGRESO VIRTUAL INTERNAC</t>
  </si>
  <si>
    <t>XV CONGRESO COMITÉ NACIONAL PR</t>
  </si>
  <si>
    <t>IV JORNADAS PATOLOGÍA DUAL Y A</t>
  </si>
  <si>
    <t>1ª JORNADAS DE SALUD MENTAL Y</t>
  </si>
  <si>
    <t>II CONGRESO DE NEUROPSIQUIATRI</t>
  </si>
  <si>
    <t>TOP 10 PSIQUIATRÍA</t>
  </si>
  <si>
    <t>URGENCIAS DE PSIQUIATRIA Y SAL</t>
  </si>
  <si>
    <t>XXIV CONGRESO ACIONAL Y V INTE</t>
  </si>
  <si>
    <t>EL PARADIGMA DE LA COMPLEJIDAD</t>
  </si>
  <si>
    <t>SEPD. 27º CONGRESO DE PATOLOGÍ</t>
  </si>
  <si>
    <t>XXIX CONGRESO AEN</t>
  </si>
  <si>
    <t>PSYCHIATRIC GENETICS CONGRESS</t>
  </si>
  <si>
    <t>CURSO-TALLER ARTE Y CIENCIA TE</t>
  </si>
  <si>
    <t>I JORNADAS AUTONOMICAS DE PROM</t>
  </si>
  <si>
    <t>I JORNADAS DE SALUD MENTAL PER</t>
  </si>
  <si>
    <t>1º CONGRESO INTERNACIONAL CONE</t>
  </si>
  <si>
    <t>II JORNADA DE ACOPAÑAMIENTO AL</t>
  </si>
  <si>
    <t>JORNADA: DERECHO A SER HUMANO.</t>
  </si>
  <si>
    <t>ARTE Y CIENCIA PARA LA TERAPÉU</t>
  </si>
  <si>
    <t>68 CONGRSO AEPNYA. II AL IAM P</t>
  </si>
  <si>
    <t>ADOLESCENCIAS FRÁGILES. SEMINA</t>
  </si>
  <si>
    <t>XI JORNADAS LA REVOLUCION DELI</t>
  </si>
  <si>
    <t>VII JORNADAS CANARIAS DE TERAP</t>
  </si>
  <si>
    <t>DEPRESION DIFICIL DE TRATAR</t>
  </si>
  <si>
    <t>MASTER DE PSIQUIATRÍA LEGAL 20</t>
  </si>
  <si>
    <t>16º CURSO TÉCNICAS DE IMAGEN M</t>
  </si>
  <si>
    <t>JORNADAS SERAM ARRS</t>
  </si>
  <si>
    <t>CURSO 16º TÉCNICAS DE IMAGEN M</t>
  </si>
  <si>
    <t>VISITA FORMATIVA A LA FÁBRICA</t>
  </si>
  <si>
    <t>XXVI JORNADAS SERME</t>
  </si>
  <si>
    <t>III MADRID CARDIAC CT ACADEMY</t>
  </si>
  <si>
    <t>XIX CURSO DE LA SOCIEDAD ESPAÑ</t>
  </si>
  <si>
    <t>ANNUAL MEETING AND POSTGRADUAT</t>
  </si>
  <si>
    <t>CURSON LINNC LIVE INTERVENTION</t>
  </si>
  <si>
    <t>II SERAU-ESER SCIENTIFIC MEETI</t>
  </si>
  <si>
    <t>II JORNADA DE ACTUALIZACIÓN EN</t>
  </si>
  <si>
    <t>14 REUNIÓN DE UNIDADES DE MAMA</t>
  </si>
  <si>
    <t>7CEMA. 7 CONGRESO ESPAÑOL DE L</t>
  </si>
  <si>
    <t>2025 EUROPEAN CONGRESS OF RADI</t>
  </si>
  <si>
    <t>SILAN XXXV CONGRESO DE LA SOCI</t>
  </si>
  <si>
    <t>XXIV CONGRESO DE LA SOCIEDAD E</t>
  </si>
  <si>
    <t>XXI CURSO NACIONAL DE NEURORRA</t>
  </si>
  <si>
    <t>7 CEMA. 7 CONGRESO ESPAÑOL DE</t>
  </si>
  <si>
    <t>RSNA 2025-ANNUAL CONGRESS</t>
  </si>
  <si>
    <t>PET/RM SUMMIT: PRESENTE Y FUTU</t>
  </si>
  <si>
    <t>ISS2025. 51ST ANNUAL CONFERENC</t>
  </si>
  <si>
    <t>7 CONGRESO ESPAÑOL DE LA MAMA.</t>
  </si>
  <si>
    <t>CONGRESO SIDI</t>
  </si>
  <si>
    <t>LINC 2025</t>
  </si>
  <si>
    <t>IX REUNION DE DEBATE DE CONTRO</t>
  </si>
  <si>
    <t>CS508EU-ETHOS ADAPTIVE CLINICA</t>
  </si>
  <si>
    <t>13º CURSO TRATAMIENTOS DE SOPO</t>
  </si>
  <si>
    <t>CURSO CAPACITACIÓN DE SUPERVIS</t>
  </si>
  <si>
    <t>XVII CURSO DE INDICACIONES CLÍ</t>
  </si>
  <si>
    <t>TRANSFORMATIVE INNOVATION THRO</t>
  </si>
  <si>
    <t>RECORD - RECORDATI ONCORADIOLO</t>
  </si>
  <si>
    <t>14 ª REUNIÓN DE UNIDADES DE MA</t>
  </si>
  <si>
    <t>PROYECTO MULTIDISCIPLINAR ANDR</t>
  </si>
  <si>
    <t>XL SEMINARIO APURF</t>
  </si>
  <si>
    <t>I JORNADA DE TUTORES DE MEDICO</t>
  </si>
  <si>
    <t>RECORDATI ONCORADIOLOGY DAY</t>
  </si>
  <si>
    <t>CLIMB. CURSO DE INFILTRACION D</t>
  </si>
  <si>
    <t>XXVIII JORNADAS SOCIEDAD ESPAÑ</t>
  </si>
  <si>
    <t>CURSO DE INFILTRACIÓN DE TOXIN</t>
  </si>
  <si>
    <t>TALLER. ECOSERMEF 2.0. EXPERTO</t>
  </si>
  <si>
    <t>ECOSERMEF. V CURSO DE EXPERTO</t>
  </si>
  <si>
    <t>XXIX CONGRESO SOCARMEF</t>
  </si>
  <si>
    <t>63º CONGRESO NACIONAL SERMEF</t>
  </si>
  <si>
    <t>FUNCIONAL BY SINUG 2025</t>
  </si>
  <si>
    <t>XVI JORNADAS DE ACTUALIZACION</t>
  </si>
  <si>
    <t>JORNADAS DE ACTUALIZACIÓN EN T</t>
  </si>
  <si>
    <t>63º CONGRESO NACIONAL SEMEF</t>
  </si>
  <si>
    <t>XVII CURSO DE ECOGRAFIA MUSCUL</t>
  </si>
  <si>
    <t>MEDICAL EXPERT MASTERCLASS. TÉ</t>
  </si>
  <si>
    <t>IX TALLERES SER DE ARTRITIS PS</t>
  </si>
  <si>
    <t>XVIII CONGRESO SERPE SOCIEDAD</t>
  </si>
  <si>
    <t>10 SIMPOSIO DE ENFERMEDADES AU</t>
  </si>
  <si>
    <t>51 CONGRESO NACIONAL DE LA SER</t>
  </si>
  <si>
    <t>24 CURSO DE TUTORES Y RESIDENT</t>
  </si>
  <si>
    <t>IMPULSANDO INNOV-ACCION. XXI S</t>
  </si>
  <si>
    <t>ACR CONVERGENCE</t>
  </si>
  <si>
    <t>JAK FOCUS. ENCUENTRO DE EXPERT</t>
  </si>
  <si>
    <t>REUMATÓLOGO 360</t>
  </si>
  <si>
    <t>II JORNADA REUMADERM</t>
  </si>
  <si>
    <t>I CURSO E INTELIGENCIA ARTIFIC</t>
  </si>
  <si>
    <t>ACR-AMERICAN COLLEGE OF RHEUMA</t>
  </si>
  <si>
    <t>40th SCANDINAVIAN CONGRESS OF</t>
  </si>
  <si>
    <t>CURSO INTERMEDIO DE LA ESCUELA</t>
  </si>
  <si>
    <t>SIMPOSIO DE ENFERMEDADES AUTOI</t>
  </si>
  <si>
    <t>11 SIMPOSIO DE ESPONDILOARTRIT</t>
  </si>
  <si>
    <t>XVIII CONGRESO SERPE 2025. SOC</t>
  </si>
  <si>
    <t>XVIII CONGRESO SERPE</t>
  </si>
  <si>
    <t>INSIDE INMUNOLOGIA 4.0</t>
  </si>
  <si>
    <t>XVIII CONGRESO SERPE. SOCIEDAD</t>
  </si>
  <si>
    <t>XXIX CONGRESO SEIOMM PALMA</t>
  </si>
  <si>
    <t>CURSO DE FORMACIÓN EN LIDERAZG</t>
  </si>
  <si>
    <t>I CURSO INTELIGENCIA ARTIFICIA</t>
  </si>
  <si>
    <t>11 SIMPOSIO DE ESPONDIOLOARTRI</t>
  </si>
  <si>
    <t>ACR CONVERGENCE WHERE RHEUMATO</t>
  </si>
  <si>
    <t>V CURSO SER DE PATOLOGÍA OCULA</t>
  </si>
  <si>
    <t>VII CURSO SER DE OSTEOPOROSIS</t>
  </si>
  <si>
    <t>RSNA 2025</t>
  </si>
  <si>
    <t>MÁSTER EN CIRUGÍA DE HOMBRO Y</t>
  </si>
  <si>
    <t>INTERVENCIONES QUIRÚRGICAS DE</t>
  </si>
  <si>
    <t>MASTER EN CIRUGIA DE HOMBRO Y</t>
  </si>
  <si>
    <t>CURSO AVANZADO EN TECNICAS ART</t>
  </si>
  <si>
    <t>INTERNATIONAL ADVANCED COURSE</t>
  </si>
  <si>
    <t>JORNADA COMPLICACIONES EN ARTR</t>
  </si>
  <si>
    <t>CURSO SKYLAB</t>
  </si>
  <si>
    <t>12 CONGRESO CONJUNTO AEA-SEROD</t>
  </si>
  <si>
    <t>XXI CONGRESO REGIONAL COTCAN</t>
  </si>
  <si>
    <t>CURSO AO TRAUMA. AVANZADO DE L</t>
  </si>
  <si>
    <t>III CURSO TEÓRICO-PRÁCTICO DE</t>
  </si>
  <si>
    <t>VIII CURSO INTENSIVO DE ARTROS</t>
  </si>
  <si>
    <t>10 MULTIDISCIPLINARY BONE AND</t>
  </si>
  <si>
    <t>CURSO AO TRAUMA- AVANZADO DE L</t>
  </si>
  <si>
    <t>CONGRESO SECOT 62</t>
  </si>
  <si>
    <t>CURSO AO TRAUMA-BASICO EN PRIN</t>
  </si>
  <si>
    <t>CURSO DEFORMIDAD COMPLEJA PEDI</t>
  </si>
  <si>
    <t>JORNADA DE DISCUSIÓN. ALINEACI</t>
  </si>
  <si>
    <t>NEO SENSE EXPERT. MANEJO INTEG</t>
  </si>
  <si>
    <t>I IBERIAN UNILATERAL BIPORTAL</t>
  </si>
  <si>
    <t>DEFORMIDAD COMPLEJA PEDIÁTRICA</t>
  </si>
  <si>
    <t>CURSO PREGEER TRAUMATISMOS VER</t>
  </si>
  <si>
    <t>WORKSHOP CADAVÉRICO ANATÓMICO</t>
  </si>
  <si>
    <t>42 CONGRESO AEA 2025</t>
  </si>
  <si>
    <t>1º JORNADA IBÉRICA DE FRACTURA</t>
  </si>
  <si>
    <t>EFAS-IBRA MASTER COURSE - COMP</t>
  </si>
  <si>
    <t>2nd YOUNG ACADEMY ON FOOT AND</t>
  </si>
  <si>
    <t>45 CONGRESO SEMCPT</t>
  </si>
  <si>
    <t>CURSO BÁSICO OTC-FUNDACIÓN SEC</t>
  </si>
  <si>
    <t>CURSO TEORICO-PRACTICO "VIAS D</t>
  </si>
  <si>
    <t>II CURSO ORTHOPEDIATRICA SOBRE</t>
  </si>
  <si>
    <t>EPOS BAT ADVANCED COURSE</t>
  </si>
  <si>
    <t>CONGRESO SEMCA 2025</t>
  </si>
  <si>
    <t>CONGRESO SECOT62</t>
  </si>
  <si>
    <t>PATOLOGÍA AGUDA DE MUÑECA Y CO</t>
  </si>
  <si>
    <t>JORNADAS COMPLICACIONES EN ART</t>
  </si>
  <si>
    <t>9TH EPOS BAT INSTRUCTIONAL COU</t>
  </si>
  <si>
    <t>FUNDAMENTOS PARA EL MANEJO DE</t>
  </si>
  <si>
    <t>TENERIFE PELVIS EXPERT MEETING</t>
  </si>
  <si>
    <t>CURSO AO TRAUMA. BÁSICO EN PRI</t>
  </si>
  <si>
    <t>CURSO 11ª PELVIS</t>
  </si>
  <si>
    <t>XXVII CURSO INTERNACIONAL DE C</t>
  </si>
  <si>
    <t>2025 IFSSH AND IFSHT TRIENNIAL</t>
  </si>
  <si>
    <t>VII REUNIÓN CONJUNTA EUROPEA,</t>
  </si>
  <si>
    <t>BIOSKILLS. ASI TOTAL HIP ARTHR</t>
  </si>
  <si>
    <t>INVITACIÓN ASISTENCIA A CIRUGÍ</t>
  </si>
  <si>
    <t>SURGEON TO SURGEON STANDARD HI</t>
  </si>
  <si>
    <t>26 CONGRESO SECCA</t>
  </si>
  <si>
    <t>KNEE OSTEOTOMIES &amp; PSI COURSE</t>
  </si>
  <si>
    <t>MEDENVISION-EFFICIENCY THROUGH</t>
  </si>
  <si>
    <t>TECH TRAUMA</t>
  </si>
  <si>
    <t>SKYTRAUMA NEWCLIP IBERIA</t>
  </si>
  <si>
    <t>II CURSO ABORDAJE ORTOPLÁSTICO</t>
  </si>
  <si>
    <t>62 CONGRESO SECOT</t>
  </si>
  <si>
    <t>CURSO ADVANCED TRAUMA LIFE SUP</t>
  </si>
  <si>
    <t>IV CURSO DE CIRUGIA PERCUTANEA</t>
  </si>
  <si>
    <t>CURSO AO TRAUMA-AVANZADO DE LO</t>
  </si>
  <si>
    <t>NUEVAS TÉCNICAS EN CIRUGÍA DE</t>
  </si>
  <si>
    <t>AO TRAUMA MASTERS COURSE-FRACT</t>
  </si>
  <si>
    <t>XVI CURSO DE RESIDENTES SANT B</t>
  </si>
  <si>
    <t>AO TRAUMA- BASICO EN PRINCIPIO</t>
  </si>
  <si>
    <t>II JORNADAS DE PRÓTESIS DE HOM</t>
  </si>
  <si>
    <t>CONGRESO SECMA 2025</t>
  </si>
  <si>
    <t>IV EDICION CURSO DE CIRUGIA PE</t>
  </si>
  <si>
    <t>VIII SIMPOSIO DE MEDICINA DEL</t>
  </si>
  <si>
    <t>MEDIGAMES. SIMPOSIO INTERNATIC</t>
  </si>
  <si>
    <t>CURSO DE OSTEOSINTESIS DE MANO</t>
  </si>
  <si>
    <t>9TH EPOS BAT</t>
  </si>
  <si>
    <t>CURSO TEORICO-PRACTICO. ABORDA</t>
  </si>
  <si>
    <t>MULTIDISCIPLINARY BONE AND SOF</t>
  </si>
  <si>
    <t>CURSO PREGEER. TRAUMATISMOS VE</t>
  </si>
  <si>
    <t>III CURSO DE INMERSIÓN EN COT</t>
  </si>
  <si>
    <t>4º CONGRESO SOCAMICYUC</t>
  </si>
  <si>
    <t>AGENDA CSC</t>
  </si>
  <si>
    <t>MEETING AVANCES Y DESAFÍOS EN</t>
  </si>
  <si>
    <t>I CONGRESO INTERNACIONAL DE ON</t>
  </si>
  <si>
    <t>CURSO MULTIDISCIPLINAR DE PATO</t>
  </si>
  <si>
    <t>II CURSO DE MONITORIZACION ELE</t>
  </si>
  <si>
    <t>1ªREUNION DE LA SOCIEDAD CANAR</t>
  </si>
  <si>
    <t>2º CURSO DE ATENCIÓN AL PACIEN</t>
  </si>
  <si>
    <t>ACTUALIZACION Y CONTROVERSIAS</t>
  </si>
  <si>
    <t>IV EDICIÓN CURSO DE INMERSIÓN</t>
  </si>
  <si>
    <t>LX CONGRESO NACIONAL DE LA SEM</t>
  </si>
  <si>
    <t>CURSO DE INMERSIÓN EN DONACIÓN</t>
  </si>
  <si>
    <t>ADVANCED VENTILATION WORKSHOP</t>
  </si>
  <si>
    <t>INICIACION A LOS PROBLEMAS MED</t>
  </si>
  <si>
    <t>40 CONGRESO SOCIEDAD ESPAÑOLA</t>
  </si>
  <si>
    <t>INSTRUCTORES EN SOPORTE VITAL</t>
  </si>
  <si>
    <t>I JORNADAS DE CUIDADOS INTENSI</t>
  </si>
  <si>
    <t>3ERA EDICIÓN LIBRO NEUROCRÍTIC</t>
  </si>
  <si>
    <t>I JORNADA AUTONOMICA SOBRE PRE</t>
  </si>
  <si>
    <t>29TH INTERNATIONAL SYMPOSIUM O</t>
  </si>
  <si>
    <t>XXXVI REUNIÓN DEL GRUPO DE TRA</t>
  </si>
  <si>
    <t>IV CURSO CIMIR2</t>
  </si>
  <si>
    <t>4º CONGRESO SOCAMICYUC.</t>
  </si>
  <si>
    <t>MONITORIZACION ELECTROENCEFALO</t>
  </si>
  <si>
    <t>ÁGORA. NOVEDADES EN EL MANEJO</t>
  </si>
  <si>
    <t>JORNADAS ACTUALIZACIÓN Y CONTR</t>
  </si>
  <si>
    <t>SEDUCI LLEIDA 2025</t>
  </si>
  <si>
    <t>1ª REUNION DE LA SOCIEDAD CANA</t>
  </si>
  <si>
    <t>MANEJO NUTRICIONAL EN EL PACIE</t>
  </si>
  <si>
    <t>ICU MANAGEMENT AND CARDIOGENIC</t>
  </si>
  <si>
    <t>SECPAL 2025</t>
  </si>
  <si>
    <t>XXXIII CONGRESO SOCIEDAD CANAR</t>
  </si>
  <si>
    <t>VII JORNADAS NACIONALES DE LA</t>
  </si>
  <si>
    <t>XVIII CURSO DE LA SOCIEDAD ESP</t>
  </si>
  <si>
    <t>VIII REUNIÓN DE DEBATE DE CONT</t>
  </si>
  <si>
    <t>LXXXVIII CONGRESO NACIONAL DE</t>
  </si>
  <si>
    <t>CHALLENGES 2025</t>
  </si>
  <si>
    <t>XXX CONGRESO DE LA SOCIEDAD CA</t>
  </si>
  <si>
    <t>AUA 2025-ANNUAL MEETING AMERIC</t>
  </si>
  <si>
    <t>CHALLENGES 2025 IN LAPAROSCOPY</t>
  </si>
  <si>
    <t>XXX CONGRESO SOCIEDAD CANARIA</t>
  </si>
  <si>
    <t>GUARD INTERNATIONAL SYMPOSIUM</t>
  </si>
  <si>
    <t>XVIII CONGRESO SINUG</t>
  </si>
  <si>
    <t>XXVII REUNIÓN NACIONAL GRUPO U</t>
  </si>
  <si>
    <t>MEETING OF THE EAU SECTION OF</t>
  </si>
  <si>
    <t>9th INTERNATIONAL MEETING ON R</t>
  </si>
  <si>
    <t>XXXIV REUNIÓN NACIONAL GRUPOS</t>
  </si>
  <si>
    <t>52 CURSO DE FARMACIA CLÍNICA J</t>
  </si>
  <si>
    <t>70 CONGRESO NACIONAL SOCIEDAD</t>
  </si>
  <si>
    <t>29 EAHP CONGRESS COPENHAGEN 20</t>
  </si>
  <si>
    <t>DE LA INMUNOPATOLOGIA A LA MED</t>
  </si>
  <si>
    <t>3 EDICIÓN REUNIÓN FARMA IMPULS</t>
  </si>
  <si>
    <t>III JORNADA EN FHOCANDO JUNTOS</t>
  </si>
  <si>
    <t>13º TENDIENDO PUENTES. CONGRES</t>
  </si>
  <si>
    <t>DIÁLOGOS INTERGENERACIONALES</t>
  </si>
  <si>
    <t>VISITA A LA FÁBRICA DE GSK.</t>
  </si>
  <si>
    <t>INNOVATE'25 - INNOVACION A TRA</t>
  </si>
  <si>
    <t>29 EAHP CONGRESS COPENHAGE 202</t>
  </si>
  <si>
    <t>XVII CURSO GESTION INTEGRAL DE</t>
  </si>
  <si>
    <t>13 CONGRESO DE ONCOLOGIA MEDIC</t>
  </si>
  <si>
    <t>CURSO COMUNICACIÓN EN MIASTENI</t>
  </si>
  <si>
    <t>II JORNADA ENFHQCANDO JUNTOS N</t>
  </si>
  <si>
    <t>29 EAHP CONGRESS CONPENHAGEN 2</t>
  </si>
  <si>
    <t>FARMAMID 25</t>
  </si>
  <si>
    <t>2º EDICIÓN CURSO DE COMUNICACI</t>
  </si>
  <si>
    <t>FARMAIMID 2025</t>
  </si>
  <si>
    <t>XVII CURSO DE METODOLOGÍA EN G</t>
  </si>
  <si>
    <t>70 CONGRESO SOCIEDAD ESPAÑOLA</t>
  </si>
  <si>
    <t>IX CURSO TEÓRICO-PRÁCTICO DE T</t>
  </si>
  <si>
    <t>13º CONGRESO TENDIENDO PUENTES</t>
  </si>
  <si>
    <t>VISITA A REFERENCE LABORATORY</t>
  </si>
  <si>
    <t>XVII CURSO GESTIÓN DE PROYECTO</t>
  </si>
  <si>
    <t>XX CONVENCIÓN INTERNACIONAL DE</t>
  </si>
  <si>
    <t>ANE PREMIUM PRODUCTS</t>
  </si>
  <si>
    <t>IX REUNIÓN ANUAL GEMFIN</t>
  </si>
  <si>
    <t>GESTION SANITARIA BASADA EN VA</t>
  </si>
  <si>
    <t>EN SINTONIA CON EL CAMBIO. UNA</t>
  </si>
  <si>
    <t>XXII CURSO DE CROMATOGRAFÍA DE</t>
  </si>
  <si>
    <t>12. jun. 2025</t>
  </si>
  <si>
    <t>13. jun. 2025</t>
  </si>
  <si>
    <t>24. ene. 2025</t>
  </si>
  <si>
    <t>21. feb. 2025</t>
  </si>
  <si>
    <t>4. abr. 2025</t>
  </si>
  <si>
    <t>26. sep. 2025</t>
  </si>
  <si>
    <t>8. may. 2025</t>
  </si>
  <si>
    <t>3. nov. 2025</t>
  </si>
  <si>
    <t>5. jun. 2025</t>
  </si>
  <si>
    <t>20. feb. 2025</t>
  </si>
  <si>
    <t>20. mar. 2025</t>
  </si>
  <si>
    <t>21. mar. 2025</t>
  </si>
  <si>
    <t>11. sep. 2025</t>
  </si>
  <si>
    <t>12. sep. 2025</t>
  </si>
  <si>
    <t>24. abr. 2025</t>
  </si>
  <si>
    <t>25. abr. 2025</t>
  </si>
  <si>
    <t>25. sep. 2025</t>
  </si>
  <si>
    <t>5. nov. 2025</t>
  </si>
  <si>
    <t>7. nov. 2025</t>
  </si>
  <si>
    <t>7. abr. 2025</t>
  </si>
  <si>
    <t>8. abr. 2025</t>
  </si>
  <si>
    <t>4. jun. 2025</t>
  </si>
  <si>
    <t>15. oct. 2025</t>
  </si>
  <si>
    <t>23. may. 2025</t>
  </si>
  <si>
    <t>10. oct. 2025</t>
  </si>
  <si>
    <t>13. oct. 2025</t>
  </si>
  <si>
    <t>15. may. 2025</t>
  </si>
  <si>
    <t>16. may. 2025</t>
  </si>
  <si>
    <t>5. mar. 2025</t>
  </si>
  <si>
    <t>7. mar. 2025</t>
  </si>
  <si>
    <t>14. oct. 2025</t>
  </si>
  <si>
    <t>16. ene. 2025</t>
  </si>
  <si>
    <t>3. oct. 2025</t>
  </si>
  <si>
    <t>6. may. 2025</t>
  </si>
  <si>
    <t>26. may. 2025</t>
  </si>
  <si>
    <t>17. nov. 2025</t>
  </si>
  <si>
    <t>31. dic. 2025</t>
  </si>
  <si>
    <t>10. feb. 2025</t>
  </si>
  <si>
    <t>10. mar. 2025</t>
  </si>
  <si>
    <t>27. may. 2025</t>
  </si>
  <si>
    <t>16. sep. 2025</t>
  </si>
  <si>
    <t>19. sep. 2025</t>
  </si>
  <si>
    <t>12. mar. 2025</t>
  </si>
  <si>
    <t>31. ene. 2025</t>
  </si>
  <si>
    <t>16. jun. 2025</t>
  </si>
  <si>
    <t>2. oct. 2025</t>
  </si>
  <si>
    <t>1. oct. 2025</t>
  </si>
  <si>
    <t>2. may. 2025</t>
  </si>
  <si>
    <t>6. nov. 2025</t>
  </si>
  <si>
    <t>18. sep. 2025</t>
  </si>
  <si>
    <t>8. sep. 2025</t>
  </si>
  <si>
    <t>10. sep. 2025</t>
  </si>
  <si>
    <t>20. may. 2025</t>
  </si>
  <si>
    <t>30. sep. 2025</t>
  </si>
  <si>
    <t>22. may. 2025</t>
  </si>
  <si>
    <t>28. nov. 2025</t>
  </si>
  <si>
    <t>4. mar. 2025</t>
  </si>
  <si>
    <t>10. dic. 2025</t>
  </si>
  <si>
    <t>12. dic. 2025</t>
  </si>
  <si>
    <t>9. dic. 2025</t>
  </si>
  <si>
    <t>27. nov. 2025</t>
  </si>
  <si>
    <t>24. oct. 2025</t>
  </si>
  <si>
    <t>23. abr. 2025</t>
  </si>
  <si>
    <t>10. jun. 2025</t>
  </si>
  <si>
    <t>11. jun. 2025</t>
  </si>
  <si>
    <t>23. oct. 2025</t>
  </si>
  <si>
    <t>4. feb. 2025</t>
  </si>
  <si>
    <t>6. feb. 2025</t>
  </si>
  <si>
    <t>22. oct. 2025</t>
  </si>
  <si>
    <t>19. may. 2025</t>
  </si>
  <si>
    <t>29. ago. 2025</t>
  </si>
  <si>
    <t>1. sep. 2025</t>
  </si>
  <si>
    <t>3. jun. 2025</t>
  </si>
  <si>
    <t>13. mar. 2025</t>
  </si>
  <si>
    <t>30. ene. 2025</t>
  </si>
  <si>
    <t>14. feb. 2025</t>
  </si>
  <si>
    <t>28. mar. 2025</t>
  </si>
  <si>
    <t>4. dic. 2025</t>
  </si>
  <si>
    <t>5. dic. 2025</t>
  </si>
  <si>
    <t>27. jun. 2025</t>
  </si>
  <si>
    <t>18. nov. 2025</t>
  </si>
  <si>
    <t>19. feb. 2025</t>
  </si>
  <si>
    <t>28. ago. 2025</t>
  </si>
  <si>
    <t>31. mar. 2025</t>
  </si>
  <si>
    <t>2. abr. 2025</t>
  </si>
  <si>
    <t>24. jun. 2025</t>
  </si>
  <si>
    <t>10. jul. 2025</t>
  </si>
  <si>
    <t>11. jul. 2025</t>
  </si>
  <si>
    <t>22. ene. 2025</t>
  </si>
  <si>
    <t>23. ene. 2025</t>
  </si>
  <si>
    <t>19. jun. 2025</t>
  </si>
  <si>
    <t>8. oct. 2025</t>
  </si>
  <si>
    <t>12. may. 2025</t>
  </si>
  <si>
    <t>7. oct. 2025</t>
  </si>
  <si>
    <t>17. jun. 2025</t>
  </si>
  <si>
    <t>30. oct. 2025</t>
  </si>
  <si>
    <t>31. oct. 2025</t>
  </si>
  <si>
    <t>4. nov. 2025</t>
  </si>
  <si>
    <t>14. may. 2025</t>
  </si>
  <si>
    <t>5. feb. 2025</t>
  </si>
  <si>
    <t>29. ene. 2025</t>
  </si>
  <si>
    <t>29. sep. 2025</t>
  </si>
  <si>
    <t>26. mar. 2025</t>
  </si>
  <si>
    <t>11. feb. 2025</t>
  </si>
  <si>
    <t>27. mar. 2025</t>
  </si>
  <si>
    <t>14. abr. 2025</t>
  </si>
  <si>
    <t>15. abr. 2025</t>
  </si>
  <si>
    <t>16. abr. 2025</t>
  </si>
  <si>
    <t>1. abr. 2025</t>
  </si>
  <si>
    <t>28. oct. 2025</t>
  </si>
  <si>
    <t>2. sep. 2025</t>
  </si>
  <si>
    <t>5. sep. 2025</t>
  </si>
  <si>
    <t>19. mar. 2025</t>
  </si>
  <si>
    <t>3. sep. 2025</t>
  </si>
  <si>
    <t>22. abr. 2025</t>
  </si>
  <si>
    <t>6. mar. 2025</t>
  </si>
  <si>
    <t>22. sep. 2025</t>
  </si>
  <si>
    <t>26. nov. 2025</t>
  </si>
  <si>
    <t>6. oct. 2025</t>
  </si>
  <si>
    <t>9. abr. 2025</t>
  </si>
  <si>
    <t>2. dic. 2025</t>
  </si>
  <si>
    <t>3. dic. 2025</t>
  </si>
  <si>
    <t>17. ene. 2025</t>
  </si>
  <si>
    <t>17. sep. 2025</t>
  </si>
  <si>
    <t>11. mar. 2025</t>
  </si>
  <si>
    <t>13. feb. 2025</t>
  </si>
  <si>
    <t>3. abr. 2025</t>
  </si>
  <si>
    <t>26. feb. 2025</t>
  </si>
  <si>
    <t>27. feb. 2025</t>
  </si>
  <si>
    <t>30. jun. 2025</t>
  </si>
  <si>
    <t>28. feb. 2025</t>
  </si>
  <si>
    <t>2. jul. 2025</t>
  </si>
  <si>
    <t>19. nov. 2025</t>
  </si>
  <si>
    <t>12. nov. 2025</t>
  </si>
  <si>
    <t>21. may. 2025</t>
  </si>
  <si>
    <t>1. ago. 2025</t>
  </si>
  <si>
    <t>11. nov. 2025</t>
  </si>
  <si>
    <t>21. oct. 2025</t>
  </si>
  <si>
    <t>24. nov. 2025</t>
  </si>
  <si>
    <t>25. nov. 2025</t>
  </si>
  <si>
    <t>20. oct. 2025</t>
  </si>
  <si>
    <t>8. jul. 2025</t>
  </si>
  <si>
    <t>10. abr. 2025</t>
  </si>
  <si>
    <t>1. jul. 2025</t>
  </si>
  <si>
    <t>9. jul. 2025</t>
  </si>
  <si>
    <t>31. ago. 2025</t>
  </si>
  <si>
    <t>2. jun. 2025</t>
  </si>
  <si>
    <t>26. jun. 2025</t>
  </si>
  <si>
    <t>25. feb. 2025</t>
  </si>
  <si>
    <t>12. feb. 2025</t>
  </si>
  <si>
    <t>13. ene. 2025</t>
  </si>
  <si>
    <t>14. ene. 2025</t>
  </si>
  <si>
    <t>23. sep. 2025</t>
  </si>
  <si>
    <t>9. ene. 2025</t>
  </si>
  <si>
    <t>10. ene. 2025</t>
  </si>
  <si>
    <t>15. ene. 2025</t>
  </si>
  <si>
    <t>1. dic. 2025</t>
  </si>
  <si>
    <t>9. sep. 2025</t>
  </si>
  <si>
    <t>23. jun. 2025</t>
  </si>
  <si>
    <t>25. jun. 2025</t>
  </si>
  <si>
    <t>4. sep. 2025</t>
  </si>
  <si>
    <t>9. jun. 2025</t>
  </si>
  <si>
    <t>11. dic. 2025</t>
  </si>
  <si>
    <t>22. ago. 2025</t>
  </si>
  <si>
    <t>29. nov. 2025</t>
  </si>
  <si>
    <t>15. dic. 2025</t>
  </si>
  <si>
    <t>18. mar. 2025</t>
  </si>
  <si>
    <t>27. ene. 2025</t>
  </si>
  <si>
    <t>8. nov. 2025</t>
  </si>
  <si>
    <t>JORNADA DE TRASTORNO AFECTIVO</t>
  </si>
  <si>
    <t>28. abr. 2025</t>
  </si>
  <si>
    <t>30. abr. 2025</t>
  </si>
  <si>
    <t>24. mar. 2025</t>
  </si>
  <si>
    <t>10. may. 2025</t>
  </si>
  <si>
    <t>3. mar. 2025</t>
  </si>
  <si>
    <t>DESCONTADO</t>
  </si>
  <si>
    <t>P. MÉDICO PALIATIVOS</t>
  </si>
  <si>
    <t>P.MÉDICO CITOLOGÍA CLÍNICA</t>
  </si>
  <si>
    <t>P.MÉDICO ODONTOLOGÍA</t>
  </si>
  <si>
    <t>P.MÉDICO RES.MEDICINA FAMILIAR</t>
  </si>
  <si>
    <t>P.MÉDICO TOMOGRAFÍA C.E.</t>
  </si>
  <si>
    <t>P.MÉDICO ULTRASONOGRAFÍA</t>
  </si>
  <si>
    <t>DIAZ ACEVEDO, MARIA NIEVES</t>
  </si>
  <si>
    <t>MEDICA/O DE ADMISION Y DOCUMEN</t>
  </si>
  <si>
    <t>GONZALEZ SIERRA, MARTA</t>
  </si>
  <si>
    <t>SASTRE BARCELO, JAIME JOSE</t>
  </si>
  <si>
    <t>VERNICE ZAMBRANO, ALBA SABRINA</t>
  </si>
  <si>
    <t>ALONSO LASHERAS, JOSE EMILIO</t>
  </si>
  <si>
    <t>CUESTA BASCONES, JESUS</t>
  </si>
  <si>
    <t>GUTIERREZ FERREIRO, PABLO</t>
  </si>
  <si>
    <t>RADIOFÍSICO RESIDENTE DE 2º AÑ</t>
  </si>
  <si>
    <t>DURA YUSTE, ALVARO</t>
  </si>
  <si>
    <t>RADIOFÍSICO RESIDENTE DE 3º AÑ</t>
  </si>
  <si>
    <t>RIBOT HERNANDEZ, IVAN</t>
  </si>
  <si>
    <t>SABIN SAN JULIAN, CAROLINA</t>
  </si>
  <si>
    <t>TATO DE LAS CUEVAS, FERNANDO</t>
  </si>
  <si>
    <t>FIGUEIRAS RINCON, MANUEL ALBERT</t>
  </si>
  <si>
    <t>MARTIN VOSO, MARIA GABRIEL</t>
  </si>
  <si>
    <t>GARCIA ALFARO, MARTA</t>
  </si>
  <si>
    <t>MÉDICO DE CUIDADOS PALIATIVOS</t>
  </si>
  <si>
    <t>BETANCOR FERNANDEZ, ISABEL</t>
  </si>
  <si>
    <t>FEA ANATOMIA PATOLOGICA</t>
  </si>
  <si>
    <t>GARCIA HERNANDEZ, SONIA</t>
  </si>
  <si>
    <t>MARTIN CORRIENTE, MARIA DEL CAR</t>
  </si>
  <si>
    <t>BORS , ANNA</t>
  </si>
  <si>
    <t>COBO CABADA, AITOR</t>
  </si>
  <si>
    <t>COURGEON GARCIA, LUCIA</t>
  </si>
  <si>
    <t>FERRES MEYER, GUNDELA E.</t>
  </si>
  <si>
    <t>MALPARTIDA MANTILLA, ABRAHAM AMERI</t>
  </si>
  <si>
    <t>MORENO SEGOVIA, ISABEL MARIA</t>
  </si>
  <si>
    <t>OLIVA GIL, VANESA</t>
  </si>
  <si>
    <t>PASTOR RAMIREZ, ORIANA</t>
  </si>
  <si>
    <t>PEREZ RODRIGUEZ, LUCIA</t>
  </si>
  <si>
    <t>PEROZO MEDINA, MARIA ALEJAND</t>
  </si>
  <si>
    <t>RODRIGUEZ GONZALEZ, MARIA DEL MAR</t>
  </si>
  <si>
    <t>RODRIGUEZ MEDINA, ANTONIO</t>
  </si>
  <si>
    <t>JEFE DE SERVICIO ANESTESIOLOGÍ</t>
  </si>
  <si>
    <t>RUIZ PEREZ, IRENE</t>
  </si>
  <si>
    <t>BARAJAS CRIADO, JAVIER</t>
  </si>
  <si>
    <t>BELLEYO BELKASEM, CARIMA</t>
  </si>
  <si>
    <t>CAPPELLESSO , PIETRO</t>
  </si>
  <si>
    <t>COMAS ROMERO, PATRICIA</t>
  </si>
  <si>
    <t>DE URIOSTE BETHENCOURT, JAIME ADRIAN</t>
  </si>
  <si>
    <t>DOMINGUEZ RODRIGUEZ, ALBERTO</t>
  </si>
  <si>
    <t>SAUCHELLI FAAS, GUADALUPE</t>
  </si>
  <si>
    <t>DIAZ PEREZ, BEATRIZ</t>
  </si>
  <si>
    <t>GONZALEZ MORIN, JORGE</t>
  </si>
  <si>
    <t>MORALES HERNANDEZ, ALEJANDRO</t>
  </si>
  <si>
    <t>RODRIGUEZ GONZALEZ, DIANA</t>
  </si>
  <si>
    <t>VILLARROEL AÑORBE, MARIA</t>
  </si>
  <si>
    <t>LORENZO ROCHA, NIEVES DORIA</t>
  </si>
  <si>
    <t>RODRIGUEZ BALLESTER, MARIA LUCRECI</t>
  </si>
  <si>
    <t>MAYORDOMO MANZANO, MARINA</t>
  </si>
  <si>
    <t>CASTELLANO YAÑEZ, CECILIA</t>
  </si>
  <si>
    <t>NEGRIN RODRIGUEZ, FRANCISCO JES</t>
  </si>
  <si>
    <t>TORO RODRIGUEZ, MARIA GABRIEL</t>
  </si>
  <si>
    <t>JEFE DE SECCIÓN CIRUGÍA PLÁSTI</t>
  </si>
  <si>
    <t>BRITO GARCIA, ALEJANDRO GRE</t>
  </si>
  <si>
    <t>GARCIA CASTRO, M.CANDELARIA</t>
  </si>
  <si>
    <t>JEFE DE SECCIÓN ANATOMÍA PATOL</t>
  </si>
  <si>
    <t>BOTERO ARENAS, ALBERTH ALEXI</t>
  </si>
  <si>
    <t>LINGSTUYL BRANCHINA, LEAFAR ERNEST</t>
  </si>
  <si>
    <t>MIGUELEZ SANCHEZ, CARMEN</t>
  </si>
  <si>
    <t>ADRIAN DE GANZO, ZAIDA</t>
  </si>
  <si>
    <t>DOMINGUEZ GARCIA, MARLENE</t>
  </si>
  <si>
    <t>MORENO SANFIEL, JUAN MIGUEL</t>
  </si>
  <si>
    <t>NICOLAS PEREZ, DAVID</t>
  </si>
  <si>
    <t>ORTEGA SANCHEZ, JUAN ADOLFO</t>
  </si>
  <si>
    <t>QUINTANA DIAZ, PAULA HARIDIA</t>
  </si>
  <si>
    <t>REYGOSA CASTRO, MARIA CRISTIN</t>
  </si>
  <si>
    <t>RODRIGUEZ HERNANDEZ, EDUARDO VICTO</t>
  </si>
  <si>
    <t>SACRAMENTO LUIS, DAVINIA</t>
  </si>
  <si>
    <t>TOSTE-BELLO DORTA, OLIVER</t>
  </si>
  <si>
    <t>PEREZ MACHIN, PAULA</t>
  </si>
  <si>
    <t>TECNICA/O TITULAD.SUPERIOR</t>
  </si>
  <si>
    <t>VACA SANCHEZ, REBECA</t>
  </si>
  <si>
    <t>ALBELO MANUEL, LISSETTE</t>
  </si>
  <si>
    <t>ESPELOSIN ORTEGA, ELISA</t>
  </si>
  <si>
    <t>FRANCO MASIDE, ANDRES AVELIN</t>
  </si>
  <si>
    <t>LABURU DAÑOBEITIA, ELENE</t>
  </si>
  <si>
    <t>PEREZ HERNANDEZ, LUZ MARINA</t>
  </si>
  <si>
    <t>CLEMENTE CONCEPCION, INOCENCIA</t>
  </si>
  <si>
    <t>DORTA GONZALEZ, NATALIA PAULA</t>
  </si>
  <si>
    <t>GIBERT CASANOVAS, CAROLINA</t>
  </si>
  <si>
    <t>LORENZO LORENZO, MARIA</t>
  </si>
  <si>
    <t>LUCINI DE UGARTE, BLANCA</t>
  </si>
  <si>
    <t>CARACENA LOPEZ, SARA</t>
  </si>
  <si>
    <t>CASTRO DIAZ, ANA</t>
  </si>
  <si>
    <t>MARTINEZ LLORENS, ALBERTO ANTON</t>
  </si>
  <si>
    <t>MOLINA GARCIA, CLARA</t>
  </si>
  <si>
    <t>REYES GONZALEZ CASANOVA, PAULA</t>
  </si>
  <si>
    <t>SERRANO MARTIN, ROCIO</t>
  </si>
  <si>
    <t>GARCIA ROSADO, DACIL</t>
  </si>
  <si>
    <t>VILLACAMPA JIMENEZ, JACOBO JAVIER</t>
  </si>
  <si>
    <t>MARTEL GIMENO, ELENA</t>
  </si>
  <si>
    <t>PASCUAL PASCUAL, VANESA</t>
  </si>
  <si>
    <t>ROSADO HIDALGO, MARINA</t>
  </si>
  <si>
    <t>ALVISA NEGRIN, JULIO CESAR</t>
  </si>
  <si>
    <t>ARTILES SANTANA, IGNACIO</t>
  </si>
  <si>
    <t>BAEZ FERRER, OSCAR</t>
  </si>
  <si>
    <t>FERNANDEZ RODRIGUEZ, CAMINO MARIA</t>
  </si>
  <si>
    <t>GARCIA RODRIGUEZ, ALEN</t>
  </si>
  <si>
    <t>GONZALEZ NAVARRETE, LOURDES</t>
  </si>
  <si>
    <t>MARTIN NAVARRO, LORETO GISELA</t>
  </si>
  <si>
    <t>PERALTA SANTANA, ZULEIMA</t>
  </si>
  <si>
    <t>ROMO CORDERO, ALEJANDRO</t>
  </si>
  <si>
    <t>VEGA UMPIERREZ, CHRISTIAN</t>
  </si>
  <si>
    <t>ZEROLO MORALES, CARLA</t>
  </si>
  <si>
    <t>DIAZ CUEVAS, ZAIDA</t>
  </si>
  <si>
    <t>KOHAN , ROCIO</t>
  </si>
  <si>
    <t>MORILLA MORALES, ELENA</t>
  </si>
  <si>
    <t>DE LA FUENTE GEBAUER, PABLO ANDRES</t>
  </si>
  <si>
    <t>FERNANDEZ SOLIS, JUAN</t>
  </si>
  <si>
    <t>GONZALEZ MARTINEZ, MIGUEL ANGEL</t>
  </si>
  <si>
    <t>ORTIZ FONT, ANNA</t>
  </si>
  <si>
    <t>PEREZ ESPINEIRA, DAINELYS</t>
  </si>
  <si>
    <t>VELEZ DE MENDIZABAL BERRIO, ANE</t>
  </si>
  <si>
    <t>ALBERCA BATISTA, MIGUEL ANGEL</t>
  </si>
  <si>
    <t>ALVAREZ SUAREZ, LAURA</t>
  </si>
  <si>
    <t>CABRERA LACALZADA, MARIA CRISTIN</t>
  </si>
  <si>
    <t>GONZALEZ CORBACHO, JORGE</t>
  </si>
  <si>
    <t>GRAÑA GARCIA, MARIA JOSE</t>
  </si>
  <si>
    <t>HERNANDEZ GARCIA, KIARA</t>
  </si>
  <si>
    <t>NEUMANN ACOSTA, ELENA</t>
  </si>
  <si>
    <t>RODRIGUEZ BETANCOR, MARIA</t>
  </si>
  <si>
    <t>ROLO RIVAS, ALEJANDRO JAV</t>
  </si>
  <si>
    <t>TENORIO GOMEZ, GRACIELA</t>
  </si>
  <si>
    <t>HERNANDEZ HERNANDEZ, VANESSA</t>
  </si>
  <si>
    <t>MARTIN ZAMORA, MARCOS</t>
  </si>
  <si>
    <t>ARNAU SANTOS, AMELIA</t>
  </si>
  <si>
    <t>DOMINGUEZ LORENZO, JOSE MARIA</t>
  </si>
  <si>
    <t>MELCHOR LEON, RAQUEL URSULA</t>
  </si>
  <si>
    <t>CUBAS REGULO, ELIA</t>
  </si>
  <si>
    <t>FREGEL FRIAS, SILVIA</t>
  </si>
  <si>
    <t>LOPEZ SANTANA, ALICIA</t>
  </si>
  <si>
    <t>MADRID PEREZ, CAROLINA</t>
  </si>
  <si>
    <t>MENDOZA PLASENCIA, ZEBENZUI</t>
  </si>
  <si>
    <t>PESTANA GRAFIÑA, DIANA</t>
  </si>
  <si>
    <t>RIOS CEJAS, MARIA DEL ROS</t>
  </si>
  <si>
    <t>ROMERO LORENZO, RAQUEL</t>
  </si>
  <si>
    <t>CORDON PEANILLA, BEATRIZ</t>
  </si>
  <si>
    <t>JEFE DE SERVICIO OTORRINOLARIN</t>
  </si>
  <si>
    <t>PAIS BALFAGON, ALVARO</t>
  </si>
  <si>
    <t>ODONTOLOGO</t>
  </si>
  <si>
    <t>GARCIA GIL, MARIA</t>
  </si>
  <si>
    <t>LLABRES DE PRADA, MARTA MERCEDE</t>
  </si>
  <si>
    <t>QUEZADA PERALTA, GONZALO ELIAS</t>
  </si>
  <si>
    <t>ALVAREZ AMBITE, ROCIO</t>
  </si>
  <si>
    <t>FONTES MARCELINO, NOEMI</t>
  </si>
  <si>
    <t>HARJANI HARJANI, SIMRAN MITHUM</t>
  </si>
  <si>
    <t>HERNANDEZ SAN.GIL, RAQUEL</t>
  </si>
  <si>
    <t>ILA RAEZ, ANDRES</t>
  </si>
  <si>
    <t>LOPEZ LOPEZ, ANA CARLA</t>
  </si>
  <si>
    <t>MARTINEZ RIAZA, ANGELA</t>
  </si>
  <si>
    <t>PEREZ FERREL, RAUL LISANDRO</t>
  </si>
  <si>
    <t>ALVAREZ SANCHEZ, AIRAM TENESOR</t>
  </si>
  <si>
    <t>CHANCHLANI JANJANI, RIEU DEEPAK</t>
  </si>
  <si>
    <t>DAHER PEREZ, CINTIA</t>
  </si>
  <si>
    <t>FRIAS ALVAREZ, MARIA</t>
  </si>
  <si>
    <t>GARCIA LOPEZ, EMMA</t>
  </si>
  <si>
    <t>GONZALEZ GARCIA, ANA</t>
  </si>
  <si>
    <t>INGUANZO ORTIZ, MARIA</t>
  </si>
  <si>
    <t>SANCHEZ LUQUE, ANA ROSA</t>
  </si>
  <si>
    <t>WOODS KREISLER, NATASHA</t>
  </si>
  <si>
    <t>FUSTER JORGE, PEDRO AMADEO</t>
  </si>
  <si>
    <t>DASWANI DASWANI, RENU PRAKASH</t>
  </si>
  <si>
    <t>DELGADO GARCIA, PATRICIA</t>
  </si>
  <si>
    <t>DIAZ MELIAN, CANDELARIA DE</t>
  </si>
  <si>
    <t>HERNANDEZ GALLEGO, MARIA TERESA</t>
  </si>
  <si>
    <t>LUIS DE LA CRUZ, MARIA GABRIEL</t>
  </si>
  <si>
    <t>MEDINA VAZQUEZ, ALMUDENA</t>
  </si>
  <si>
    <t>MENDOZA ALVAREZ, MARIA ROCIO</t>
  </si>
  <si>
    <t>POYO GONZALEZ, SANDRA</t>
  </si>
  <si>
    <t>PUGA GONZALEZ, MARTA</t>
  </si>
  <si>
    <t>RODRIGUEZ RAMOS, LUCIA</t>
  </si>
  <si>
    <t>SANTISO GONZALEZ, CLAUDIA</t>
  </si>
  <si>
    <t>ACOSTA GONZALEZ, SARA MARIA</t>
  </si>
  <si>
    <t>CATALAN ACOSTA, ANTONIO DAMAS</t>
  </si>
  <si>
    <t>JEFE DE SERVICIO RADIOFÍSICA H</t>
  </si>
  <si>
    <t>DIAZ-FLORES VARELA, LUCIO</t>
  </si>
  <si>
    <t>FUENTES GARCIA, MARGARITA</t>
  </si>
  <si>
    <t>GARCIA PADRON, CRISTINA</t>
  </si>
  <si>
    <t>LEMERCIER , PIERRE CHARLE</t>
  </si>
  <si>
    <t>PEREZ RABANEDA, RAQUEL</t>
  </si>
  <si>
    <t>RODRIGUEZ MENDEZ, TANIA</t>
  </si>
  <si>
    <t>VALDERREY PULIDO, JAVIER</t>
  </si>
  <si>
    <t>VARGAS LLEDO, JORGE</t>
  </si>
  <si>
    <t>DECASTRO TACORONTE, GLADYS DESIRE</t>
  </si>
  <si>
    <t>GARCIA DIAZ, SILVIA</t>
  </si>
  <si>
    <t>HERNANDEZ CONCEPCION, ETHEL</t>
  </si>
  <si>
    <t>JEFE DE SERVICIO ONCOLOGÍA RAD</t>
  </si>
  <si>
    <t>ADJUNTO ONCOLOGÍA RADIOTERÁPIC</t>
  </si>
  <si>
    <t>VALLE MARTIN, PEDRO JOSE</t>
  </si>
  <si>
    <t>FAGUNDO GONZALEZ, OSCAR</t>
  </si>
  <si>
    <t>GONZALEZ-COLACO HARMAND, MAGALI</t>
  </si>
  <si>
    <t>ARTEAGA ARMIJO, ALEJANDRO</t>
  </si>
  <si>
    <t>DELGADO FRIAS, ESMERALDA</t>
  </si>
  <si>
    <t>HERNANDEZ GARCIA, CIRA</t>
  </si>
  <si>
    <t>BONILLA ARJONA, JUAN ALFONSO</t>
  </si>
  <si>
    <t>ALVAREZ DE LA CRUZ, JAVIER</t>
  </si>
  <si>
    <t>INFANTE ALONSO, RODRIGO</t>
  </si>
  <si>
    <t>KIIMETOGLOU , DIMOSTHENIS</t>
  </si>
  <si>
    <t>ALVAREZ CASTILLO, ANDREA CAROLI</t>
  </si>
  <si>
    <t>BROUARD MARTIN, MARIA TERESA</t>
  </si>
  <si>
    <t>DARIAS MARTIN, MARIA CANDELA</t>
  </si>
  <si>
    <t>DOMINGUEZ CURELL, CLAUDIA</t>
  </si>
  <si>
    <t>LOZANO GOMARIZ, JUAN FRANCISC</t>
  </si>
  <si>
    <t>MELIAN ARVELO, MELANIA</t>
  </si>
  <si>
    <t>MEDINA HERRERA, RUBEN DOMINGO</t>
  </si>
  <si>
    <t>SABATEL HERNANDEZ, RAFAEL</t>
  </si>
  <si>
    <t>GONZALEZ ALVAREZ, RUIMAN JOSE</t>
  </si>
  <si>
    <t>GONZALEZ PEREZ, LAURA</t>
  </si>
  <si>
    <t>MEJIAS GONZALEZ, JUAN FRANCISC</t>
  </si>
  <si>
    <t>BETHENCOURT BARBUZANO, ELENA</t>
  </si>
  <si>
    <t>DEL ROSARIO GARCIA, BETEL</t>
  </si>
  <si>
    <t>GONZALEZ DE LA FUENTE, GUILLERMO ANT</t>
  </si>
  <si>
    <t>OTAZO PEREZ, SHEILA MARIA</t>
  </si>
  <si>
    <t>YURREBASO EGUILIOR, NORA</t>
  </si>
  <si>
    <t>Total ADMISIÓN CENTRAL</t>
  </si>
  <si>
    <t>Total CAMARA HIPERBARICA (PL.BAJA C.</t>
  </si>
  <si>
    <t>Total CONS.OFTALMOLOGÍA ¿ CAE LA LAG</t>
  </si>
  <si>
    <t>Total DIRECCIÓN MÉDICA</t>
  </si>
  <si>
    <t>Total FARMACOLOGÍA CLÍNICA</t>
  </si>
  <si>
    <t>Total FÍSICA MÉDICA (UDAD.TÉC.RADIOP</t>
  </si>
  <si>
    <t>Total P. MÉDICO  ALERGOLOGÍA.</t>
  </si>
  <si>
    <t>Total P. MÉDICO PALIATIVOS</t>
  </si>
  <si>
    <t>Total P.MÉDICO ANATOMÍA PATOLÓGICA</t>
  </si>
  <si>
    <t>Total P.MÉDICO ANESTESIA</t>
  </si>
  <si>
    <t>Total P.MÉDICO CARDIOLOGÍA</t>
  </si>
  <si>
    <t>Total P.MÉDICO CIRUG.CARDIACA</t>
  </si>
  <si>
    <t>Total P.MÉDICO CIRUG.GENERAL</t>
  </si>
  <si>
    <t>Total P.MÉDICO CIRUG.GRAL.COORDINADO</t>
  </si>
  <si>
    <t>Total P.MÉDICO CIRUG.MAXILOFACIAL</t>
  </si>
  <si>
    <t>Total P.MÉDICO CIRUG.PEDIÁTRICA</t>
  </si>
  <si>
    <t>Total P.MÉDICO CIRUG.PLÁSTICA</t>
  </si>
  <si>
    <t>Total P.MÉDICO CIRUG.TORACICA</t>
  </si>
  <si>
    <t>Total P.MÉDICO CIRUG.VASCULAR, ANGIO</t>
  </si>
  <si>
    <t>Total P.MÉDICO CITOGENÉTICA</t>
  </si>
  <si>
    <t>Total P.MÉDICO CITOLOGÍA CLÍNICA</t>
  </si>
  <si>
    <t>Total P.MÉDICO DE URGENCIAS</t>
  </si>
  <si>
    <t>Total P.MÉDICO DERMATOLOGÍA</t>
  </si>
  <si>
    <t>Total P.MÉDICO DIGESTIVO</t>
  </si>
  <si>
    <t>Total P.MÉDICO ENDOCRINOLOGÍA</t>
  </si>
  <si>
    <t>Total P.MÉDICO F.I.V.</t>
  </si>
  <si>
    <t>Total P.MÉDICO FISIOLOGÍA Y BIOQUÍMI</t>
  </si>
  <si>
    <t>Total P.MÉDICO GERIATRÍA HOSP.NORTE</t>
  </si>
  <si>
    <t>Total P.MÉDICO GINECOLOGÍA</t>
  </si>
  <si>
    <t>Total P.MÉDICO HEMATOLOGÍA CLÍNICA</t>
  </si>
  <si>
    <t>Total P.MÉDICO HEMOSTASIA, HEMOT.Y B</t>
  </si>
  <si>
    <t>Total P.MÉDICO INFECCIOSOS MEDICINA</t>
  </si>
  <si>
    <t>Total P.MÉDICO LABOR.HEMATOLOGÍA</t>
  </si>
  <si>
    <t>Total P.MÉDICO MED.NUCLEAR</t>
  </si>
  <si>
    <t>Total P.MÉDICO MEDICINA INTERNA</t>
  </si>
  <si>
    <t>Total P.MÉDICO MICROBIOLOGÍA Y CONTR</t>
  </si>
  <si>
    <t>Total P.MÉDICO NEFROLOGÍA</t>
  </si>
  <si>
    <t>Total P.MÉDICO NEUMOLOGÍA</t>
  </si>
  <si>
    <t>Total P.MÉDICO NEUROCIRUGÍA</t>
  </si>
  <si>
    <t>Total P.MÉDICO NEUROFISIOLOGÍA</t>
  </si>
  <si>
    <t>Total P.MÉDICO NEUROLOGÍA</t>
  </si>
  <si>
    <t>Total P.MÉDICO O.R.L.</t>
  </si>
  <si>
    <t>Total P.MÉDICO OBSTETRICIA</t>
  </si>
  <si>
    <t>Total P.MÉDICO ODONTOLOGÍA</t>
  </si>
  <si>
    <t>Total P.MÉDICO OFTALMOLOGÍA</t>
  </si>
  <si>
    <t>Total P.MÉDICO ONCOLOGÍA MÉDICA</t>
  </si>
  <si>
    <t>Total P.MÉDICO PEDIATRÍA</t>
  </si>
  <si>
    <t>Total P.MÉDICO PREMATUROS</t>
  </si>
  <si>
    <t>Total P.MÉDICO PSIQUIATRÍA</t>
  </si>
  <si>
    <t>Total P.MÉDICO RADIODIAGNÓSTICO</t>
  </si>
  <si>
    <t>Total P.MÉDICO RADIOL.VASCULAR INTER</t>
  </si>
  <si>
    <t>Total P.MÉDICO RADIOTERAPIA</t>
  </si>
  <si>
    <t>Total P.MÉDICO REHABILITACIÓN</t>
  </si>
  <si>
    <t>Total P.MÉDICO RES.MEDICINA FAMILIAR</t>
  </si>
  <si>
    <t>Total P.MÉDICO REUMATOLOGÍA</t>
  </si>
  <si>
    <t>Total P.MÉDICO TOMOGRAFÍA C.E.</t>
  </si>
  <si>
    <t>Total P.MÉDICO TRAUMA</t>
  </si>
  <si>
    <t>Total P.MÉDICO U.V.I:</t>
  </si>
  <si>
    <t>Total P.MÉDICO UDAD.HOSP.A DOMICILIO</t>
  </si>
  <si>
    <t>Total P.MÉDICO ULTRASONOGRAFÍA</t>
  </si>
  <si>
    <t>Total P.MÉDICO UROLOGÍA</t>
  </si>
  <si>
    <t>Total P.TEC.SUP.DE FARMACIA</t>
  </si>
  <si>
    <t>Total SUBDIRECCIÓN MÉDICA</t>
  </si>
  <si>
    <t>Total UDAD.SALUD MENTAL DE LA LAGUNA</t>
  </si>
  <si>
    <t>CONSULTA ALERGOLOGÍA.</t>
  </si>
  <si>
    <t>CONSULTA NEFROLOGÍA</t>
  </si>
  <si>
    <t>CONSULTA NEUROLOGÍA</t>
  </si>
  <si>
    <t>CONSULTA OFTALMOLOGÍA</t>
  </si>
  <si>
    <t>HOSPITAL DIA PEDIATRIA</t>
  </si>
  <si>
    <t>HOSPITAL DIA REUMATOLOGIA</t>
  </si>
  <si>
    <t>LABOR. ANATOMIA PATOLSGICA</t>
  </si>
  <si>
    <t>MEDICINA NUCLEAR</t>
  </si>
  <si>
    <t>PLANTA 3ª/4ª URA</t>
  </si>
  <si>
    <t>UDAD.DE RECUPERACIÓN DE QUIRÓF</t>
  </si>
  <si>
    <t>MORALES CORREA, JESUS MANUEL</t>
  </si>
  <si>
    <t>RAMON GONZALEZ, MIGUEL ANGEL</t>
  </si>
  <si>
    <t>ESTEVEZ GONZALEZ, CARMEN BEGOÑA</t>
  </si>
  <si>
    <t>HERNANDEZ GONZALEZ, CONCEPCION</t>
  </si>
  <si>
    <t>VEGA BASCONES, SONIA</t>
  </si>
  <si>
    <t>DELGADO MARRERO, YASMINA</t>
  </si>
  <si>
    <t>DIAZ GUEVARA, CARMEN DOLORE</t>
  </si>
  <si>
    <t>FERNANDEZ ALVAREZ, JOSE CARLOS</t>
  </si>
  <si>
    <t>HERNANDEZ GUTIERREZ, NAYRA</t>
  </si>
  <si>
    <t>BETHENCOURT PURRIÑOS, CARMEN C.</t>
  </si>
  <si>
    <t>CASTRO PERAZA, M.ELISA.DE</t>
  </si>
  <si>
    <t>GARCIA MATIAS, GUAYARMINA</t>
  </si>
  <si>
    <t>RODRIGUEZ MARTIN, PATRICIA</t>
  </si>
  <si>
    <t>SANCHEZ BLASCO, MARIA FLORENC</t>
  </si>
  <si>
    <t>PEREZ RODRIGUEZ, JOSE MARIA</t>
  </si>
  <si>
    <t>HIDALGO HERNANDEZ, ROCIO</t>
  </si>
  <si>
    <t>PEREZ PEREZ, NIEVES LILA</t>
  </si>
  <si>
    <t>HERNANDEZ VALLES, ANA MONTSERRA</t>
  </si>
  <si>
    <t>GONZALEZ HERNANDEZ, MARTA</t>
  </si>
  <si>
    <t>ÓPTICO OPTOMETRISTA</t>
  </si>
  <si>
    <t>FLEITAS RODRIGUEZ, JESSICA</t>
  </si>
  <si>
    <t>LEON BAUTE, MACARENA.DE</t>
  </si>
  <si>
    <t>TÉCNICO ESPECIALISTA EN DIETÉT</t>
  </si>
  <si>
    <t>CARABALLO CAÑIZARES, MARIA TERESA</t>
  </si>
  <si>
    <t>DIAZ GARCIA, MARIA EULALIA</t>
  </si>
  <si>
    <t>HERNANDEZ GUTIERREZ, MARIA FERNAND</t>
  </si>
  <si>
    <t>JAVIER ORMAZABAL, ALBERTO</t>
  </si>
  <si>
    <t>MARTIN ARTEAGA, MIRIAM</t>
  </si>
  <si>
    <t>MONZON TORRALBA, JORGE JESUS</t>
  </si>
  <si>
    <t>RODRIGUEZ LOPEZ, ALMUDENA</t>
  </si>
  <si>
    <t>SAÑUDO HERRERO, ALBA</t>
  </si>
  <si>
    <t>MARTIN ROJAS, MARIA JOSE</t>
  </si>
  <si>
    <t>ENCINOSO IZQUIERDO, MARIA GIOVANC</t>
  </si>
  <si>
    <t>GONZALEZ.DE.CHAVES AGUILERA, SANDRA</t>
  </si>
  <si>
    <t>MENENDEZ GIRON, CLAUDIA ELISA</t>
  </si>
  <si>
    <t>RODRIGUEZ PEREZ, VERONICA</t>
  </si>
  <si>
    <t>BERNARDOS REYES, NESTOR</t>
  </si>
  <si>
    <t>CORREA ALFARO, FLAVIO ANDRES</t>
  </si>
  <si>
    <t>MESA SIVERIO, JESUS EULOGIO</t>
  </si>
  <si>
    <t>LIRIA MARTIN, NOE JESUS</t>
  </si>
  <si>
    <t>TÉCNICO ESPECIALISTA ANATOMÍA</t>
  </si>
  <si>
    <t>MACHIN JIMENEZ, INMACULADA</t>
  </si>
  <si>
    <t>GONZALEZ HIDALGO, MARTA</t>
  </si>
  <si>
    <t>GONZALEZ MARTIN, YAIZA DEL MAR</t>
  </si>
  <si>
    <t>HERNANDEZ PLASENCIA, LUISA ESTHER</t>
  </si>
  <si>
    <t>MARTIN ALVAREZ, RUTH</t>
  </si>
  <si>
    <t>SANTANA ACOSTA, SALOME</t>
  </si>
  <si>
    <t>SANZ OHNMACHT, TERESA</t>
  </si>
  <si>
    <t>BOLIVAR MARMOL, MYSLETT MARIA</t>
  </si>
  <si>
    <t>DIAZ HERNANDEZ, BARBARA MARIA</t>
  </si>
  <si>
    <t>GONZALEZ DIAZ, TAMIA</t>
  </si>
  <si>
    <t>GONZALEZ MORALES, ESTRELLA ISAB</t>
  </si>
  <si>
    <t>HERNANDEZ GONZALEZ, SARA</t>
  </si>
  <si>
    <t>HERNANDEZ MORALES, EVA MARIA</t>
  </si>
  <si>
    <t>MURO LORENZO, ALBERTO KEVIN</t>
  </si>
  <si>
    <t>RODRIGUEZ PEREZ, MARIA INES</t>
  </si>
  <si>
    <t>ROMAN GONZALEZ, VERONICA</t>
  </si>
  <si>
    <t>MEDINA MENDOZA, CARMEN ISABEL</t>
  </si>
  <si>
    <t>RAMIREZ HERNANDEZ, BEGOÑA</t>
  </si>
  <si>
    <t>COBIELLA DIAZ, MARIA CONCEPC</t>
  </si>
  <si>
    <t>RAMOS PALMERO, ROSA MARIA</t>
  </si>
  <si>
    <t>GUTIERREZ GONZALEZ, LAURA</t>
  </si>
  <si>
    <t>RODRIGUEZ REYES, LAURA</t>
  </si>
  <si>
    <t>DE LA ROSA BENITEZ, PATRICIA</t>
  </si>
  <si>
    <t>GONZALEZ GARCIA, AMAIA</t>
  </si>
  <si>
    <t>MARTIN LABRADOR, MARIO</t>
  </si>
  <si>
    <t>MONDEJAR RONDON, ISABEL EUGENI</t>
  </si>
  <si>
    <t>MORENO JUAN, NEREA ROCIO</t>
  </si>
  <si>
    <t>PEREZ-SERRANO GRACIA, ELISA</t>
  </si>
  <si>
    <t>ROSA RAMOS, LUCIA FAN</t>
  </si>
  <si>
    <t>SALGUERO TORRES, LORENA</t>
  </si>
  <si>
    <t>VILLAR DIAZ, MALENA</t>
  </si>
  <si>
    <t>AGUILERA GOMEZ, VANESA</t>
  </si>
  <si>
    <t>ARTEAGA ZAMORA, AURELIA JENNI</t>
  </si>
  <si>
    <t>ESPINAL HINCAPIE, DIANA MARCELA</t>
  </si>
  <si>
    <t>AUXILIARES DE CLÍNICA O ENFERM</t>
  </si>
  <si>
    <t>FRAGOSO GARCIA, MARIA</t>
  </si>
  <si>
    <t>FRIAS CALVO, SARA</t>
  </si>
  <si>
    <t>GALLEGO MOZOS, NAILA</t>
  </si>
  <si>
    <t>GARCIA ESTEVEZ, PAULA</t>
  </si>
  <si>
    <t>MARRERO DE LA ROSA, CINTIA</t>
  </si>
  <si>
    <t>MARTINEZ COSTA, INES</t>
  </si>
  <si>
    <t>PERDOMO HERNANDEZ, MARIA MAGDALE</t>
  </si>
  <si>
    <t>CASTELLANO PEREZ, VANESA YURENA</t>
  </si>
  <si>
    <t>DIAZ MELIAN, RUTH AUXILIAD</t>
  </si>
  <si>
    <t>LETRADO RODRIGUEZ, SOFIA</t>
  </si>
  <si>
    <t>QUINTERO ARZOLA, MARIA REYES</t>
  </si>
  <si>
    <t>CASTRILLON MARTINEZ, ANA MARIA</t>
  </si>
  <si>
    <t>LORENZO HERNANDEZ, GUACIMARA</t>
  </si>
  <si>
    <t>AFONSO IZQUIERDO, ALEJANDRO</t>
  </si>
  <si>
    <t>RAMALLO FIGUEROA, GLORIA MARIA</t>
  </si>
  <si>
    <t>GRILLO PEREZ, LUCIA</t>
  </si>
  <si>
    <t>GRACIA MAZUELA, ESTEFANIA</t>
  </si>
  <si>
    <t>JIMENEZ MENDOZA, VANESA</t>
  </si>
  <si>
    <t>ROMAN MAGAÑA, REGINA</t>
  </si>
  <si>
    <t>CALERO RODRIGUEZ, ANA CRISTINA</t>
  </si>
  <si>
    <t>CRUZ REMEDIOS, MARIA DE LOS</t>
  </si>
  <si>
    <t>DAVILA MARTIN, YANE</t>
  </si>
  <si>
    <t>MARRERO TOLEDO, SUSANA</t>
  </si>
  <si>
    <t>RODRIGUEZ GONZALEZ, YANIRA</t>
  </si>
  <si>
    <t>SUAREZ DELGADO, MARIA DE LA C</t>
  </si>
  <si>
    <t>HERNANDEZ MONTELONGO, YAZMINA</t>
  </si>
  <si>
    <t>PERDOMO SAN NICOLAS, LAURA</t>
  </si>
  <si>
    <t>ROBAYNA PINTO, YAIZA</t>
  </si>
  <si>
    <t>LOPEZ GONZALEZ, TAYDA</t>
  </si>
  <si>
    <t>HERNANDEZ BERRIEL, MIRIAM</t>
  </si>
  <si>
    <t>CHAVEZ ALVAREZ, ALICIA DEL PI</t>
  </si>
  <si>
    <t>HARTO PARRALES, ELENA</t>
  </si>
  <si>
    <t>MARTIN MARTIN, AMANDA</t>
  </si>
  <si>
    <t>RUIZ RODRIGUEZ, MARIA ISABEL</t>
  </si>
  <si>
    <t>GONZALEZ LUIS, MARIA MACAREN</t>
  </si>
  <si>
    <t>GUALLART GUZMAN, MARIA DEL MAR</t>
  </si>
  <si>
    <t>GUANCHE ROSA, ESTEFANIA</t>
  </si>
  <si>
    <t>GONZALEZ GONZALEZ, JORGE IVAN</t>
  </si>
  <si>
    <t>GRACIA GARDUÑO, SUSANA</t>
  </si>
  <si>
    <t>MOHR HARTUNG, TOMAS GUILLER</t>
  </si>
  <si>
    <t>ABAD MORALES, M.CARMEN</t>
  </si>
  <si>
    <t>ALEGRIA MARTINEZ, NATIVIDAD</t>
  </si>
  <si>
    <t>BENITEZ HERNANDEZ, PAOLA</t>
  </si>
  <si>
    <t>CABRERA JIMENEZ, ARANZAZU</t>
  </si>
  <si>
    <t>CABRERA PEREZ, MARIA TERESA</t>
  </si>
  <si>
    <t>CHINEA RODRIGUEZ, CARMEN DOLORE</t>
  </si>
  <si>
    <t>CONCEPCION ACOSTA, JAVIER</t>
  </si>
  <si>
    <t>CRUZ HERRERA, BEATRIZ</t>
  </si>
  <si>
    <t>DELGADO JIMENEZ, GABRIEL</t>
  </si>
  <si>
    <t>EN NOSSE PEREZ, RITA CLELIA</t>
  </si>
  <si>
    <t>FARIÑA MARTIN, PATRICIA CAND</t>
  </si>
  <si>
    <t>GARCIA DARIAS, ALBA</t>
  </si>
  <si>
    <t>GOYA PEREZ, NOELIA ESTEFA</t>
  </si>
  <si>
    <t>HERNANDEZ LEON, NADIA</t>
  </si>
  <si>
    <t>MELIAN CHINEA, BEATRIZ CRIST</t>
  </si>
  <si>
    <t>PEREZ HERAS, IVAN</t>
  </si>
  <si>
    <t>PRIETO MESA, ELIZABETH</t>
  </si>
  <si>
    <t>RUIZ CANEVAS, JUAN CARLOS</t>
  </si>
  <si>
    <t>SANCHEZ RODRIGUEZ, ANGELES MARIA</t>
  </si>
  <si>
    <t>VAZQUEZ FERNANDEZ, LAURA</t>
  </si>
  <si>
    <t>ARMAS GUTIERREZ, MARIA INMACUL</t>
  </si>
  <si>
    <t>BELLO DEL PINO, LAURA</t>
  </si>
  <si>
    <t>FEBLES HERRERA, CAROLINA</t>
  </si>
  <si>
    <t>MARTIN DELGADO, ANA GABRIELA</t>
  </si>
  <si>
    <t>PEREZ PEREZ, JOSE TUBAL</t>
  </si>
  <si>
    <t>SOLER MANJON, NURIA</t>
  </si>
  <si>
    <t>MARTIN FLEITAS, ANA ESTHER</t>
  </si>
  <si>
    <t>ALONSO MESA, MONICA</t>
  </si>
  <si>
    <t>MARTIN LECHADO, MARTA</t>
  </si>
  <si>
    <t>MARTINEZ PAREDES, PAULA</t>
  </si>
  <si>
    <t>NUÑEZ GARCIA, ASUNCION</t>
  </si>
  <si>
    <t>PEREZ MARTIN, ISABEL</t>
  </si>
  <si>
    <t>ALVAREZ GONZALEZ, MILAGROS</t>
  </si>
  <si>
    <t>CONCEPCION CHECA, M.DEL CARMEN</t>
  </si>
  <si>
    <t>SAIZ BLAZQUEZ, DIEGO</t>
  </si>
  <si>
    <t>ABREU AMOR, SOFIA</t>
  </si>
  <si>
    <t>ANGULO LANAS, JAIONE</t>
  </si>
  <si>
    <t>GONZALEZ DIAZ, MARIA GANESHA</t>
  </si>
  <si>
    <t>PINILLA SANCHEZ, ALBA</t>
  </si>
  <si>
    <t>RODRIGUEZ SERRANO, JAIONE</t>
  </si>
  <si>
    <t>PIÑERO ORTIZ, MELISA</t>
  </si>
  <si>
    <t>DE LA ROSA SANZ, MARIA ELENA</t>
  </si>
  <si>
    <t>DIAZ HERNANDEZ, NANCY</t>
  </si>
  <si>
    <t>SIERRA HERNANDEZ, CARMEN ELIA</t>
  </si>
  <si>
    <t>PASCUAL HERNANDEZ, NURIA</t>
  </si>
  <si>
    <t>BASANTE GARCIA, ANA</t>
  </si>
  <si>
    <t>BENITEZ BARROSO, MIGUEL</t>
  </si>
  <si>
    <t>DE CASTRO BERMUDEZ, VICTOR</t>
  </si>
  <si>
    <t>GARCIA HERNANDEZ, LIRIA MONTSER</t>
  </si>
  <si>
    <t>JARIOD DATO, ESTHER</t>
  </si>
  <si>
    <t>MAGDALENO RAMIREZ, DANIEL</t>
  </si>
  <si>
    <t>MARTIN GONZALEZ, JAVIER</t>
  </si>
  <si>
    <t>RIOS MORA, LUIS MIGUEL</t>
  </si>
  <si>
    <t>VAN DER VELDE FIGUEROA, DAPHNE TAMAR</t>
  </si>
  <si>
    <t>V ENCUENTRO EDUCADOR DIABETES</t>
  </si>
  <si>
    <t>REUNION ENFERMERIA DE CANARIAS</t>
  </si>
  <si>
    <t>JORNADA LIDERAZGO FEMENINO EN</t>
  </si>
  <si>
    <t>XI CONGRESO NACIONAL. LO ABSTR</t>
  </si>
  <si>
    <t>JORNADAS DE ACANEP, ABORDAJE I</t>
  </si>
  <si>
    <t>XXXVI CONGRESO NACIONAL SED SO</t>
  </si>
  <si>
    <t>FUNCION RENAL DEL RESULTADO AL</t>
  </si>
  <si>
    <t>FORMACIÓN ACREDITADA INTRODUCC</t>
  </si>
  <si>
    <t>DA VINCI SYSTEM TRAINING COURS</t>
  </si>
  <si>
    <t>18 CONGRESO ANECORM</t>
  </si>
  <si>
    <t>MÁSTER EN TÉCNICAS DE PERFUDIÓ</t>
  </si>
  <si>
    <t>CURSO AVANZADO DE SEGURIDAD DE</t>
  </si>
  <si>
    <t>35 CONFERENCIA DE LA ASOCIACIÓ</t>
  </si>
  <si>
    <t>REUNIÓN ANUAL DE ASOCIACIÓN DE</t>
  </si>
  <si>
    <t>LA ASISTENCIA. LA BATALLA CONT</t>
  </si>
  <si>
    <t>REUNIÓN NACIONAL EIIXPERTS</t>
  </si>
  <si>
    <t>ENFEII FORMACIÓN PARA ENFERMER</t>
  </si>
  <si>
    <t>CONFERENCIA CONJUNTA EWMA.GNEA</t>
  </si>
  <si>
    <t>6º REUNIÓN DE ENFERMERÍA Y PSO</t>
  </si>
  <si>
    <t>1ª REUNION DE ENFERMERIA EN HI</t>
  </si>
  <si>
    <t>FORO ENFERMERÍA Y NUEVAS TENDE</t>
  </si>
  <si>
    <t>III REUNIÓN GRUPO COF</t>
  </si>
  <si>
    <t>4º VIDEOFORO INTERNACIONAL EN</t>
  </si>
  <si>
    <t>CURSO CITOLOGÍA RÁPIDA IN SITU</t>
  </si>
  <si>
    <t>ILUMINA. EL ARTE DE ACOMPAÑAR.</t>
  </si>
  <si>
    <t>XXXII CONGRESO NACIONAL Y VIII</t>
  </si>
  <si>
    <t>THE AI CONFERENCE 2025</t>
  </si>
  <si>
    <t>V ENCUENTRO EDUCADOR@S DIABETE</t>
  </si>
  <si>
    <t>1ER FORO DE EDUCADORAS ESPECIA</t>
  </si>
  <si>
    <t>II CONGRESO DE EDUCACION TERAP</t>
  </si>
  <si>
    <t>40 CONGRESO NACIONAL SOCIEDAD</t>
  </si>
  <si>
    <t>5º CONGRESO FESNAD Y LXXV CONG</t>
  </si>
  <si>
    <t>XXVI FORMACION-ESTANCIA EN UNA</t>
  </si>
  <si>
    <t>MÁSTER DE ALTO RENDIMIENTO. IN</t>
  </si>
  <si>
    <t>ETHOS CLINICAL WORKSHOP</t>
  </si>
  <si>
    <t>II JORNADAS DE MIGRANTES DE CA</t>
  </si>
  <si>
    <t>TÉCNICAS DE GESTIÓN EMOCIONAL</t>
  </si>
  <si>
    <t>CONGRESO DEL CIE 2025</t>
  </si>
  <si>
    <t>XXI JORNADAS PALMERAS DE ENFER</t>
  </si>
  <si>
    <t>JORNADA DE ORIENTACIÓN AL ALUM</t>
  </si>
  <si>
    <t>II JORNADAS DE ACANEP: ABORDAJ</t>
  </si>
  <si>
    <t>CURSO BASICO DE TECNICAS ACLAR</t>
  </si>
  <si>
    <t>IV JORNADAS DE ENERMERÍA PEDIÁ</t>
  </si>
  <si>
    <t>JORNADA "LIDERAZGO FEMENINO EN</t>
  </si>
  <si>
    <t>INTRODUCCIÓN AL ANÁLISIS ESTAD</t>
  </si>
  <si>
    <t>NEUROCIENCIA, NEUROTECNOLOGÍA</t>
  </si>
  <si>
    <t>XXXIV CONGRESO INTERNACIONAL A</t>
  </si>
  <si>
    <t>CONGRESO INTERNACIONAL SORDERA</t>
  </si>
  <si>
    <t>JORNADAS DE FISIOTERAPIA EN ON</t>
  </si>
  <si>
    <t>I CONGRESO ESTATAL DE LINFEDEM</t>
  </si>
  <si>
    <t>III CONGRESO NACIONAL DE GESTO</t>
  </si>
  <si>
    <t>EVALUACIÓN E INTERVENCIÓN E AL</t>
  </si>
  <si>
    <t>II JORNADAS ACANEP, ABORDAJE I</t>
  </si>
  <si>
    <t>TRASTORNO DE EVITACION-RESTRIC</t>
  </si>
  <si>
    <t>SENSORY BEGINNINGS. CURSO DE T</t>
  </si>
  <si>
    <t>PRESCRIPCION DE LA ACTIVIDAD F</t>
  </si>
  <si>
    <t>CURSO EJERCICIO TERAPEUTICO EN</t>
  </si>
  <si>
    <t>CURSO INTRODUCCIÓN A LA MEDIAC</t>
  </si>
  <si>
    <t>I JORNADA CANARIA DE NEURORREH</t>
  </si>
  <si>
    <t>1ª EDICIÓN ESPECIALIZACIÓN EN</t>
  </si>
  <si>
    <t>CURSO BÁSICO DE EVALUACIÓN Y T</t>
  </si>
  <si>
    <t>PERFIL Y PRESCRIPCIÓN OCUPACIO</t>
  </si>
  <si>
    <t>1º CONGRESO INTERNACIONAL DEL</t>
  </si>
  <si>
    <t>XII CONGRESO NACIONAL ACCESOS</t>
  </si>
  <si>
    <t>VACUNARTE. EL ARTE DE CUIDAR</t>
  </si>
  <si>
    <t>JORNADA HUMANIZACIÓN Y MUSICOT</t>
  </si>
  <si>
    <t>XX CONGRESO NACIONAL ENFERMERA</t>
  </si>
  <si>
    <t>II JORNADA CÁNCER Y AUTOIMAGEN</t>
  </si>
  <si>
    <t>MANEJO DEL CATETER MIDLINE Y P</t>
  </si>
  <si>
    <t>SHINE - SUMMIT FOR HIV INNOVAT</t>
  </si>
  <si>
    <t>II ENCUENTRO INVIHFORUM EN ENF</t>
  </si>
  <si>
    <t>WORKSHOP PICC PORT: DE LA SELE</t>
  </si>
  <si>
    <t>XII CONGRESO NACIONAL DE ACCES</t>
  </si>
  <si>
    <t>II JORNADA DE ACOMPAÑAMIENTO A</t>
  </si>
  <si>
    <t>I JORNADA DE LEUCEMIA LINFOBLÁ</t>
  </si>
  <si>
    <t>II JORNADAS NACIONALES DE CAÍD</t>
  </si>
  <si>
    <t>FORMACIÓN EN USO DE SISTEMAS A</t>
  </si>
  <si>
    <t>CURSO DE RCP AVANZADA PEDIÁTRI</t>
  </si>
  <si>
    <t>JORNADA DE ECOGRAFIA. CAPACITA</t>
  </si>
  <si>
    <t>IX CONGRESO INTERNACIONAL DE E</t>
  </si>
  <si>
    <t>II JORNADAS DE ACANEP, ABORDAJ</t>
  </si>
  <si>
    <t>IX CONGRESO INTERNACIONAL ENFE</t>
  </si>
  <si>
    <t>II JORNADAS DE CUIDADOS CRÍTIC</t>
  </si>
  <si>
    <t>46º CONGRESO NACIONAL SOCIEDAD</t>
  </si>
  <si>
    <t>34ºCONGRESO DE LA SOCIEDAD ESP</t>
  </si>
  <si>
    <t>34º CONGRESO SOCIEDAD ESPAÑOLA</t>
  </si>
  <si>
    <t>JORNADA DEL OPERADOR THERAKOS-</t>
  </si>
  <si>
    <t>XXXII CONGRESO SEPA-IAP 2025</t>
  </si>
  <si>
    <t>PRUEBAS GENÉTICAS: EXPLORANDO</t>
  </si>
  <si>
    <t>UNIENDO ESFUERZOS PARA MEJORAR</t>
  </si>
  <si>
    <t>36º CONGRESO NACIONAL DE AETEL</t>
  </si>
  <si>
    <t>VII JORNADAS ACEVAC "INMUNIZAC</t>
  </si>
  <si>
    <t>VII JORNADAS ASOCIACION CANARI</t>
  </si>
  <si>
    <t>VIII JORNADAS ASOCIACION CANAR</t>
  </si>
  <si>
    <t>JORNADA TECNICO-CIENTIFICA. AS</t>
  </si>
  <si>
    <t>REUNION CIENTIFICA - JORNADA.</t>
  </si>
  <si>
    <t>ASPECTOS GENERALES DE LA TRANS</t>
  </si>
  <si>
    <t>REUNION CIENTIFICA JORNADA FUN</t>
  </si>
  <si>
    <t>36 CONGRESO NACIONAL AETEL</t>
  </si>
  <si>
    <t>EJERCICIO Y DIETA EN OBSTETRIC</t>
  </si>
  <si>
    <t>36º CONGRESO NACIONAL AETEL</t>
  </si>
  <si>
    <t>AVANZADO EN EL ENFOQUE INTEGRA</t>
  </si>
  <si>
    <t>MEDICAL EDUCATION. VIII CURSO</t>
  </si>
  <si>
    <t>ANQUILOGLOSIA. UNA MIRADA INTE</t>
  </si>
  <si>
    <t>ANQUILOGLOSIA. UNA MIRAA INTER</t>
  </si>
  <si>
    <t>XVIII JORNADAS CIENTÍFICO DIVU</t>
  </si>
  <si>
    <t>II CONGRESO DE LA ASOCIACION D</t>
  </si>
  <si>
    <t>MÁSTER DE BIOÉTICA Y BIODERECH</t>
  </si>
  <si>
    <t>MÁSTER BIOÉTICA Y BIODERECHO</t>
  </si>
  <si>
    <t>DIPEX INTERNATIONAL MEETING</t>
  </si>
  <si>
    <t>XI CONGRESO IBEROAMERICANO DE</t>
  </si>
  <si>
    <t>EMERGENCIAS GINECOOBSTETRICAS</t>
  </si>
  <si>
    <t>II CONGRESO ASOCIACION DE MATR</t>
  </si>
  <si>
    <t>TDV TEMAS DE VANGUARDIA EN LAC</t>
  </si>
  <si>
    <t>CONGRESO INTERNACIONAL DE ENFE</t>
  </si>
  <si>
    <t>I JORNADAS DE LEUCEMIA LINFOBL</t>
  </si>
  <si>
    <t>PRÁCTICAS DEL MÁSTER UNIVERSIT</t>
  </si>
  <si>
    <t>PRÁCTICAS EXTERNAS MÁSTER ULL</t>
  </si>
  <si>
    <t>XIV JORNADAS CANARIAS. ACTUALI</t>
  </si>
  <si>
    <t>XI JORNADAS DE ENFERMERÍA SEUP</t>
  </si>
  <si>
    <t>XIV JORNADAS CANARIAS ACTUALIZ</t>
  </si>
  <si>
    <t>IX CONGRESO INTERNACIONAL. HAC</t>
  </si>
  <si>
    <t>II JORNADAS ACANEP</t>
  </si>
  <si>
    <t>II JORNADAS ACANEP: ABORDAJE I</t>
  </si>
  <si>
    <t>SEMINARIO ÉTICA E INVESTIGACIÓ</t>
  </si>
  <si>
    <t>PROTOCOLO DE ACOSO EN EL ENTOR</t>
  </si>
  <si>
    <t>VII JORNADA INTERNACIONAL DE D</t>
  </si>
  <si>
    <t>EHC25. 19TH EUROPEAN JHEADACHE</t>
  </si>
  <si>
    <t>II JORNADAS DE ACOMPAÑAMIENTO</t>
  </si>
  <si>
    <t>ATENCIÓN DE ENFERMERÍA AL PACI</t>
  </si>
  <si>
    <t>VII JORNADAS ACEVAC "INMINUZAC</t>
  </si>
  <si>
    <t>ATENCIÓN EN CRISIS BASADA EN D</t>
  </si>
  <si>
    <t>XLII CONGRESO NACIONAL DE ENFE</t>
  </si>
  <si>
    <t>TERAPIA DE RESOLUCION DE PROBL</t>
  </si>
  <si>
    <t>CLUB DE LECTURA CRITICA.</t>
  </si>
  <si>
    <t>ESCUCHAR DESDE LA CURIOSIDAD R</t>
  </si>
  <si>
    <t>XXXIV CONGRESO NACIONAL DE TÉC</t>
  </si>
  <si>
    <t>CURSO CUIDAR EN IGUALDAD</t>
  </si>
  <si>
    <t>ICON-EDU CONGRESO INTERNACIONA</t>
  </si>
  <si>
    <t>JORNADA CANARIAS CON LA ELA: U</t>
  </si>
  <si>
    <t>VIII CONGRESO INTERNACIONAL Y</t>
  </si>
  <si>
    <t>JORNADA ACTUALIZACION EN PREVE</t>
  </si>
  <si>
    <t>9º CURSO NACIONAL DE ENFERMERI</t>
  </si>
  <si>
    <t>TALLER DE ENFERMERÍA EN EPILEP</t>
  </si>
  <si>
    <t>TALLER DE ENFERMERIA EN EPILEP</t>
  </si>
  <si>
    <t>XXIII JORNADAS DE ÉTICA Y POLÍ</t>
  </si>
  <si>
    <t>FICIC - SIMPOSIO Y JORNADAS DE</t>
  </si>
  <si>
    <t>SIMPOSIO Y JORNADAS DE ENFERME</t>
  </si>
  <si>
    <t>XX CONGRESO NACIONAL. IV CONGR</t>
  </si>
  <si>
    <t>XXIX CONGRESO CENTENARIO DE LA</t>
  </si>
  <si>
    <t>JORNADAS SECPAL 2025. EL EQUIP</t>
  </si>
  <si>
    <t>JORNADA CANARIA CON LA ELA: UN</t>
  </si>
  <si>
    <t>I JORNADA DE CUIDADOS PALIATIV</t>
  </si>
  <si>
    <t>X JORNADAS NACIONALES DE ENFER</t>
  </si>
  <si>
    <t>II JORNADAS CANARIAS BPSO</t>
  </si>
  <si>
    <t>2º ENCUENTRO REGIONAL DE ENFER</t>
  </si>
  <si>
    <t>II SIMPOSIO DE INSUFICIENCIA C</t>
  </si>
  <si>
    <t>XDESAFÍO. ENFERMERÍA. LA MISMA</t>
  </si>
  <si>
    <t>XXXIV CONGRESO NACIONAL DE TEC</t>
  </si>
  <si>
    <t>VII CURSO DE ENFERMERIA PARA E</t>
  </si>
  <si>
    <t>CURSO BÁSICO DE RADIOLOGÍA DE</t>
  </si>
  <si>
    <t>XIX CONGRESO SERVEI</t>
  </si>
  <si>
    <t>II JORNADAS PALMERAS DE ENFERM</t>
  </si>
  <si>
    <t>18 CONGRESO ANECORM ENFERMERIA</t>
  </si>
  <si>
    <t>XXXIX CONGRESO NACIONAL DE COO</t>
  </si>
  <si>
    <t>CURSO MANEJO DE LA VÍA AÉREA</t>
  </si>
  <si>
    <t>CURSO INICIACION A LOS PROBLEM</t>
  </si>
  <si>
    <t>VII JORNADAS INTERNACIONALES D</t>
  </si>
  <si>
    <t>50 CONGRESO NACIONAL DE LA SEE</t>
  </si>
  <si>
    <t>PRÁCTICAS EXTERNAS MÁSTER UNIV</t>
  </si>
  <si>
    <t>CURSO DE INICIACION A LOS PROB</t>
  </si>
  <si>
    <t>VIII CONGRESO INTERNACIONAL DE</t>
  </si>
  <si>
    <t>XXXVI CONGRESO NACIONAL DE TEC</t>
  </si>
  <si>
    <t>CURSO DE INSTRUCTORES EN SOPOR</t>
  </si>
  <si>
    <t>MÁSTER UNIVERSITARIO EN CUIDAD</t>
  </si>
  <si>
    <t>CURSO INSTRUCTOR AVANZADO EN S</t>
  </si>
  <si>
    <t>AMTEC PHTLS+HEMS</t>
  </si>
  <si>
    <t>TEMPERATURE CONTROL MEETING CA</t>
  </si>
  <si>
    <t>ECS ACUTE CARDIOVASCULAR CARE</t>
  </si>
  <si>
    <t>MANEJO DE HERIDAS E N PACIENTE</t>
  </si>
  <si>
    <t>CURSO BLOQUE II COMPROMISO VAS</t>
  </si>
  <si>
    <t>TÉCNICAS AVANZADAS EN LOS ACCE</t>
  </si>
  <si>
    <t>SINAPSIS. XI CONGRESO NACIONAL</t>
  </si>
  <si>
    <t>III JORNADAS DE ATENCION TEMPR</t>
  </si>
  <si>
    <t>III JORNADAS DE ATENCION TEMIX</t>
  </si>
  <si>
    <t>SINAPSIS XI CONGRESO NACIONAL.</t>
  </si>
  <si>
    <t>LA REVOLUCION DELIRANTE. XI JO</t>
  </si>
  <si>
    <t>PROGRAMA SALUD MENTAL Y VIDA A</t>
  </si>
  <si>
    <t>XI JORNADAS DE LA REVOLUCION D</t>
  </si>
  <si>
    <t>16 CONGRESO DE ENFERMERÍA EN E</t>
  </si>
  <si>
    <t>NICNOC FORMACIÓN. CURSO PREPAR</t>
  </si>
  <si>
    <t>X JORNADA DE TÉCNICAS APLICADA</t>
  </si>
  <si>
    <t>TÉCNICAS CARDIOVASCULARES AVAN</t>
  </si>
  <si>
    <t>35 CONGRESO ACI-SEC-ENFERMERIA</t>
  </si>
  <si>
    <t>CSC2025 CONGRESO CORONARIO Y E</t>
  </si>
  <si>
    <t>TALLER PRÁCTICO DE FARAPULSE P</t>
  </si>
  <si>
    <t>EURO PCR</t>
  </si>
  <si>
    <t>TALLER PRÁCTICO DE CTO</t>
  </si>
  <si>
    <t>VALVE NURSE LEADERSHIP - LEVEL</t>
  </si>
  <si>
    <t>35 CONGRESO ACI-SEC ENFERMERÍA</t>
  </si>
  <si>
    <t>TALLER PRÁCTICO DE FARAPULSEPA</t>
  </si>
  <si>
    <t>REUNIÓN ANUAL RITMO 2025</t>
  </si>
  <si>
    <t>CONGRESO DE LA SALUD CARFIOVAS</t>
  </si>
  <si>
    <t>LA PRÁCTICA DE DIÁLOGOS ABIERT</t>
  </si>
  <si>
    <t>II EDICIÓN EL ENCUENTRO DE ENF</t>
  </si>
  <si>
    <t>DIA DE LA ENFERMERIA</t>
  </si>
  <si>
    <t>II JORNADAS DE PERSONAS CUIDAD</t>
  </si>
  <si>
    <t>II EDICIÓN DEL ENCUENTRO DE EN</t>
  </si>
  <si>
    <t>IX CONGRESO SINAPSIS</t>
  </si>
  <si>
    <t>II CONGRESO HORIZONTES EN SALU</t>
  </si>
  <si>
    <t>JORNADA CIENTÍFICA EN CONMEMOR</t>
  </si>
  <si>
    <t>VI JORNADA DEL SEGAI. NUEVAS O</t>
  </si>
  <si>
    <t>ARRITMIAS CARDIACAS</t>
  </si>
  <si>
    <t>35º CONGRESO NACIONAL. ESPECIA</t>
  </si>
  <si>
    <t>MASTER UNIVERSITARIO EN INVEST</t>
  </si>
  <si>
    <t>PRACTICA DEL MASTER EN URGENCI</t>
  </si>
  <si>
    <t>35º CONGRESO NACIONAL SEMES. S</t>
  </si>
  <si>
    <t>MÁSTER UNIVERSITARIO EN URGENC</t>
  </si>
  <si>
    <t>ICON EDU CONGRESO INTERNACIONA</t>
  </si>
  <si>
    <t>XI CONGRESO INTERNACIONAL EN C</t>
  </si>
  <si>
    <t>CIFECOOP SEPT 25</t>
  </si>
  <si>
    <t>11. oct. 2025</t>
  </si>
  <si>
    <t>17. mar. 2025</t>
  </si>
  <si>
    <t>CURSO OSTOMÍA &amp; BIENESTAR MEN</t>
  </si>
  <si>
    <t>20. sep. 2025</t>
  </si>
  <si>
    <t>16. nov. 2025</t>
  </si>
  <si>
    <t>15. mar. 2025</t>
  </si>
  <si>
    <t>29. abr. 2025</t>
  </si>
  <si>
    <t>30. jul. 2025</t>
  </si>
  <si>
    <t>2. mar. 2025</t>
  </si>
  <si>
    <t>1. nov. 2025</t>
  </si>
  <si>
    <t>2. nov. 2025</t>
  </si>
  <si>
    <t>18. jul. 2025</t>
  </si>
  <si>
    <t>25. jul. 2025</t>
  </si>
  <si>
    <t>18. oct. 2025</t>
  </si>
  <si>
    <t>8. feb. 2025</t>
  </si>
  <si>
    <t>22. jun. 2025</t>
  </si>
  <si>
    <t>18. ene. 2025</t>
  </si>
  <si>
    <t>25. oct. 2025</t>
  </si>
  <si>
    <t>1. mar. 2025</t>
  </si>
  <si>
    <t>30. mar. 2025</t>
  </si>
  <si>
    <t>24. may. 2025</t>
  </si>
  <si>
    <t>29. jul. 2025</t>
  </si>
  <si>
    <t>17. may. 2025</t>
  </si>
  <si>
    <t>7. jun. 2025</t>
  </si>
  <si>
    <t>15. nov. 2025</t>
  </si>
  <si>
    <t>24. feb. 2025</t>
  </si>
  <si>
    <t>30. may. 2025</t>
  </si>
  <si>
    <t>27. sep. 2025</t>
  </si>
  <si>
    <t>II SIMPOSIO DE INSUFICIENCIA</t>
  </si>
  <si>
    <t>6. sep. 2025</t>
  </si>
  <si>
    <t>7. sep. 2025</t>
  </si>
  <si>
    <t>14. jun. 2025</t>
  </si>
  <si>
    <t>15. jun. 2025</t>
  </si>
  <si>
    <t>28. ene. 2025</t>
  </si>
  <si>
    <t>26. oct. 2025</t>
  </si>
  <si>
    <t>3. jul. 2025</t>
  </si>
  <si>
    <t>19. ago. 2025</t>
  </si>
  <si>
    <t>21. ago. 2025</t>
  </si>
  <si>
    <t>7. ago. 2025</t>
  </si>
  <si>
    <t>12. ago. 2025</t>
  </si>
  <si>
    <t>26. abr. 2025</t>
  </si>
  <si>
    <t>25. may. 2025</t>
  </si>
  <si>
    <t>PLANTA 1ª PAR - HOSP.EDIF.</t>
  </si>
  <si>
    <t>PLANTA 1ª IMPAR - HOSP.EDIF.A</t>
  </si>
  <si>
    <t>PLANTA 2ª - HOSPITAL DEL NOR</t>
  </si>
  <si>
    <t>PLANTA 2ª IMPAR-HOSP.EDIF.A</t>
  </si>
  <si>
    <t>PLANTA 4ª PAR - HOSP.EDIF.</t>
  </si>
  <si>
    <t>PLANTA 6ª PAR - HOSP.EDIF.</t>
  </si>
  <si>
    <t>PLANTA 6ª IMPAR - HOSP.EDIF.A</t>
  </si>
  <si>
    <t>PLANTA 8ª PAR - HOSP.EDIF.</t>
  </si>
  <si>
    <t>PLANTA 8ª IMPAR - HOSP.EDIF.A</t>
  </si>
  <si>
    <t>PLANTA 9ª IMPAR - HOSP.EDIF.A</t>
  </si>
  <si>
    <t>PLANTA 10ª PAR - HOSP.EDIF.A</t>
  </si>
  <si>
    <t>Total AREA ENFERMERIA - HN - CAE ICO</t>
  </si>
  <si>
    <t>Total AREA.ENFERMERIA - CAE LA OROTA</t>
  </si>
  <si>
    <t>Total AREA.ENFERMERIA - CAE PTO.DE L</t>
  </si>
  <si>
    <t>Total BLOQUE QUIRURGICO CENTRAL</t>
  </si>
  <si>
    <t>Total CONSULTA ALERGOLOGÍA.</t>
  </si>
  <si>
    <t>Total CONSULTA CARDIOLOGÍA</t>
  </si>
  <si>
    <t>Total CONSULTA CIRUG.VASCULAR, ANGIO</t>
  </si>
  <si>
    <t>Total CONSULTA DERMATOLOGÍA</t>
  </si>
  <si>
    <t>Total CONSULTA DIGESTIVO</t>
  </si>
  <si>
    <t>Total CONSULTA NEFROLOGÍA</t>
  </si>
  <si>
    <t>Total CONSULTA NEUMOLOGÍA</t>
  </si>
  <si>
    <t>Total CONSULTA NEUROLOGÍA</t>
  </si>
  <si>
    <t>Total CONSULTA OFTALMOLOGÍA</t>
  </si>
  <si>
    <t>Total CONSULTA PEDIATRIA</t>
  </si>
  <si>
    <t>Total CONSULTA REUMATOLOGÍA</t>
  </si>
  <si>
    <t>Total DIETÉTICA Y NUTRICIÓN</t>
  </si>
  <si>
    <t>Total DIRECCIÓN ENFERMERÍA</t>
  </si>
  <si>
    <t>Total EXPLORAC.RADIOTERAPIA</t>
  </si>
  <si>
    <t>Total FORMACIÓN PERMANENTE ENFERMERÍ</t>
  </si>
  <si>
    <t>Total GIMNASIO REHABILITACION</t>
  </si>
  <si>
    <t>Total H.DIA POLIVALENTE - CITOSTATIC</t>
  </si>
  <si>
    <t>Total HOSPIT.DIA INFEC.MED.INTERNA</t>
  </si>
  <si>
    <t>Total HOSPITAL DIA HEMATOLOGIA CLÍNI</t>
  </si>
  <si>
    <t>Total HOSPITAL DIA PEDIATRIA</t>
  </si>
  <si>
    <t>Total HOSPITAL DIA REUMATOLOGIA</t>
  </si>
  <si>
    <t>Total HOSPITAL. PREMATUROS</t>
  </si>
  <si>
    <t>Total HOSPITAL. U.C.S.I.</t>
  </si>
  <si>
    <t>Total LAB.HEMOT.Y BCO.SANGRE</t>
  </si>
  <si>
    <t>Total LABOR. ANATOMIA PATOLSGICA</t>
  </si>
  <si>
    <t>Total LABOR.DE MICROBIOLOGIA Y CONTR</t>
  </si>
  <si>
    <t>Total LABORATORIO CENTRAL</t>
  </si>
  <si>
    <t>Total MEDICINA DEL DOLOR</t>
  </si>
  <si>
    <t>Total MEDICINA NUCLEAR</t>
  </si>
  <si>
    <t>Total NIDOS</t>
  </si>
  <si>
    <t>Total PARITORIO</t>
  </si>
  <si>
    <t>Total PLANTA 10ª IMPAR - HOSP.EDIF.A</t>
  </si>
  <si>
    <t>Total PLANTA 10ª PAR - HOSP.EDIF.A</t>
  </si>
  <si>
    <t>Total PLANTA 1ª - SUBAGUDOS</t>
  </si>
  <si>
    <t>Total PLANTA 1ª IMPAR - HOSP.EDIF.A</t>
  </si>
  <si>
    <t>Total PLANTA 1ª PAR - HOSP.EDIF.</t>
  </si>
  <si>
    <t>Total PLANTA 2ª - HOSPITAL DEL NOR</t>
  </si>
  <si>
    <t>Total PLANTA 2ª - HOSPITALIZACIÓN ED</t>
  </si>
  <si>
    <t>Total PLANTA 2ª CENTRAL A - EDIF.B</t>
  </si>
  <si>
    <t>Total PLANTA 2ª IMPAR-HOSP.EDIF.A</t>
  </si>
  <si>
    <t>Total PLANTA 3ª - HOSPITALIZACIÓN ED</t>
  </si>
  <si>
    <t>Total PLANTA 3ª/4ª URA</t>
  </si>
  <si>
    <t>Total PLANTA 4ª PAR - HOSP.EDIF.</t>
  </si>
  <si>
    <t>Total PLANTA 6ª IMPAR - HOSP.EDIF.A</t>
  </si>
  <si>
    <t>Total PLANTA 6ª PAR - HOSP.EDIF.</t>
  </si>
  <si>
    <t>Total PLANTA 8ª IMPAR - HOSP.EDIF.A</t>
  </si>
  <si>
    <t>Total PLANTA 8ª PAR - HOSP.EDIF.</t>
  </si>
  <si>
    <t>Total PLANTA 9ª IMPAR - HOSP.EDIF.A</t>
  </si>
  <si>
    <t>Total PLANTA BAJA - HOSP.EDIF.M.</t>
  </si>
  <si>
    <t>Total PLANTA BAJA PAR - HOSP.EDIF.A</t>
  </si>
  <si>
    <t>Total PLANTILLA VOLANTE</t>
  </si>
  <si>
    <t>Total PLANTILLA VOLANTE DEL EAA (EDI</t>
  </si>
  <si>
    <t>Total RADIODIAGNOSTICO</t>
  </si>
  <si>
    <t>Total RADIOLOG.VASCULAR INTERV. - AN</t>
  </si>
  <si>
    <t>Total SUBDIRECCIÓN ENFERMERÍA</t>
  </si>
  <si>
    <t>Total TOMOGRAFIA AXIAL COMPUTERIZADA</t>
  </si>
  <si>
    <t>Total U.COORDINADORA DE TRASPLANTES</t>
  </si>
  <si>
    <t>Total U.V.I.</t>
  </si>
  <si>
    <t>Total U.V.I. PEDIATRICA</t>
  </si>
  <si>
    <t>Total UDAD.C.A.P.D.</t>
  </si>
  <si>
    <t>Total UDAD.CORONARIAS</t>
  </si>
  <si>
    <t>Total UDAD.DE HOSPIT.A DOMICILIO</t>
  </si>
  <si>
    <t>Total UDAD.DE RECUPERACIÓN DE QUIRÓF</t>
  </si>
  <si>
    <t>Total UDAD.DOCENCIA ENFERM.SALUD MEN</t>
  </si>
  <si>
    <t>Total UDAD.ENDOSCOPIA</t>
  </si>
  <si>
    <t>Total UDAD.HEMODÍALISIS</t>
  </si>
  <si>
    <t>Total UDAD.HEMODINAMICA</t>
  </si>
  <si>
    <t>Total UDAD.SALUD MENTAL DE LA VERA (</t>
  </si>
  <si>
    <t>Total UDAD.SALUD MENTAL DE TACORONTE</t>
  </si>
  <si>
    <t>Total UNIDAD DE SALUD MENTAL INFANTO</t>
  </si>
  <si>
    <t>Total UNIDAD DE TERAPIA INTRAVENOSA</t>
  </si>
  <si>
    <t>Total URGENCIAS</t>
  </si>
  <si>
    <t>Total URGENCIAS - HN_CEAU</t>
  </si>
  <si>
    <t>CALDERAS</t>
  </si>
  <si>
    <t>COCINA</t>
  </si>
  <si>
    <t>GESTIÓN ECONÓMICA - FINANCIERA</t>
  </si>
  <si>
    <t>INFORMÁTICA</t>
  </si>
  <si>
    <t>MECÁNICA</t>
  </si>
  <si>
    <t>SEC. ING.DE INSTALACIONES Y EN</t>
  </si>
  <si>
    <t>SERVICIO MANTENIMIENTO E INSTA</t>
  </si>
  <si>
    <t>HERRERA RAMOS, MARCOS ANTONI</t>
  </si>
  <si>
    <t>COORDINADOR CALDERAS Y CLIMATI</t>
  </si>
  <si>
    <t>HERNANDEZ VERA, GILBERTO</t>
  </si>
  <si>
    <t>JEFE DE COCINA</t>
  </si>
  <si>
    <t>MATEOS ALVAREZ, CRISTIAN</t>
  </si>
  <si>
    <t>PLASENCIA CHAVEZ, AARON IDARTEG</t>
  </si>
  <si>
    <t>GONZALEZ GONZALEZ, YANIRA</t>
  </si>
  <si>
    <t>TÉCNICO TITULADO MEDIO - INFOR</t>
  </si>
  <si>
    <t>MESA HERNANDEZ, ARSENIO</t>
  </si>
  <si>
    <t>MECÁNICO</t>
  </si>
  <si>
    <t>SUAREZ PERDOMO, JOSE IMELDO</t>
  </si>
  <si>
    <t>FEBLES SANTANA, VICTOR MANUEL</t>
  </si>
  <si>
    <t>ALONSO HERRERA, JOSE MIGUEL</t>
  </si>
  <si>
    <t>INGENIERO TÉCNICO INDUSTRIAL</t>
  </si>
  <si>
    <t>HERRERA SANTANA, JONAY ZEBENSU</t>
  </si>
  <si>
    <t>RIVERO CANINO, TANAUSU</t>
  </si>
  <si>
    <t>RABASSA LOPEZ-CALLEJA, LUIS ENRIQUE</t>
  </si>
  <si>
    <t>INGENIERO TÉCNICO</t>
  </si>
  <si>
    <t>CONRADO SANTOS, IVAN</t>
  </si>
  <si>
    <t>PEREZ ORTEGA, TOMAS</t>
  </si>
  <si>
    <t>TECNICO TITULADO MEDIO - ARQUI</t>
  </si>
  <si>
    <t>REYES REYES, DAVID FELIPE</t>
  </si>
  <si>
    <t>ARQUITECTA/O TÉCNICA/O</t>
  </si>
  <si>
    <t>RUIZ ENCINOSO, BEATRIZ</t>
  </si>
  <si>
    <t>GOMEZ REÑASCO, MARIA ENCARNA</t>
  </si>
  <si>
    <t>BUALA CHICAMPO, SUBOSICHE</t>
  </si>
  <si>
    <t>AUXILIAR ADMINISTRATIVO</t>
  </si>
  <si>
    <t>42 CONGRESO NACIONAL DE INGENI</t>
  </si>
  <si>
    <t>42º CONGRESO NACIONAL DE INGEN</t>
  </si>
  <si>
    <t>XXVI CONGRESO NACIONAL DE HOST</t>
  </si>
  <si>
    <t>CONTRATACIÓN ADMINISTRATIVA DE</t>
  </si>
  <si>
    <t>EL TRIBUNAL DE CONTRATOS DE LA</t>
  </si>
  <si>
    <t>CONTRATACIÓN ADMINISTRATIVA: E</t>
  </si>
  <si>
    <t>OBLIGACIONES MATERIA PREVENCIÓ</t>
  </si>
  <si>
    <t>II JORNADAS DE GESTION, PREPAR</t>
  </si>
  <si>
    <t>VISITA FÁBRICA LINET-FORMACIÓN</t>
  </si>
  <si>
    <t>I CONGRESO IA APLICADA A LA GE</t>
  </si>
  <si>
    <t>29 JORNADAS DE INGENIERIA BIOM</t>
  </si>
  <si>
    <t>CURSO INTELIGENCIA ARTIFICIAL</t>
  </si>
  <si>
    <t>GESTIÓN DEL ESTRÉS. FC1880101T</t>
  </si>
  <si>
    <t>CURSO GESTIÓN DEL ESTRÉS. FC18</t>
  </si>
  <si>
    <t>9 CONGRESO NACIONAL AAS CUENCA</t>
  </si>
  <si>
    <t>12º CONGRESO CEL LOGÍSTIVA SAN</t>
  </si>
  <si>
    <t>42 CONGRESO NACIONAL DE INGEN</t>
  </si>
  <si>
    <t>JORNADAS SOBRE LA INTEGRIDAD E</t>
  </si>
  <si>
    <t>JORNADAS DE PROTOCOLO ACOSO EN</t>
  </si>
  <si>
    <t>Total ALBAÑILERÍA</t>
  </si>
  <si>
    <t>Total CALDERAS</t>
  </si>
  <si>
    <t>Total COCINA</t>
  </si>
  <si>
    <t>Total CONTRATACIÓN ADMINISTRATIVA</t>
  </si>
  <si>
    <t>Total DIRECCIÓN DE GESTIÓN</t>
  </si>
  <si>
    <t>Total GESTIÓN ECONÓMICA - FINANCIERA</t>
  </si>
  <si>
    <t>Total INFORMÁTICA</t>
  </si>
  <si>
    <t>Total MECÁNICA</t>
  </si>
  <si>
    <t>Total SEC. ING.DE INSTALACIONES Y EN</t>
  </si>
  <si>
    <t>Total SEC.INGEN. BIOMÉDICA</t>
  </si>
  <si>
    <t>Total SEC.INGEN.TELECOMUN.Y TELEMÁTI</t>
  </si>
  <si>
    <t>Total SEC.INSTALACIONES Y MÁQUINAS</t>
  </si>
  <si>
    <t>Total SERV. DE APROVISIONAMIENTO</t>
  </si>
  <si>
    <t>Total SERVICIO MANTENIMIENTO E INSTA</t>
  </si>
  <si>
    <t>Total SUBDIRECCIÓN INGENIERÍA</t>
  </si>
  <si>
    <t>Total UDAD. ADTVA. ASISTENCIAL</t>
  </si>
  <si>
    <t>MINGUEZ FERRUZ, PATRICIA</t>
  </si>
  <si>
    <t>RODRIGUEZ CASTAÑEDA, LUCIA</t>
  </si>
  <si>
    <t>JEFE DE SERVICIO (NO SANITARIO</t>
  </si>
  <si>
    <t>ELABORACIÓN E IMPLANTACIÓN CAR</t>
  </si>
  <si>
    <t>V SEMANA DE SEGURIDAD DEL PACI</t>
  </si>
  <si>
    <t>REUNIÓN FORMATIVA FLOR RRHH SC</t>
  </si>
  <si>
    <t>Total D.RRHH SERV.ADMINISTRACIÓN DE</t>
  </si>
  <si>
    <t>Total D.RRHH SERV.SELEC.EVALUACIÓN -</t>
  </si>
  <si>
    <t>Total DIRECCIÓN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</si>
</sst>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164" formatCode="#,##0.00&quot; € &quot;;\-#,##0.00&quot; € &quot;;\-#&quot; € &quot;;@\ "/>
    <numFmt numFmtId="165" formatCode="#,##0.00\ [$€-C0A];[Red]\-#,##0.00\ [$€-C0A]"/>
    <numFmt numFmtId="166" formatCode="0.00\ %"/>
    <numFmt numFmtId="167" formatCode="#,##0.00&quot; €&quot;;[Red]\-#,##0.00&quot; €&quot;"/>
    <numFmt numFmtId="168" formatCode="#,##0.00&quot; €&quot;"/>
    <numFmt numFmtId="169" formatCode="#,##0.0"/>
    <numFmt numFmtId="170" formatCode="#,##0.00\ [$€-C0A];\-#,##0.00\ [$€-C0A]"/>
    <numFmt numFmtId="171" formatCode="[$-C0A]d\-mmm\-yy;@"/>
    <numFmt numFmtId="172" formatCode="0.0"/>
    <numFmt numFmtId="173" formatCode="dd\-mmm\-yy;@"/>
    <numFmt numFmtId="174" formatCode="d&quot;. &quot;mmm&quot;. &quot;yyyy"/>
    <numFmt numFmtId="175" formatCode="#,##0.00\ &quot;€&quot;"/>
  </numFmts>
  <fonts count="58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i/>
      <u/>
      <sz val="10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b/>
      <i/>
      <u/>
      <sz val="10"/>
      <color rgb="FF000000"/>
      <name val="Calibri"/>
      <family val="2"/>
      <charset val="1"/>
    </font>
    <font>
      <b/>
      <i/>
      <u/>
      <sz val="10"/>
      <color rgb="FF000000"/>
      <name val="Aptos Narrow"/>
      <family val="2"/>
      <charset val="1"/>
    </font>
    <font>
      <b/>
      <i/>
      <u/>
      <sz val="11"/>
      <color rgb="FF000000"/>
      <name val="Calibri"/>
      <family val="2"/>
      <charset val="1"/>
    </font>
    <font>
      <b/>
      <sz val="12"/>
      <name val="Tahoma"/>
      <family val="2"/>
      <charset val="1"/>
    </font>
    <font>
      <sz val="9"/>
      <name val="Tahoma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Tahoma"/>
      <family val="2"/>
      <charset val="1"/>
    </font>
    <font>
      <sz val="7.5"/>
      <name val="Tahoma"/>
      <family val="2"/>
      <charset val="1"/>
    </font>
    <font>
      <b/>
      <sz val="12"/>
      <name val="Arial"/>
      <family val="2"/>
      <charset val="1"/>
    </font>
    <font>
      <b/>
      <sz val="12"/>
      <color rgb="FF94070A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Trebuchet MS"/>
      <family val="2"/>
      <charset val="1"/>
    </font>
    <font>
      <sz val="11"/>
      <color rgb="FF000000"/>
      <name val="Arial"/>
      <family val="2"/>
      <charset val="1"/>
    </font>
    <font>
      <b/>
      <i/>
      <sz val="12"/>
      <name val="Arial"/>
      <family val="2"/>
      <charset val="1"/>
    </font>
    <font>
      <b/>
      <i/>
      <sz val="12"/>
      <color rgb="FF993366"/>
      <name val="Arial"/>
      <family val="2"/>
      <charset val="1"/>
    </font>
    <font>
      <b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b/>
      <vertAlign val="superscript"/>
      <sz val="10"/>
      <color rgb="FF000000"/>
      <name val="Trebuchet MS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Trebuchet MS"/>
      <family val="2"/>
      <charset val="1"/>
    </font>
    <font>
      <sz val="12"/>
      <color rgb="FF000000"/>
      <name val="Arial"/>
      <family val="2"/>
      <charset val="1"/>
    </font>
    <font>
      <b/>
      <sz val="18"/>
      <color rgb="FF99CC00"/>
      <name val="Myriad Web Pro Condensed"/>
      <charset val="1"/>
    </font>
    <font>
      <b/>
      <sz val="14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i/>
      <sz val="12"/>
      <color rgb="FF94070A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993366"/>
      <name val="Arial"/>
      <family val="2"/>
      <charset val="1"/>
    </font>
    <font>
      <sz val="5"/>
      <color rgb="FF000000"/>
      <name val="Calibri"/>
      <family val="2"/>
      <charset val="1"/>
    </font>
    <font>
      <b/>
      <sz val="5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4"/>
      <name val="Tahoma"/>
      <family val="2"/>
      <charset val="1"/>
    </font>
    <font>
      <b/>
      <sz val="10"/>
      <name val="Tahoma"/>
      <family val="2"/>
      <charset val="1"/>
    </font>
    <font>
      <b/>
      <sz val="12"/>
      <color rgb="FF94070A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name val="Arial"/>
      <family val="2"/>
      <charset val="1"/>
    </font>
    <font>
      <sz val="11"/>
      <color rgb="FF000000"/>
      <name val="Arial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1"/>
      <charset val="1"/>
    </font>
    <font>
      <sz val="16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10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8.5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81D41A"/>
        <bgColor rgb="FF99CC00"/>
      </patternFill>
    </fill>
    <fill>
      <patternFill patternType="solid">
        <fgColor rgb="FFFFFF00"/>
        <bgColor rgb="FFFFD320"/>
      </patternFill>
    </fill>
    <fill>
      <patternFill patternType="solid">
        <fgColor rgb="FFDDDDDD"/>
        <bgColor rgb="FFCCCCCC"/>
      </patternFill>
    </fill>
    <fill>
      <patternFill patternType="solid">
        <fgColor rgb="FFFF4000"/>
        <bgColor rgb="FFFF420E"/>
      </patternFill>
    </fill>
    <fill>
      <patternFill patternType="solid">
        <fgColor rgb="FFCCCCCC"/>
        <bgColor rgb="FFDDDDDD"/>
      </patternFill>
    </fill>
    <fill>
      <patternFill patternType="solid">
        <fgColor rgb="FF669933"/>
        <bgColor rgb="FF579D1C"/>
      </patternFill>
    </fill>
    <fill>
      <patternFill patternType="solid">
        <fgColor rgb="FFFF66FF"/>
        <bgColor rgb="FFFF8080"/>
      </patternFill>
    </fill>
    <fill>
      <patternFill patternType="solid">
        <fgColor rgb="FF0000FF"/>
        <bgColor rgb="FF0000FF"/>
      </patternFill>
    </fill>
    <fill>
      <patternFill patternType="solid">
        <fgColor rgb="FFAECF00"/>
        <bgColor rgb="FF99CC00"/>
      </patternFill>
    </fill>
    <fill>
      <patternFill patternType="solid">
        <fgColor rgb="FFFFD32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0E0E0"/>
      </patternFill>
    </fill>
    <fill>
      <patternFill patternType="solid">
        <fgColor rgb="FFFFFF00"/>
        <bgColor indexed="64"/>
      </patternFill>
    </fill>
    <fill>
      <patternFill patternType="solid">
        <fgColor rgb="FFDAE3F3"/>
        <bgColor rgb="FFE0E0E0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13">
    <xf numFmtId="0" fontId="0" fillId="0" borderId="0"/>
    <xf numFmtId="164" fontId="1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0" borderId="0" applyBorder="0" applyProtection="0"/>
    <xf numFmtId="165" fontId="7" fillId="0" borderId="0" applyBorder="0" applyProtection="0"/>
    <xf numFmtId="0" fontId="5" fillId="0" borderId="0" applyBorder="0" applyProtection="0"/>
    <xf numFmtId="0" fontId="46" fillId="0" borderId="0"/>
  </cellStyleXfs>
  <cellXfs count="223">
    <xf numFmtId="0" fontId="0" fillId="0" borderId="0" xfId="0"/>
    <xf numFmtId="0" fontId="26" fillId="6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shrinkToFi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wrapText="1"/>
    </xf>
    <xf numFmtId="0" fontId="10" fillId="0" borderId="0" xfId="0" applyFont="1"/>
    <xf numFmtId="0" fontId="12" fillId="0" borderId="0" xfId="0" applyFont="1" applyAlignment="1">
      <alignment wrapText="1"/>
    </xf>
    <xf numFmtId="0" fontId="9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0" fillId="2" borderId="0" xfId="0" applyFont="1" applyFill="1"/>
    <xf numFmtId="0" fontId="11" fillId="4" borderId="1" xfId="0" applyFont="1" applyFill="1" applyBorder="1" applyAlignment="1">
      <alignment horizontal="left" vertical="center" wrapText="1" shrinkToFit="1"/>
    </xf>
    <xf numFmtId="0" fontId="11" fillId="4" borderId="1" xfId="0" applyFont="1" applyFill="1" applyBorder="1" applyAlignment="1">
      <alignment horizontal="right" vertical="center" wrapText="1" shrinkToFit="1"/>
    </xf>
    <xf numFmtId="0" fontId="10" fillId="0" borderId="0" xfId="0" applyFont="1" applyAlignment="1">
      <alignment wrapText="1" shrinkToFit="1"/>
    </xf>
    <xf numFmtId="0" fontId="16" fillId="0" borderId="0" xfId="0" applyFont="1" applyAlignment="1">
      <alignment horizontal="center" shrinkToFit="1"/>
    </xf>
    <xf numFmtId="0" fontId="10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 shrinkToFit="1"/>
    </xf>
    <xf numFmtId="0" fontId="17" fillId="4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wrapText="1" shrinkToFit="1"/>
    </xf>
    <xf numFmtId="0" fontId="10" fillId="0" borderId="1" xfId="0" applyFont="1" applyBorder="1" applyAlignment="1">
      <alignment vertical="center" wrapText="1" shrinkToFit="1"/>
    </xf>
    <xf numFmtId="0" fontId="10" fillId="3" borderId="1" xfId="0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1" fillId="4" borderId="1" xfId="0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right" vertical="center" wrapText="1" shrinkToFit="1"/>
    </xf>
    <xf numFmtId="166" fontId="11" fillId="4" borderId="1" xfId="0" applyNumberFormat="1" applyFont="1" applyFill="1" applyBorder="1" applyAlignment="1">
      <alignment horizontal="right" vertical="center" wrapText="1" shrinkToFit="1"/>
    </xf>
    <xf numFmtId="0" fontId="19" fillId="0" borderId="0" xfId="0" applyFont="1"/>
    <xf numFmtId="0" fontId="10" fillId="0" borderId="1" xfId="0" applyFont="1" applyBorder="1" applyAlignment="1">
      <alignment horizontal="left" vertical="center" wrapText="1" shrinkToFit="1"/>
    </xf>
    <xf numFmtId="0" fontId="10" fillId="3" borderId="1" xfId="0" applyFont="1" applyFill="1" applyBorder="1" applyAlignment="1">
      <alignment horizontal="center" wrapText="1" shrinkToFit="1"/>
    </xf>
    <xf numFmtId="0" fontId="10" fillId="5" borderId="1" xfId="0" applyFont="1" applyFill="1" applyBorder="1" applyAlignment="1">
      <alignment horizontal="center" wrapText="1" shrinkToFit="1"/>
    </xf>
    <xf numFmtId="0" fontId="11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center" shrinkToFit="1"/>
    </xf>
    <xf numFmtId="0" fontId="22" fillId="0" borderId="0" xfId="0" applyFont="1" applyAlignment="1">
      <alignment horizontal="center" shrinkToFit="1"/>
    </xf>
    <xf numFmtId="0" fontId="11" fillId="6" borderId="1" xfId="0" applyFont="1" applyFill="1" applyBorder="1" applyAlignment="1">
      <alignment horizontal="left" vertical="center" wrapText="1" shrinkToFit="1"/>
    </xf>
    <xf numFmtId="0" fontId="11" fillId="6" borderId="1" xfId="0" applyFont="1" applyFill="1" applyBorder="1" applyAlignment="1">
      <alignment horizontal="center" vertical="center" wrapText="1" shrinkToFit="1"/>
    </xf>
    <xf numFmtId="0" fontId="23" fillId="6" borderId="1" xfId="0" applyFont="1" applyFill="1" applyBorder="1" applyAlignment="1">
      <alignment horizontal="center" vertical="center" wrapText="1" shrinkToFit="1"/>
    </xf>
    <xf numFmtId="165" fontId="0" fillId="0" borderId="0" xfId="0" applyNumberFormat="1"/>
    <xf numFmtId="3" fontId="10" fillId="0" borderId="1" xfId="0" applyNumberFormat="1" applyFont="1" applyBorder="1" applyAlignment="1">
      <alignment horizontal="right" vertical="center" wrapText="1" shrinkToFit="1"/>
    </xf>
    <xf numFmtId="167" fontId="10" fillId="0" borderId="1" xfId="0" applyNumberFormat="1" applyFont="1" applyBorder="1" applyAlignment="1">
      <alignment horizontal="right" vertical="center" wrapText="1" shrinkToFit="1"/>
    </xf>
    <xf numFmtId="168" fontId="1" fillId="0" borderId="1" xfId="0" applyNumberFormat="1" applyFont="1" applyBorder="1" applyAlignment="1">
      <alignment horizontal="right" vertical="center" wrapText="1" shrinkToFit="1"/>
    </xf>
    <xf numFmtId="166" fontId="1" fillId="6" borderId="1" xfId="0" applyNumberFormat="1" applyFont="1" applyFill="1" applyBorder="1" applyAlignment="1">
      <alignment horizontal="right" vertical="center" wrapText="1" shrinkToFit="1"/>
    </xf>
    <xf numFmtId="0" fontId="1" fillId="0" borderId="1" xfId="0" applyFont="1" applyBorder="1" applyAlignment="1">
      <alignment vertical="center" wrapText="1" shrinkToFit="1"/>
    </xf>
    <xf numFmtId="165" fontId="19" fillId="0" borderId="0" xfId="0" applyNumberFormat="1" applyFont="1"/>
    <xf numFmtId="0" fontId="11" fillId="6" borderId="1" xfId="0" applyFont="1" applyFill="1" applyBorder="1" applyAlignment="1">
      <alignment horizontal="right" vertical="center" wrapText="1" shrinkToFit="1"/>
    </xf>
    <xf numFmtId="169" fontId="26" fillId="6" borderId="1" xfId="0" applyNumberFormat="1" applyFont="1" applyFill="1" applyBorder="1" applyAlignment="1">
      <alignment horizontal="right" vertical="center" wrapText="1" shrinkToFit="1"/>
    </xf>
    <xf numFmtId="168" fontId="26" fillId="6" borderId="1" xfId="0" applyNumberFormat="1" applyFont="1" applyFill="1" applyBorder="1" applyAlignment="1">
      <alignment horizontal="right" vertical="center" wrapText="1" shrinkToFit="1"/>
    </xf>
    <xf numFmtId="166" fontId="26" fillId="6" borderId="1" xfId="0" applyNumberFormat="1" applyFont="1" applyFill="1" applyBorder="1" applyAlignment="1">
      <alignment horizontal="right" vertical="center" wrapText="1" shrinkToFit="1"/>
    </xf>
    <xf numFmtId="0" fontId="27" fillId="0" borderId="0" xfId="0" applyFont="1"/>
    <xf numFmtId="0" fontId="26" fillId="0" borderId="0" xfId="0" applyFont="1"/>
    <xf numFmtId="0" fontId="28" fillId="0" borderId="0" xfId="0" applyFont="1"/>
    <xf numFmtId="0" fontId="13" fillId="0" borderId="0" xfId="0" applyFont="1" applyAlignment="1">
      <alignment vertical="top" wrapText="1"/>
    </xf>
    <xf numFmtId="0" fontId="29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22" fillId="0" borderId="0" xfId="0" applyFont="1" applyAlignment="1">
      <alignment shrinkToFit="1"/>
    </xf>
    <xf numFmtId="0" fontId="30" fillId="0" borderId="0" xfId="0" applyFont="1" applyAlignment="1">
      <alignment horizontal="left"/>
    </xf>
    <xf numFmtId="0" fontId="26" fillId="0" borderId="0" xfId="0" applyFont="1" applyAlignment="1">
      <alignment shrinkToFit="1"/>
    </xf>
    <xf numFmtId="0" fontId="3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shrinkToFit="1"/>
    </xf>
    <xf numFmtId="165" fontId="10" fillId="0" borderId="1" xfId="0" applyNumberFormat="1" applyFont="1" applyBorder="1" applyAlignment="1">
      <alignment shrinkToFit="1"/>
    </xf>
    <xf numFmtId="170" fontId="1" fillId="0" borderId="1" xfId="1" applyNumberFormat="1" applyBorder="1" applyAlignment="1" applyProtection="1">
      <alignment shrinkToFit="1"/>
    </xf>
    <xf numFmtId="170" fontId="31" fillId="7" borderId="1" xfId="0" applyNumberFormat="1" applyFont="1" applyFill="1" applyBorder="1" applyAlignment="1">
      <alignment horizontal="right" vertical="center" wrapText="1"/>
    </xf>
    <xf numFmtId="0" fontId="32" fillId="0" borderId="0" xfId="0" applyFont="1" applyAlignment="1">
      <alignment horizontal="center" shrinkToFit="1"/>
    </xf>
    <xf numFmtId="0" fontId="26" fillId="3" borderId="1" xfId="0" applyFont="1" applyFill="1" applyBorder="1" applyAlignment="1">
      <alignment horizontal="center" vertical="center" wrapText="1"/>
    </xf>
    <xf numFmtId="0" fontId="10" fillId="0" borderId="1" xfId="11" applyFont="1" applyBorder="1" applyProtection="1"/>
    <xf numFmtId="3" fontId="10" fillId="0" borderId="1" xfId="11" applyNumberFormat="1" applyFont="1" applyBorder="1" applyAlignment="1" applyProtection="1">
      <alignment shrinkToFit="1"/>
    </xf>
    <xf numFmtId="165" fontId="10" fillId="0" borderId="1" xfId="11" applyNumberFormat="1" applyFont="1" applyBorder="1" applyAlignment="1" applyProtection="1">
      <alignment shrinkToFit="1"/>
    </xf>
    <xf numFmtId="0" fontId="26" fillId="3" borderId="1" xfId="0" applyFont="1" applyFill="1" applyBorder="1" applyAlignment="1">
      <alignment horizontal="center" vertical="center" shrinkToFit="1"/>
    </xf>
    <xf numFmtId="3" fontId="26" fillId="3" borderId="1" xfId="0" applyNumberFormat="1" applyFont="1" applyFill="1" applyBorder="1" applyAlignment="1">
      <alignment horizontal="right" vertical="center" shrinkToFit="1"/>
    </xf>
    <xf numFmtId="165" fontId="26" fillId="3" borderId="1" xfId="0" applyNumberFormat="1" applyFont="1" applyFill="1" applyBorder="1" applyAlignment="1">
      <alignment horizontal="right" vertical="center" shrinkToFit="1"/>
    </xf>
    <xf numFmtId="3" fontId="26" fillId="0" borderId="0" xfId="0" applyNumberFormat="1" applyFont="1" applyAlignment="1">
      <alignment shrinkToFit="1"/>
    </xf>
    <xf numFmtId="170" fontId="26" fillId="0" borderId="0" xfId="0" applyNumberFormat="1" applyFont="1" applyAlignment="1">
      <alignment shrinkToFit="1"/>
    </xf>
    <xf numFmtId="0" fontId="31" fillId="8" borderId="1" xfId="0" applyFont="1" applyFill="1" applyBorder="1" applyAlignment="1">
      <alignment horizontal="center" vertical="center" wrapText="1"/>
    </xf>
    <xf numFmtId="3" fontId="31" fillId="8" borderId="1" xfId="0" applyNumberFormat="1" applyFont="1" applyFill="1" applyBorder="1" applyAlignment="1">
      <alignment horizontal="center" vertical="center" wrapText="1"/>
    </xf>
    <xf numFmtId="165" fontId="31" fillId="8" borderId="1" xfId="0" applyNumberFormat="1" applyFont="1" applyFill="1" applyBorder="1" applyAlignment="1">
      <alignment horizontal="right" vertical="center" wrapText="1"/>
    </xf>
    <xf numFmtId="0" fontId="31" fillId="0" borderId="0" xfId="0" applyFont="1" applyAlignment="1">
      <alignment horizontal="center" vertical="center" wrapText="1"/>
    </xf>
    <xf numFmtId="169" fontId="31" fillId="0" borderId="0" xfId="0" applyNumberFormat="1" applyFont="1" applyAlignment="1">
      <alignment horizontal="right" vertical="center" wrapText="1"/>
    </xf>
    <xf numFmtId="165" fontId="31" fillId="0" borderId="0" xfId="0" applyNumberFormat="1" applyFont="1" applyAlignment="1">
      <alignment horizontal="right" vertical="center" wrapText="1"/>
    </xf>
    <xf numFmtId="0" fontId="33" fillId="0" borderId="0" xfId="0" applyFont="1"/>
    <xf numFmtId="0" fontId="34" fillId="0" borderId="0" xfId="0" applyFont="1" applyAlignment="1">
      <alignment shrinkToFit="1"/>
    </xf>
    <xf numFmtId="0" fontId="31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right" vertical="center" wrapText="1"/>
    </xf>
    <xf numFmtId="170" fontId="31" fillId="9" borderId="1" xfId="0" applyNumberFormat="1" applyFont="1" applyFill="1" applyBorder="1" applyAlignment="1">
      <alignment horizontal="right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/>
    </xf>
    <xf numFmtId="3" fontId="26" fillId="10" borderId="1" xfId="0" applyNumberFormat="1" applyFont="1" applyFill="1" applyBorder="1" applyAlignment="1">
      <alignment shrinkToFit="1"/>
    </xf>
    <xf numFmtId="165" fontId="26" fillId="10" borderId="1" xfId="0" applyNumberFormat="1" applyFont="1" applyFill="1" applyBorder="1" applyAlignment="1">
      <alignment shrinkToFit="1"/>
    </xf>
    <xf numFmtId="0" fontId="35" fillId="0" borderId="0" xfId="0" applyFont="1"/>
    <xf numFmtId="0" fontId="36" fillId="0" borderId="0" xfId="0" applyFont="1" applyAlignment="1">
      <alignment horizontal="left"/>
    </xf>
    <xf numFmtId="3" fontId="10" fillId="0" borderId="1" xfId="0" applyNumberFormat="1" applyFont="1" applyBorder="1" applyAlignment="1">
      <alignment shrinkToFit="1"/>
    </xf>
    <xf numFmtId="165" fontId="31" fillId="7" borderId="1" xfId="0" applyNumberFormat="1" applyFont="1" applyFill="1" applyBorder="1" applyAlignment="1">
      <alignment horizontal="right" vertical="center" wrapText="1"/>
    </xf>
    <xf numFmtId="3" fontId="11" fillId="3" borderId="1" xfId="0" applyNumberFormat="1" applyFont="1" applyFill="1" applyBorder="1" applyAlignment="1">
      <alignment horizontal="right"/>
    </xf>
    <xf numFmtId="165" fontId="11" fillId="3" borderId="1" xfId="0" applyNumberFormat="1" applyFont="1" applyFill="1" applyBorder="1" applyAlignment="1">
      <alignment horizontal="right"/>
    </xf>
    <xf numFmtId="0" fontId="26" fillId="11" borderId="1" xfId="0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right"/>
    </xf>
    <xf numFmtId="165" fontId="11" fillId="11" borderId="1" xfId="0" applyNumberFormat="1" applyFont="1" applyFill="1" applyBorder="1" applyAlignment="1">
      <alignment horizontal="right"/>
    </xf>
    <xf numFmtId="0" fontId="37" fillId="0" borderId="0" xfId="0" applyFont="1" applyAlignment="1">
      <alignment horizontal="left"/>
    </xf>
    <xf numFmtId="3" fontId="11" fillId="6" borderId="1" xfId="0" applyNumberFormat="1" applyFont="1" applyFill="1" applyBorder="1" applyAlignment="1">
      <alignment horizontal="right"/>
    </xf>
    <xf numFmtId="165" fontId="26" fillId="6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wrapText="1"/>
    </xf>
    <xf numFmtId="170" fontId="0" fillId="0" borderId="0" xfId="0" applyNumberFormat="1"/>
    <xf numFmtId="0" fontId="31" fillId="8" borderId="1" xfId="0" applyFont="1" applyFill="1" applyBorder="1" applyAlignment="1">
      <alignment horizontal="center" vertical="center" shrinkToFit="1"/>
    </xf>
    <xf numFmtId="0" fontId="31" fillId="8" borderId="1" xfId="0" applyFont="1" applyFill="1" applyBorder="1" applyAlignment="1">
      <alignment horizontal="center" vertical="center" wrapText="1" shrinkToFit="1"/>
    </xf>
    <xf numFmtId="169" fontId="10" fillId="0" borderId="1" xfId="0" applyNumberFormat="1" applyFont="1" applyBorder="1" applyAlignment="1">
      <alignment shrinkToFit="1"/>
    </xf>
    <xf numFmtId="169" fontId="31" fillId="8" borderId="1" xfId="0" applyNumberFormat="1" applyFont="1" applyFill="1" applyBorder="1" applyAlignment="1">
      <alignment horizontal="right" vertical="center" shrinkToFit="1"/>
    </xf>
    <xf numFmtId="170" fontId="31" fillId="8" borderId="1" xfId="0" applyNumberFormat="1" applyFont="1" applyFill="1" applyBorder="1" applyAlignment="1">
      <alignment horizontal="right" vertical="center" shrinkToFit="1"/>
    </xf>
    <xf numFmtId="165" fontId="0" fillId="0" borderId="0" xfId="0" applyNumberFormat="1" applyAlignment="1">
      <alignment shrinkToFit="1"/>
    </xf>
    <xf numFmtId="168" fontId="0" fillId="0" borderId="0" xfId="0" applyNumberFormat="1" applyAlignment="1">
      <alignment shrinkToFit="1"/>
    </xf>
    <xf numFmtId="171" fontId="0" fillId="0" borderId="0" xfId="0" applyNumberFormat="1" applyAlignment="1">
      <alignment shrinkToFit="1"/>
    </xf>
    <xf numFmtId="172" fontId="0" fillId="0" borderId="0" xfId="0" applyNumberFormat="1" applyAlignment="1">
      <alignment shrinkToFit="1"/>
    </xf>
    <xf numFmtId="0" fontId="26" fillId="10" borderId="1" xfId="0" applyFont="1" applyFill="1" applyBorder="1" applyAlignment="1">
      <alignment horizontal="left"/>
    </xf>
    <xf numFmtId="0" fontId="8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/>
    <xf numFmtId="0" fontId="1" fillId="12" borderId="0" xfId="0" applyFont="1" applyFill="1" applyAlignment="1">
      <alignment horizontal="right"/>
    </xf>
    <xf numFmtId="0" fontId="1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0" fillId="0" borderId="0" xfId="0" applyFont="1" applyAlignment="1">
      <alignment shrinkToFit="1"/>
    </xf>
    <xf numFmtId="174" fontId="10" fillId="0" borderId="0" xfId="0" applyNumberFormat="1" applyFont="1" applyAlignment="1">
      <alignment shrinkToFit="1"/>
    </xf>
    <xf numFmtId="165" fontId="10" fillId="0" borderId="0" xfId="0" applyNumberFormat="1" applyFont="1" applyAlignment="1">
      <alignment shrinkToFit="1"/>
    </xf>
    <xf numFmtId="0" fontId="41" fillId="0" borderId="0" xfId="0" applyFont="1" applyAlignment="1">
      <alignment shrinkToFit="1"/>
    </xf>
    <xf numFmtId="0" fontId="34" fillId="0" borderId="0" xfId="0" applyFont="1" applyAlignment="1">
      <alignment horizontal="center" shrinkToFit="1"/>
    </xf>
    <xf numFmtId="0" fontId="41" fillId="0" borderId="0" xfId="0" applyFont="1"/>
    <xf numFmtId="173" fontId="0" fillId="0" borderId="0" xfId="0" applyNumberFormat="1"/>
    <xf numFmtId="172" fontId="0" fillId="0" borderId="0" xfId="0" applyNumberFormat="1"/>
    <xf numFmtId="0" fontId="43" fillId="0" borderId="0" xfId="0" applyFont="1" applyAlignment="1">
      <alignment shrinkToFit="1"/>
    </xf>
    <xf numFmtId="174" fontId="0" fillId="0" borderId="0" xfId="0" applyNumberFormat="1" applyAlignment="1">
      <alignment shrinkToFit="1"/>
    </xf>
    <xf numFmtId="0" fontId="31" fillId="9" borderId="0" xfId="0" applyFont="1" applyFill="1" applyAlignment="1">
      <alignment horizontal="center" vertical="center" shrinkToFit="1"/>
    </xf>
    <xf numFmtId="3" fontId="31" fillId="9" borderId="0" xfId="0" applyNumberFormat="1" applyFont="1" applyFill="1" applyAlignment="1">
      <alignment horizontal="right" vertical="center" shrinkToFit="1"/>
    </xf>
    <xf numFmtId="165" fontId="31" fillId="9" borderId="0" xfId="0" applyNumberFormat="1" applyFont="1" applyFill="1" applyAlignment="1">
      <alignment horizontal="right" vertical="center" shrinkToFit="1"/>
    </xf>
    <xf numFmtId="0" fontId="44" fillId="0" borderId="0" xfId="0" applyFont="1"/>
    <xf numFmtId="0" fontId="42" fillId="10" borderId="0" xfId="0" applyFont="1" applyFill="1" applyAlignment="1">
      <alignment horizontal="center" vertical="center" wrapText="1"/>
    </xf>
    <xf numFmtId="173" fontId="42" fillId="10" borderId="0" xfId="0" applyNumberFormat="1" applyFont="1" applyFill="1" applyAlignment="1">
      <alignment horizontal="center" vertical="center" wrapText="1"/>
    </xf>
    <xf numFmtId="168" fontId="42" fillId="10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wrapText="1" shrinkToFit="1"/>
    </xf>
    <xf numFmtId="170" fontId="0" fillId="0" borderId="0" xfId="0" applyNumberFormat="1" applyAlignment="1">
      <alignment shrinkToFit="1"/>
    </xf>
    <xf numFmtId="169" fontId="10" fillId="0" borderId="1" xfId="0" applyNumberFormat="1" applyFont="1" applyBorder="1" applyAlignment="1">
      <alignment horizontal="right" vertical="center" wrapText="1" shrinkToFit="1"/>
    </xf>
    <xf numFmtId="0" fontId="10" fillId="0" borderId="1" xfId="0" applyFont="1" applyBorder="1" applyAlignment="1">
      <alignment horizontal="right" vertical="center" wrapText="1" shrinkToFit="1"/>
    </xf>
    <xf numFmtId="166" fontId="10" fillId="0" borderId="1" xfId="0" applyNumberFormat="1" applyFont="1" applyBorder="1" applyAlignment="1">
      <alignment horizontal="right" vertical="center" wrapText="1" shrinkToFit="1"/>
    </xf>
    <xf numFmtId="0" fontId="20" fillId="0" borderId="0" xfId="12" applyFont="1" applyAlignment="1">
      <alignment vertical="center"/>
    </xf>
    <xf numFmtId="0" fontId="20" fillId="0" borderId="0" xfId="12" applyFont="1"/>
    <xf numFmtId="0" fontId="45" fillId="0" borderId="3" xfId="12" applyFont="1" applyBorder="1" applyAlignment="1">
      <alignment horizontal="right" wrapText="1"/>
    </xf>
    <xf numFmtId="0" fontId="45" fillId="0" borderId="3" xfId="12" applyFont="1" applyBorder="1" applyAlignment="1">
      <alignment wrapText="1"/>
    </xf>
    <xf numFmtId="0" fontId="11" fillId="13" borderId="2" xfId="12" applyFont="1" applyFill="1" applyBorder="1" applyAlignment="1">
      <alignment horizontal="left" vertical="center" wrapText="1"/>
    </xf>
    <xf numFmtId="0" fontId="11" fillId="13" borderId="2" xfId="12" applyFont="1" applyFill="1" applyBorder="1" applyAlignment="1">
      <alignment horizontal="center" vertical="center" wrapText="1"/>
    </xf>
    <xf numFmtId="0" fontId="20" fillId="0" borderId="0" xfId="12" applyFont="1" applyAlignment="1">
      <alignment horizontal="center"/>
    </xf>
    <xf numFmtId="0" fontId="20" fillId="0" borderId="2" xfId="12" applyFont="1" applyBorder="1" applyAlignment="1">
      <alignment vertical="center"/>
    </xf>
    <xf numFmtId="3" fontId="20" fillId="0" borderId="2" xfId="12" applyNumberFormat="1" applyFont="1" applyBorder="1" applyAlignment="1">
      <alignment horizontal="right" vertical="center"/>
    </xf>
    <xf numFmtId="3" fontId="20" fillId="0" borderId="0" xfId="12" applyNumberFormat="1" applyFont="1" applyAlignment="1">
      <alignment horizontal="center"/>
    </xf>
    <xf numFmtId="3" fontId="20" fillId="0" borderId="0" xfId="12" applyNumberFormat="1" applyFont="1"/>
    <xf numFmtId="0" fontId="20" fillId="14" borderId="0" xfId="12" applyFont="1" applyFill="1"/>
    <xf numFmtId="0" fontId="48" fillId="13" borderId="2" xfId="12" applyFont="1" applyFill="1" applyBorder="1" applyAlignment="1">
      <alignment horizontal="right" vertical="center"/>
    </xf>
    <xf numFmtId="3" fontId="48" fillId="13" borderId="2" xfId="12" applyNumberFormat="1" applyFont="1" applyFill="1" applyBorder="1" applyAlignment="1">
      <alignment horizontal="right" vertical="center"/>
    </xf>
    <xf numFmtId="0" fontId="20" fillId="15" borderId="0" xfId="12" applyFont="1" applyFill="1"/>
    <xf numFmtId="0" fontId="48" fillId="0" borderId="0" xfId="12" applyFont="1"/>
    <xf numFmtId="0" fontId="46" fillId="0" borderId="0" xfId="12"/>
    <xf numFmtId="0" fontId="45" fillId="0" borderId="0" xfId="12" applyFont="1" applyAlignment="1">
      <alignment horizontal="right" wrapText="1"/>
    </xf>
    <xf numFmtId="169" fontId="31" fillId="7" borderId="1" xfId="0" applyNumberFormat="1" applyFont="1" applyFill="1" applyBorder="1" applyAlignment="1">
      <alignment horizontal="right" vertical="center" wrapText="1"/>
    </xf>
    <xf numFmtId="3" fontId="31" fillId="8" borderId="1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shrinkToFit="1"/>
    </xf>
    <xf numFmtId="0" fontId="10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center" shrinkToFit="1"/>
    </xf>
    <xf numFmtId="0" fontId="10" fillId="3" borderId="0" xfId="0" applyFont="1" applyFill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/>
    </xf>
    <xf numFmtId="0" fontId="33" fillId="13" borderId="2" xfId="12" applyFont="1" applyFill="1" applyBorder="1" applyAlignment="1">
      <alignment horizontal="center" vertical="center"/>
    </xf>
    <xf numFmtId="0" fontId="20" fillId="0" borderId="4" xfId="12" applyFont="1" applyBorder="1" applyAlignment="1">
      <alignment horizontal="left"/>
    </xf>
    <xf numFmtId="0" fontId="47" fillId="0" borderId="0" xfId="12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6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4" fillId="0" borderId="0" xfId="0" applyFont="1" applyAlignment="1">
      <alignment horizontal="center" shrinkToFit="1"/>
    </xf>
    <xf numFmtId="0" fontId="31" fillId="9" borderId="0" xfId="0" applyFont="1" applyFill="1" applyAlignment="1">
      <alignment horizontal="left" vertical="center" shrinkToFit="1"/>
    </xf>
    <xf numFmtId="0" fontId="50" fillId="16" borderId="0" xfId="0" applyFont="1" applyFill="1" applyAlignment="1">
      <alignment shrinkToFit="1"/>
    </xf>
    <xf numFmtId="165" fontId="50" fillId="16" borderId="0" xfId="0" applyNumberFormat="1" applyFont="1" applyFill="1" applyAlignment="1">
      <alignment shrinkToFit="1"/>
    </xf>
    <xf numFmtId="0" fontId="51" fillId="8" borderId="0" xfId="0" applyFont="1" applyFill="1" applyAlignment="1">
      <alignment horizontal="center" vertical="center" wrapText="1"/>
    </xf>
    <xf numFmtId="173" fontId="51" fillId="8" borderId="0" xfId="0" applyNumberFormat="1" applyFont="1" applyFill="1" applyAlignment="1">
      <alignment horizontal="center" vertical="center" wrapText="1"/>
    </xf>
    <xf numFmtId="175" fontId="51" fillId="8" borderId="0" xfId="0" applyNumberFormat="1" applyFont="1" applyFill="1" applyAlignment="1">
      <alignment horizontal="center" vertical="center" wrapText="1"/>
    </xf>
    <xf numFmtId="0" fontId="52" fillId="0" borderId="0" xfId="0" applyFont="1" applyAlignment="1">
      <alignment shrinkToFit="1"/>
    </xf>
    <xf numFmtId="8" fontId="52" fillId="0" borderId="0" xfId="0" applyNumberFormat="1" applyFont="1" applyAlignment="1">
      <alignment shrinkToFit="1"/>
    </xf>
    <xf numFmtId="0" fontId="53" fillId="16" borderId="0" xfId="0" applyFont="1" applyFill="1" applyAlignment="1"/>
    <xf numFmtId="0" fontId="53" fillId="16" borderId="0" xfId="0" applyFont="1" applyFill="1" applyAlignment="1">
      <alignment shrinkToFit="1"/>
    </xf>
    <xf numFmtId="8" fontId="53" fillId="16" borderId="0" xfId="0" applyNumberFormat="1" applyFont="1" applyFill="1" applyAlignment="1">
      <alignment shrinkToFit="1"/>
    </xf>
    <xf numFmtId="0" fontId="54" fillId="8" borderId="0" xfId="0" applyFont="1" applyFill="1" applyAlignment="1">
      <alignment horizontal="left" vertical="center" shrinkToFit="1"/>
    </xf>
    <xf numFmtId="0" fontId="54" fillId="8" borderId="0" xfId="0" applyFont="1" applyFill="1" applyAlignment="1">
      <alignment horizontal="center" vertical="center" shrinkToFit="1"/>
    </xf>
    <xf numFmtId="165" fontId="54" fillId="8" borderId="0" xfId="0" applyNumberFormat="1" applyFont="1" applyFill="1" applyAlignment="1">
      <alignment horizontal="center" vertical="center" shrinkToFit="1"/>
    </xf>
    <xf numFmtId="3" fontId="54" fillId="8" borderId="0" xfId="0" applyNumberFormat="1" applyFont="1" applyFill="1" applyAlignment="1">
      <alignment horizontal="center" vertical="center" shrinkToFit="1"/>
    </xf>
    <xf numFmtId="165" fontId="52" fillId="0" borderId="0" xfId="0" applyNumberFormat="1" applyFont="1" applyAlignment="1">
      <alignment shrinkToFit="1"/>
    </xf>
    <xf numFmtId="165" fontId="53" fillId="16" borderId="0" xfId="0" applyNumberFormat="1" applyFont="1" applyFill="1" applyAlignment="1">
      <alignment shrinkToFit="1"/>
    </xf>
    <xf numFmtId="0" fontId="54" fillId="9" borderId="0" xfId="0" applyFont="1" applyFill="1" applyAlignment="1">
      <alignment horizontal="center" vertical="center" wrapText="1"/>
    </xf>
    <xf numFmtId="173" fontId="54" fillId="9" borderId="0" xfId="0" applyNumberFormat="1" applyFont="1" applyFill="1" applyAlignment="1">
      <alignment horizontal="center" vertical="center" wrapText="1"/>
    </xf>
    <xf numFmtId="168" fontId="54" fillId="9" borderId="0" xfId="0" applyNumberFormat="1" applyFont="1" applyFill="1" applyAlignment="1">
      <alignment horizontal="center" vertical="center" wrapText="1"/>
    </xf>
    <xf numFmtId="0" fontId="55" fillId="7" borderId="0" xfId="0" applyFont="1" applyFill="1" applyAlignment="1">
      <alignment horizontal="center" vertical="center" wrapText="1"/>
    </xf>
    <xf numFmtId="173" fontId="55" fillId="7" borderId="0" xfId="0" applyNumberFormat="1" applyFont="1" applyFill="1" applyAlignment="1">
      <alignment horizontal="center" vertical="center" wrapText="1"/>
    </xf>
    <xf numFmtId="168" fontId="51" fillId="7" borderId="0" xfId="0" applyNumberFormat="1" applyFont="1" applyFill="1" applyAlignment="1">
      <alignment horizontal="center" vertical="center" wrapText="1"/>
    </xf>
    <xf numFmtId="0" fontId="52" fillId="0" borderId="0" xfId="0" applyFont="1" applyAlignment="1"/>
    <xf numFmtId="0" fontId="54" fillId="7" borderId="0" xfId="0" applyFont="1" applyFill="1" applyAlignment="1">
      <alignment horizontal="left" vertical="center" wrapText="1"/>
    </xf>
    <xf numFmtId="0" fontId="54" fillId="7" borderId="0" xfId="0" applyFont="1" applyFill="1" applyAlignment="1">
      <alignment horizontal="center" vertical="center" wrapText="1"/>
    </xf>
    <xf numFmtId="175" fontId="54" fillId="7" borderId="0" xfId="0" applyNumberFormat="1" applyFont="1" applyFill="1" applyAlignment="1">
      <alignment horizontal="center" vertical="center" wrapText="1"/>
    </xf>
    <xf numFmtId="0" fontId="56" fillId="3" borderId="0" xfId="0" applyFont="1" applyFill="1" applyAlignment="1">
      <alignment horizontal="center" vertical="center" wrapText="1"/>
    </xf>
    <xf numFmtId="173" fontId="56" fillId="3" borderId="0" xfId="0" applyNumberFormat="1" applyFont="1" applyFill="1" applyAlignment="1">
      <alignment horizontal="center" vertical="center" wrapText="1"/>
    </xf>
    <xf numFmtId="168" fontId="56" fillId="3" borderId="0" xfId="0" applyNumberFormat="1" applyFont="1" applyFill="1" applyAlignment="1">
      <alignment horizontal="center" vertical="center" wrapText="1"/>
    </xf>
    <xf numFmtId="168" fontId="57" fillId="3" borderId="0" xfId="0" applyNumberFormat="1" applyFont="1" applyFill="1" applyAlignment="1">
      <alignment horizontal="center" vertical="center" wrapText="1"/>
    </xf>
    <xf numFmtId="0" fontId="50" fillId="3" borderId="0" xfId="0" applyFont="1" applyFill="1" applyAlignment="1">
      <alignment horizontal="left" vertical="center" shrinkToFit="1"/>
    </xf>
    <xf numFmtId="0" fontId="50" fillId="3" borderId="0" xfId="0" applyFont="1" applyFill="1" applyAlignment="1">
      <alignment horizontal="center" vertical="center" shrinkToFit="1"/>
    </xf>
    <xf numFmtId="3" fontId="50" fillId="3" borderId="0" xfId="0" applyNumberFormat="1" applyFont="1" applyFill="1" applyAlignment="1">
      <alignment horizontal="center" vertical="center" shrinkToFit="1"/>
    </xf>
    <xf numFmtId="165" fontId="50" fillId="3" borderId="0" xfId="0" applyNumberFormat="1" applyFont="1" applyFill="1" applyAlignment="1">
      <alignment horizontal="center" vertical="center" shrinkToFit="1"/>
    </xf>
    <xf numFmtId="0" fontId="50" fillId="16" borderId="0" xfId="0" applyFont="1" applyFill="1" applyAlignment="1"/>
    <xf numFmtId="174" fontId="50" fillId="16" borderId="0" xfId="0" applyNumberFormat="1" applyFont="1" applyFill="1" applyAlignment="1">
      <alignment shrinkToFit="1"/>
    </xf>
    <xf numFmtId="0" fontId="42" fillId="10" borderId="0" xfId="0" applyFont="1" applyFill="1" applyAlignment="1">
      <alignment horizontal="center" vertical="center" wrapText="1"/>
    </xf>
  </cellXfs>
  <cellStyles count="13">
    <cellStyle name="Euro" xfId="1" xr:uid="{00000000-0005-0000-0000-000006000000}"/>
    <cellStyle name="Normal" xfId="0" builtinId="0"/>
    <cellStyle name="Normal 2" xfId="12" xr:uid="{51FC2A74-EBCD-4CB3-A02E-A714839A158C}"/>
    <cellStyle name="Resultado" xfId="11" xr:uid="{00000000-0005-0000-0000-000010000000}"/>
    <cellStyle name="Resultado 1" xfId="2" xr:uid="{00000000-0005-0000-0000-000007000000}"/>
    <cellStyle name="Resultado 14" xfId="3" xr:uid="{00000000-0005-0000-0000-000008000000}"/>
    <cellStyle name="Resultado 2" xfId="4" xr:uid="{00000000-0005-0000-0000-000009000000}"/>
    <cellStyle name="Resultado 3" xfId="5" xr:uid="{00000000-0005-0000-0000-00000A000000}"/>
    <cellStyle name="Resultado 4" xfId="6" xr:uid="{00000000-0005-0000-0000-00000B000000}"/>
    <cellStyle name="Resultado 5" xfId="7" xr:uid="{00000000-0005-0000-0000-00000C000000}"/>
    <cellStyle name="Resultado 7" xfId="8" xr:uid="{00000000-0005-0000-0000-00000D000000}"/>
    <cellStyle name="Resultado 8" xfId="9" xr:uid="{00000000-0005-0000-0000-00000E000000}"/>
    <cellStyle name="Resultado2" xfId="10" xr:uid="{00000000-0005-0000-0000-00000F000000}"/>
  </cellStyles>
  <dxfs count="5">
    <dxf>
      <font>
        <sz val="11"/>
        <color rgb="FFFFFFFF"/>
        <name val="Calibri"/>
        <family val="2"/>
        <charset val="1"/>
      </font>
    </dxf>
    <dxf>
      <numFmt numFmtId="165" formatCode="#,##0.00\ [$€-C0A];[Red]\-#,##0.00\ [$€-C0A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numFmt numFmtId="165" formatCode="#,##0.00\ [$€-C0A];[Red]\-#,##0.00\ [$€-C0A]"/>
      <alignment horizontal="general" vertical="bottom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numFmt numFmtId="165" formatCode="#,##0.00\ [$€-C0A];[Red]\-#,##0.00\ [$€-C0A]"/>
      <alignment horizontal="general" vertical="bottom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numFmt numFmtId="3" formatCode="#,##0"/>
      <alignment horizontal="general" vertical="bottom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4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669933"/>
      <rgbColor rgb="FF800080"/>
      <rgbColor rgb="FF008080"/>
      <rgbColor rgb="FFCCCCCC"/>
      <rgbColor rgb="FF81D41A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AECF00"/>
      <rgbColor rgb="FF00FFFF"/>
      <rgbColor rgb="FF800080"/>
      <rgbColor rgb="FF94070A"/>
      <rgbColor rgb="FF008080"/>
      <rgbColor rgb="FF0000FF"/>
      <rgbColor rgb="FF00CCFF"/>
      <rgbColor rgb="FFCCFFFF"/>
      <rgbColor rgb="FFCCFFCC"/>
      <rgbColor rgb="FFFFFF99"/>
      <rgbColor rgb="FF83CAFF"/>
      <rgbColor rgb="FFFF66FF"/>
      <rgbColor rgb="FFCC99FF"/>
      <rgbColor rgb="FF99CC66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2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ES" sz="1200" b="1" strike="noStrike" spc="-1">
                <a:solidFill>
                  <a:srgbClr val="000000"/>
                </a:solidFill>
                <a:latin typeface="Arial"/>
              </a:rPr>
              <a:t>Solicitudes presentadas
Nº de solicitudes presentadas por Direcciones</a:t>
            </a:r>
          </a:p>
        </c:rich>
      </c:tx>
      <c:layout>
        <c:manualLayout>
          <c:xMode val="edge"/>
          <c:yMode val="edge"/>
          <c:x val="0.27781926811052998"/>
          <c:y val="4.50985046285306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2362103916"/>
          <c:y val="0.22133871350581499"/>
          <c:w val="0.85399551904406301"/>
          <c:h val="0.669000712081652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6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531-4FE7-A284-06C889F5A0F0}"/>
              </c:ext>
            </c:extLst>
          </c:dPt>
          <c:dPt>
            <c:idx val="1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531-4FE7-A284-06C889F5A0F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531-4FE7-A284-06C889F5A0F0}"/>
              </c:ext>
            </c:extLst>
          </c:dPt>
          <c:dPt>
            <c:idx val="3"/>
            <c:invertIfNegative val="0"/>
            <c:bubble3D val="0"/>
            <c:spPr>
              <a:solidFill>
                <a:srgbClr val="FF6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531-4FE7-A284-06C889F5A0F0}"/>
              </c:ext>
            </c:extLst>
          </c:dPt>
          <c:dPt>
            <c:idx val="4"/>
            <c:invertIfNegative val="0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531-4FE7-A284-06C889F5A0F0}"/>
              </c:ext>
            </c:extLst>
          </c:dPt>
          <c:dLbls>
            <c:dLbl>
              <c:idx val="0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9531-4FE7-A284-06C889F5A0F0}"/>
                </c:ext>
              </c:extLst>
            </c:dLbl>
            <c:dLbl>
              <c:idx val="1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9531-4FE7-A284-06C889F5A0F0}"/>
                </c:ext>
              </c:extLst>
            </c:dLbl>
            <c:dLbl>
              <c:idx val="2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9531-4FE7-A284-06C889F5A0F0}"/>
                </c:ext>
              </c:extLst>
            </c:dLbl>
            <c:dLbl>
              <c:idx val="3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9531-4FE7-A284-06C889F5A0F0}"/>
                </c:ext>
              </c:extLst>
            </c:dLbl>
            <c:dLbl>
              <c:idx val="4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9-9531-4FE7-A284-06C889F5A0F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'Expedientes tramitados'!$A$11:$A$15</c:f>
              <c:strCache>
                <c:ptCount val="5"/>
                <c:pt idx="0">
                  <c:v>Gerencia</c:v>
                </c:pt>
                <c:pt idx="1">
                  <c:v>Gestión</c:v>
                </c:pt>
                <c:pt idx="2">
                  <c:v>Médica</c:v>
                </c:pt>
                <c:pt idx="3">
                  <c:v>Enfermería</c:v>
                </c:pt>
                <c:pt idx="4">
                  <c:v>Recursos Humanos</c:v>
                </c:pt>
              </c:strCache>
            </c:strRef>
          </c:cat>
          <c:val>
            <c:numRef>
              <c:f>'Expedientes tramitados'!$B$11:$B$15</c:f>
              <c:numCache>
                <c:formatCode>General</c:formatCode>
                <c:ptCount val="5"/>
                <c:pt idx="0">
                  <c:v>23</c:v>
                </c:pt>
                <c:pt idx="1">
                  <c:v>63</c:v>
                </c:pt>
                <c:pt idx="2" formatCode="#,##0">
                  <c:v>1799</c:v>
                </c:pt>
                <c:pt idx="3">
                  <c:v>518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31-4FE7-A284-06C889F5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8573712"/>
        <c:axId val="99500587"/>
      </c:barChart>
      <c:catAx>
        <c:axId val="88573712"/>
        <c:scaling>
          <c:orientation val="minMax"/>
        </c:scaling>
        <c:delete val="0"/>
        <c:axPos val="b"/>
        <c:numFmt formatCode="[$-C0A]dd/mm/yy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99500587"/>
        <c:crosses val="autoZero"/>
        <c:auto val="1"/>
        <c:lblAlgn val="ctr"/>
        <c:lblOffset val="100"/>
        <c:noMultiLvlLbl val="0"/>
      </c:catAx>
      <c:valAx>
        <c:axId val="99500587"/>
        <c:scaling>
          <c:orientation val="minMax"/>
          <c:max val="20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88573712"/>
        <c:crossesAt val="1"/>
        <c:crossBetween val="between"/>
        <c:majorUnit val="200"/>
        <c:minorUnit val="40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2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ES" sz="1200" b="1" strike="noStrike" spc="-1">
                <a:solidFill>
                  <a:srgbClr val="000000"/>
                </a:solidFill>
                <a:latin typeface="Arial"/>
              </a:rPr>
              <a:t>Solicitudes autorizadas
% de solicitudes autorizadas de las presentadas</a:t>
            </a:r>
          </a:p>
        </c:rich>
      </c:tx>
      <c:layout>
        <c:manualLayout>
          <c:xMode val="edge"/>
          <c:yMode val="edge"/>
          <c:x val="0.24826629680998599"/>
          <c:y val="1.42328494164532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15672676838"/>
          <c:y val="0.22146313692001099"/>
          <c:w val="0.85399551904406301"/>
          <c:h val="0.66908625106746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6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449-4384-8EB4-AF72BF23ED33}"/>
              </c:ext>
            </c:extLst>
          </c:dPt>
          <c:dPt>
            <c:idx val="1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49-4384-8EB4-AF72BF23ED3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449-4384-8EB4-AF72BF23ED33}"/>
              </c:ext>
            </c:extLst>
          </c:dPt>
          <c:dPt>
            <c:idx val="3"/>
            <c:invertIfNegative val="0"/>
            <c:bubble3D val="0"/>
            <c:spPr>
              <a:solidFill>
                <a:srgbClr val="FF6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449-4384-8EB4-AF72BF23ED33}"/>
              </c:ext>
            </c:extLst>
          </c:dPt>
          <c:dPt>
            <c:idx val="4"/>
            <c:invertIfNegative val="0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449-4384-8EB4-AF72BF23ED33}"/>
              </c:ext>
            </c:extLst>
          </c:dPt>
          <c:dLbls>
            <c:dLbl>
              <c:idx val="0"/>
              <c:numFmt formatCode="0.00%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3449-4384-8EB4-AF72BF23ED33}"/>
                </c:ext>
              </c:extLst>
            </c:dLbl>
            <c:dLbl>
              <c:idx val="1"/>
              <c:numFmt formatCode="0.00%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3449-4384-8EB4-AF72BF23ED33}"/>
                </c:ext>
              </c:extLst>
            </c:dLbl>
            <c:dLbl>
              <c:idx val="2"/>
              <c:numFmt formatCode="0.00%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3449-4384-8EB4-AF72BF23ED33}"/>
                </c:ext>
              </c:extLst>
            </c:dLbl>
            <c:dLbl>
              <c:idx val="3"/>
              <c:numFmt formatCode="0.00%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3449-4384-8EB4-AF72BF23ED33}"/>
                </c:ext>
              </c:extLst>
            </c:dLbl>
            <c:dLbl>
              <c:idx val="4"/>
              <c:numFmt formatCode="0.00%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9-3449-4384-8EB4-AF72BF23ED3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'Expedientes tramitados'!$A$11:$A$15</c:f>
              <c:strCache>
                <c:ptCount val="5"/>
                <c:pt idx="0">
                  <c:v>Gerencia</c:v>
                </c:pt>
                <c:pt idx="1">
                  <c:v>Gestión</c:v>
                </c:pt>
                <c:pt idx="2">
                  <c:v>Médica</c:v>
                </c:pt>
                <c:pt idx="3">
                  <c:v>Enfermería</c:v>
                </c:pt>
                <c:pt idx="4">
                  <c:v>Recursos Humanos</c:v>
                </c:pt>
              </c:strCache>
            </c:strRef>
          </c:cat>
          <c:val>
            <c:numRef>
              <c:f>'Expedientes tramitados'!$G$11:$G$15</c:f>
              <c:numCache>
                <c:formatCode>0.00\ %</c:formatCode>
                <c:ptCount val="5"/>
                <c:pt idx="0">
                  <c:v>0.82608695652173914</c:v>
                </c:pt>
                <c:pt idx="1">
                  <c:v>0.92063492063492058</c:v>
                </c:pt>
                <c:pt idx="2">
                  <c:v>0.9166203446359088</c:v>
                </c:pt>
                <c:pt idx="3">
                  <c:v>0.94594594594594594</c:v>
                </c:pt>
                <c:pt idx="4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49-4384-8EB4-AF72BF23E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399790"/>
        <c:axId val="70460845"/>
      </c:barChart>
      <c:catAx>
        <c:axId val="63399790"/>
        <c:scaling>
          <c:orientation val="minMax"/>
        </c:scaling>
        <c:delete val="0"/>
        <c:axPos val="b"/>
        <c:numFmt formatCode="[$-C0A]dd/mm/yy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70460845"/>
        <c:crosses val="autoZero"/>
        <c:auto val="1"/>
        <c:lblAlgn val="ctr"/>
        <c:lblOffset val="100"/>
        <c:noMultiLvlLbl val="0"/>
      </c:catAx>
      <c:valAx>
        <c:axId val="7046084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63399790"/>
        <c:crossesAt val="1"/>
        <c:crossBetween val="between"/>
        <c:majorUnit val="0.2"/>
        <c:minorUnit val="0.1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ES" sz="1100" b="1" strike="noStrike" spc="-1">
                <a:solidFill>
                  <a:srgbClr val="000000"/>
                </a:solidFill>
                <a:latin typeface="Arial"/>
              </a:rPr>
              <a:t>Ayuda Económica</a:t>
            </a:r>
          </a:p>
        </c:rich>
      </c:tx>
      <c:layout>
        <c:manualLayout>
          <c:xMode val="edge"/>
          <c:yMode val="edge"/>
          <c:x val="2.6339486717694701E-2"/>
          <c:y val="0.3378259595663640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654434939216601"/>
          <c:y val="3.73571637855259E-2"/>
          <c:w val="0.38563710040522298"/>
          <c:h val="0.91693524758277201"/>
        </c:manualLayout>
      </c:layout>
      <c:doughnut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6993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119-46DB-A327-AFABEC05A22C}"/>
              </c:ext>
            </c:extLst>
          </c:dPt>
          <c:dPt>
            <c:idx val="1"/>
            <c:bubble3D val="0"/>
            <c:spPr>
              <a:solidFill>
                <a:srgbClr val="0000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119-46DB-A327-AFABEC05A22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119-46DB-A327-AFABEC05A22C}"/>
              </c:ext>
            </c:extLst>
          </c:dPt>
          <c:dPt>
            <c:idx val="3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119-46DB-A327-AFABEC05A22C}"/>
              </c:ext>
            </c:extLst>
          </c:dPt>
          <c:dPt>
            <c:idx val="4"/>
            <c:bubble3D val="0"/>
            <c:spPr>
              <a:solidFill>
                <a:srgbClr val="FF6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119-46DB-A327-AFABEC05A22C}"/>
              </c:ext>
            </c:extLst>
          </c:dPt>
          <c:dPt>
            <c:idx val="5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119-46DB-A327-AFABEC05A22C}"/>
              </c:ext>
            </c:extLst>
          </c:dPt>
          <c:dLbls>
            <c:dLbl>
              <c:idx val="0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19-46DB-A327-AFABEC05A22C}"/>
                </c:ext>
              </c:extLst>
            </c:dLbl>
            <c:dLbl>
              <c:idx val="1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19-46DB-A327-AFABEC05A22C}"/>
                </c:ext>
              </c:extLst>
            </c:dLbl>
            <c:dLbl>
              <c:idx val="2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19-46DB-A327-AFABEC05A22C}"/>
                </c:ext>
              </c:extLst>
            </c:dLbl>
            <c:dLbl>
              <c:idx val="3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19-46DB-A327-AFABEC05A22C}"/>
                </c:ext>
              </c:extLst>
            </c:dLbl>
            <c:dLbl>
              <c:idx val="4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19-46DB-A327-AFABEC05A22C}"/>
                </c:ext>
              </c:extLst>
            </c:dLbl>
            <c:dLbl>
              <c:idx val="5"/>
              <c:numFmt formatCode="#,##0.00&quot; €&quot;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19-46DB-A327-AFABEC05A22C}"/>
                </c:ext>
              </c:extLst>
            </c:dLbl>
            <c:numFmt formatCode="#,##0.00&quot; €&quot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'Inversión económica'!$A$11:$A$16</c:f>
              <c:strCache>
                <c:ptCount val="6"/>
                <c:pt idx="0">
                  <c:v>Gerencia</c:v>
                </c:pt>
                <c:pt idx="1">
                  <c:v>Gestión</c:v>
                </c:pt>
                <c:pt idx="2">
                  <c:v>Médica</c:v>
                </c:pt>
                <c:pt idx="3">
                  <c:v>Médica (Residentes)</c:v>
                </c:pt>
                <c:pt idx="4">
                  <c:v>Enfermería</c:v>
                </c:pt>
                <c:pt idx="5">
                  <c:v>Recursos Humanos</c:v>
                </c:pt>
              </c:strCache>
            </c:strRef>
          </c:cat>
          <c:val>
            <c:numRef>
              <c:f>'Inversión económica'!$C$11:$C$16</c:f>
              <c:numCache>
                <c:formatCode>#,##0.00" €";[Red]\-#,##0.00" €"</c:formatCode>
                <c:ptCount val="6"/>
                <c:pt idx="0">
                  <c:v>420</c:v>
                </c:pt>
                <c:pt idx="1">
                  <c:v>3076</c:v>
                </c:pt>
                <c:pt idx="2">
                  <c:v>4623</c:v>
                </c:pt>
                <c:pt idx="3">
                  <c:v>6814.5</c:v>
                </c:pt>
                <c:pt idx="4">
                  <c:v>20898.009999999998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19-46DB-A327-AFABEC05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5273239436619699"/>
          <c:y val="0.41434868521051799"/>
          <c:w val="0.213983886416136"/>
          <c:h val="0.433110367892977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ES" sz="1100" b="1" strike="noStrike" spc="-1">
                <a:solidFill>
                  <a:srgbClr val="000000"/>
                </a:solidFill>
                <a:latin typeface="Arial"/>
              </a:rPr>
              <a:t>Horas de Permiso
Nº de horas por Dirección</a:t>
            </a:r>
          </a:p>
        </c:rich>
      </c:tx>
      <c:layout>
        <c:manualLayout>
          <c:xMode val="edge"/>
          <c:yMode val="edge"/>
          <c:x val="0.39021805811165"/>
          <c:y val="3.48189415041783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952094138642607E-2"/>
          <c:y val="0.17583565459610001"/>
          <c:w val="0.88232669678210895"/>
          <c:h val="0.720752089136490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6993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D62-4235-85B0-EDE883667CCC}"/>
              </c:ext>
            </c:extLst>
          </c:dPt>
          <c:dPt>
            <c:idx val="1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D62-4235-85B0-EDE883667CC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D62-4235-85B0-EDE883667CCC}"/>
              </c:ext>
            </c:extLst>
          </c:dPt>
          <c:dPt>
            <c:idx val="3"/>
            <c:invertIfNegative val="0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D62-4235-85B0-EDE883667CCC}"/>
              </c:ext>
            </c:extLst>
          </c:dPt>
          <c:dPt>
            <c:idx val="4"/>
            <c:invertIfNegative val="0"/>
            <c:bubble3D val="0"/>
            <c:spPr>
              <a:solidFill>
                <a:srgbClr val="FF6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D62-4235-85B0-EDE883667CCC}"/>
              </c:ext>
            </c:extLst>
          </c:dPt>
          <c:dPt>
            <c:idx val="5"/>
            <c:invertIfNegative val="0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D62-4235-85B0-EDE883667CCC}"/>
              </c:ext>
            </c:extLst>
          </c:dPt>
          <c:dLbls>
            <c:dLbl>
              <c:idx val="0"/>
              <c:numFmt formatCode="#,##0.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DD62-4235-85B0-EDE883667CCC}"/>
                </c:ext>
              </c:extLst>
            </c:dLbl>
            <c:dLbl>
              <c:idx val="1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DD62-4235-85B0-EDE883667CCC}"/>
                </c:ext>
              </c:extLst>
            </c:dLbl>
            <c:dLbl>
              <c:idx val="2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DD62-4235-85B0-EDE883667CCC}"/>
                </c:ext>
              </c:extLst>
            </c:dLbl>
            <c:dLbl>
              <c:idx val="3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DD62-4235-85B0-EDE883667CCC}"/>
                </c:ext>
              </c:extLst>
            </c:dLbl>
            <c:dLbl>
              <c:idx val="4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9-DD62-4235-85B0-EDE883667CCC}"/>
                </c:ext>
              </c:extLst>
            </c:dLbl>
            <c:dLbl>
              <c:idx val="5"/>
              <c:numFmt formatCode="#,##0" sourceLinked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DD62-4235-85B0-EDE883667C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'Inversión económica'!$A$11:$A$16</c:f>
              <c:strCache>
                <c:ptCount val="6"/>
                <c:pt idx="0">
                  <c:v>Gerencia</c:v>
                </c:pt>
                <c:pt idx="1">
                  <c:v>Gestión</c:v>
                </c:pt>
                <c:pt idx="2">
                  <c:v>Médica</c:v>
                </c:pt>
                <c:pt idx="3">
                  <c:v>Médica (Residentes)</c:v>
                </c:pt>
                <c:pt idx="4">
                  <c:v>Enfermería</c:v>
                </c:pt>
                <c:pt idx="5">
                  <c:v>Recursos Humanos</c:v>
                </c:pt>
              </c:strCache>
            </c:strRef>
          </c:cat>
          <c:val>
            <c:numRef>
              <c:f>'Inversión económica'!$B$11:$B$16</c:f>
              <c:numCache>
                <c:formatCode>#,##0</c:formatCode>
                <c:ptCount val="6"/>
                <c:pt idx="0" formatCode="#,##0.0">
                  <c:v>362.5</c:v>
                </c:pt>
                <c:pt idx="1">
                  <c:v>691</c:v>
                </c:pt>
                <c:pt idx="2">
                  <c:v>18854</c:v>
                </c:pt>
                <c:pt idx="3">
                  <c:v>5030</c:v>
                </c:pt>
                <c:pt idx="4">
                  <c:v>6409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62-4235-85B0-EDE88366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042556"/>
        <c:axId val="67920616"/>
      </c:barChart>
      <c:catAx>
        <c:axId val="15042556"/>
        <c:scaling>
          <c:orientation val="minMax"/>
        </c:scaling>
        <c:delete val="0"/>
        <c:axPos val="b"/>
        <c:numFmt formatCode="[$-C0A]dd/mm/yy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67920616"/>
        <c:crosses val="autoZero"/>
        <c:auto val="1"/>
        <c:lblAlgn val="ctr"/>
        <c:lblOffset val="100"/>
        <c:noMultiLvlLbl val="0"/>
      </c:catAx>
      <c:valAx>
        <c:axId val="679206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15042556"/>
        <c:crossesAt val="1"/>
        <c:crossBetween val="between"/>
        <c:majorUnit val="2000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5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500" b="1" strike="noStrike" spc="-1">
                <a:solidFill>
                  <a:srgbClr val="000000"/>
                </a:solidFill>
                <a:latin typeface="Calibri"/>
              </a:rPr>
              <a:t>Tipo de Participación</a:t>
            </a:r>
          </a:p>
        </c:rich>
      </c:tx>
      <c:layout>
        <c:manualLayout>
          <c:xMode val="edge"/>
          <c:yMode val="edge"/>
          <c:x val="0.130094734523023"/>
          <c:y val="2.22888181307361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15289711390174E-2"/>
          <c:y val="1.42348754448399E-2"/>
          <c:w val="0.84644194756554303"/>
          <c:h val="0.771118186926391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92300"/>
        <c:axId val="48565175"/>
      </c:barChart>
      <c:catAx>
        <c:axId val="53192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565175"/>
        <c:crosses val="autoZero"/>
        <c:auto val="1"/>
        <c:lblAlgn val="ctr"/>
        <c:lblOffset val="100"/>
        <c:noMultiLvlLbl val="1"/>
      </c:catAx>
      <c:valAx>
        <c:axId val="4856517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3192300"/>
        <c:crossesAt val="1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8.2837629433795995E-2"/>
          <c:y val="9.5648373603046802E-2"/>
          <c:w val="0.28103999118651501"/>
          <c:h val="0.23008241758241799"/>
        </c:manualLayout>
      </c:layout>
      <c:overlay val="1"/>
      <c:spPr>
        <a:solidFill>
          <a:srgbClr val="FFFFFF"/>
        </a:solidFill>
        <a:ln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943760856224583E-2"/>
          <c:y val="2.40831964969896E-2"/>
          <c:w val="0.82424812518852131"/>
          <c:h val="0.890129595869482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'Tipo de participaciónn'!$B$10</c:f>
              <c:strCache>
                <c:ptCount val="1"/>
                <c:pt idx="0">
                  <c:v>Asistente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participaciónn'!$B$11:$B$12,'Tipo de participaciónn'!$B$15)</c:f>
              <c:numCache>
                <c:formatCode>#,##0</c:formatCode>
                <c:ptCount val="3"/>
                <c:pt idx="0">
                  <c:v>19</c:v>
                </c:pt>
                <c:pt idx="1">
                  <c:v>50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3-486B-8549-0681E78482BC}"/>
            </c:ext>
          </c:extLst>
        </c:ser>
        <c:ser>
          <c:idx val="1"/>
          <c:order val="1"/>
          <c:tx>
            <c:strRef>
              <c:f>'Tipo de participaciónn'!$C$10</c:f>
              <c:strCache>
                <c:ptCount val="1"/>
                <c:pt idx="0">
                  <c:v>Ponencia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559312690471485E-3"/>
                  <c:y val="-4.25305688463583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3-486B-8549-0681E78482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participaciónn'!$C$11:$C$12,'Tipo de participaciónn'!$C$15)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3-486B-8549-0681E78482BC}"/>
            </c:ext>
          </c:extLst>
        </c:ser>
        <c:ser>
          <c:idx val="2"/>
          <c:order val="2"/>
          <c:tx>
            <c:strRef>
              <c:f>'Tipo de participaciónn'!$D$10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7.567849572182505E-17"/>
                  <c:y val="-1.9138755980861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03-486B-8549-0681E78482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participaciónn'!$D$11:$D$12,'Tipo de participaciónn'!$D$15)</c:f>
              <c:numCache>
                <c:formatCode>#,##0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3-486B-8549-0681E78482BC}"/>
            </c:ext>
          </c:extLst>
        </c:ser>
        <c:ser>
          <c:idx val="3"/>
          <c:order val="3"/>
          <c:tx>
            <c:strRef>
              <c:f>'Tipo de participaciónn'!$E$10</c:f>
              <c:strCache>
                <c:ptCount val="1"/>
                <c:pt idx="0">
                  <c:v>Poster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participaciónn'!$E$11:$E$12,'Tipo de participaciónn'!$E$15)</c:f>
              <c:numCache>
                <c:formatCode>#,##0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03-486B-8549-0681E78482BC}"/>
            </c:ext>
          </c:extLst>
        </c:ser>
        <c:ser>
          <c:idx val="4"/>
          <c:order val="4"/>
          <c:tx>
            <c:strRef>
              <c:f>'Tipo de participaciónn'!$F$10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participaciónn'!$F$11:$F$12,'Tipo de participaciónn'!$F$15)</c:f>
              <c:numCache>
                <c:formatCode>#,##0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03-486B-8549-0681E78482BC}"/>
            </c:ext>
          </c:extLst>
        </c:ser>
        <c:ser>
          <c:idx val="5"/>
          <c:order val="5"/>
          <c:tx>
            <c:strRef>
              <c:f>'Tipo de participaciónn'!$G$10</c:f>
              <c:strCache>
                <c:ptCount val="1"/>
                <c:pt idx="0">
                  <c:v>A Distancia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('Tipo de participaciónn'!$A$11:$A$12,'Tipo de participaciónn'!$A$15)</c:f>
              <c:strCache>
                <c:ptCount val="3"/>
                <c:pt idx="0">
                  <c:v>Gerencia</c:v>
                </c:pt>
                <c:pt idx="1">
                  <c:v>Gestión</c:v>
                </c:pt>
                <c:pt idx="2">
                  <c:v>Recursos Humanos</c:v>
                </c:pt>
              </c:strCache>
            </c:strRef>
          </c:cat>
          <c:val>
            <c:numRef>
              <c:f>('Tipo de participaciónn'!$G$11:$G$12,'Tipo de participaciónn'!$G$15)</c:f>
              <c:numCache>
                <c:formatCode>#,##0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03-486B-8549-0681E7848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7767552"/>
        <c:axId val="637765032"/>
      </c:barChart>
      <c:catAx>
        <c:axId val="6377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765032"/>
        <c:crosses val="autoZero"/>
        <c:auto val="1"/>
        <c:lblAlgn val="ctr"/>
        <c:lblOffset val="100"/>
        <c:noMultiLvlLbl val="0"/>
      </c:catAx>
      <c:valAx>
        <c:axId val="63776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76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24219713499669"/>
          <c:y val="0.10179687500000001"/>
          <c:w val="0.8510549916200234"/>
          <c:h val="0.78342868274278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'Tipo de participaciónn'!$B$10</c:f>
              <c:strCache>
                <c:ptCount val="1"/>
                <c:pt idx="0">
                  <c:v>Asistente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participaciónn'!$B$13:$B$14</c:f>
              <c:numCache>
                <c:formatCode>#,##0</c:formatCode>
                <c:ptCount val="2"/>
                <c:pt idx="0">
                  <c:v>1340</c:v>
                </c:pt>
                <c:pt idx="1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7-4B93-A2CF-5F65A6ABEDA4}"/>
            </c:ext>
          </c:extLst>
        </c:ser>
        <c:ser>
          <c:idx val="1"/>
          <c:order val="1"/>
          <c:tx>
            <c:strRef>
              <c:f>'Tipo de participaciónn'!$C$10</c:f>
              <c:strCache>
                <c:ptCount val="1"/>
                <c:pt idx="0">
                  <c:v>Ponencia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participaciónn'!$C$13:$C$14</c:f>
              <c:numCache>
                <c:formatCode>#,##0</c:formatCode>
                <c:ptCount val="2"/>
                <c:pt idx="0">
                  <c:v>78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7-4B93-A2CF-5F65A6ABEDA4}"/>
            </c:ext>
          </c:extLst>
        </c:ser>
        <c:ser>
          <c:idx val="2"/>
          <c:order val="2"/>
          <c:tx>
            <c:strRef>
              <c:f>'Tipo de participaciónn'!$D$10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participaciónn'!$D$13:$D$14</c:f>
              <c:numCache>
                <c:formatCode>#,##0</c:formatCode>
                <c:ptCount val="2"/>
                <c:pt idx="0">
                  <c:v>62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7-4B93-A2CF-5F65A6ABEDA4}"/>
            </c:ext>
          </c:extLst>
        </c:ser>
        <c:ser>
          <c:idx val="3"/>
          <c:order val="3"/>
          <c:tx>
            <c:strRef>
              <c:f>'Tipo de participaciónn'!$E$10</c:f>
              <c:strCache>
                <c:ptCount val="1"/>
                <c:pt idx="0">
                  <c:v>Poster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participaciónn'!$E$13:$E$14</c:f>
              <c:numCache>
                <c:formatCode>#,##0</c:formatCode>
                <c:ptCount val="2"/>
                <c:pt idx="0">
                  <c:v>127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7-4B93-A2CF-5F65A6ABEDA4}"/>
            </c:ext>
          </c:extLst>
        </c:ser>
        <c:ser>
          <c:idx val="4"/>
          <c:order val="4"/>
          <c:tx>
            <c:strRef>
              <c:f>'Tipo de participaciónn'!$F$10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participaciónn'!$F$13:$F$14</c:f>
              <c:numCache>
                <c:formatCode>#,##0</c:formatCode>
                <c:ptCount val="2"/>
                <c:pt idx="0">
                  <c:v>42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7-4B93-A2CF-5F65A6ABEDA4}"/>
            </c:ext>
          </c:extLst>
        </c:ser>
        <c:ser>
          <c:idx val="5"/>
          <c:order val="5"/>
          <c:tx>
            <c:strRef>
              <c:f>'Tipo de participaciónn'!$G$10</c:f>
              <c:strCache>
                <c:ptCount val="1"/>
                <c:pt idx="0">
                  <c:v>A Distancia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'Tipo de participaciónn'!$A$13:$A$14</c:f>
              <c:strCache>
                <c:ptCount val="2"/>
                <c:pt idx="0">
                  <c:v>Médica</c:v>
                </c:pt>
                <c:pt idx="1">
                  <c:v>Enfermería</c:v>
                </c:pt>
              </c:strCache>
            </c:strRef>
          </c:cat>
          <c:val>
            <c:numRef>
              <c:f>'Tipo de participaciónn'!$G$13:$G$14</c:f>
              <c:numCache>
                <c:formatCode>#,##0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E7-4B93-A2CF-5F65A6AB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5716856"/>
        <c:axId val="865707496"/>
      </c:barChart>
      <c:catAx>
        <c:axId val="86571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5707496"/>
        <c:crosses val="autoZero"/>
        <c:auto val="1"/>
        <c:lblAlgn val="ctr"/>
        <c:lblOffset val="100"/>
        <c:noMultiLvlLbl val="0"/>
      </c:catAx>
      <c:valAx>
        <c:axId val="865707496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571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054840203798056"/>
          <c:y val="2.3730332563255886E-2"/>
          <c:w val="0.48164829396325454"/>
          <c:h val="0.21909540611228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360</xdr:rowOff>
    </xdr:from>
    <xdr:to>
      <xdr:col>3</xdr:col>
      <xdr:colOff>195840</xdr:colOff>
      <xdr:row>1</xdr:row>
      <xdr:rowOff>137160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0"/>
          <a:ext cx="2937600" cy="29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23760</xdr:rowOff>
    </xdr:from>
    <xdr:to>
      <xdr:col>7</xdr:col>
      <xdr:colOff>167760</xdr:colOff>
      <xdr:row>31</xdr:row>
      <xdr:rowOff>119160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102240</xdr:rowOff>
    </xdr:from>
    <xdr:to>
      <xdr:col>7</xdr:col>
      <xdr:colOff>167760</xdr:colOff>
      <xdr:row>42</xdr:row>
      <xdr:rowOff>113040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25200</xdr:colOff>
      <xdr:row>32</xdr:row>
      <xdr:rowOff>196920</xdr:rowOff>
    </xdr:from>
    <xdr:to>
      <xdr:col>5</xdr:col>
      <xdr:colOff>666360</xdr:colOff>
      <xdr:row>44</xdr:row>
      <xdr:rowOff>139320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81360</xdr:rowOff>
    </xdr:from>
    <xdr:to>
      <xdr:col>5</xdr:col>
      <xdr:colOff>699840</xdr:colOff>
      <xdr:row>32</xdr:row>
      <xdr:rowOff>39600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194400</xdr:colOff>
      <xdr:row>1</xdr:row>
      <xdr:rowOff>136080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3720240" cy="29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67680</xdr:colOff>
      <xdr:row>20</xdr:row>
      <xdr:rowOff>69480</xdr:rowOff>
    </xdr:from>
    <xdr:to>
      <xdr:col>6</xdr:col>
      <xdr:colOff>685710</xdr:colOff>
      <xdr:row>48</xdr:row>
      <xdr:rowOff>85725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696FD26-4048-42C9-99EF-B22B47499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333374</xdr:colOff>
      <xdr:row>16</xdr:row>
      <xdr:rowOff>180975</xdr:rowOff>
    </xdr:from>
    <xdr:to>
      <xdr:col>7</xdr:col>
      <xdr:colOff>0</xdr:colOff>
      <xdr:row>48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54BBA3-7D30-4B86-B218-B53040914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9524</xdr:rowOff>
    </xdr:from>
    <xdr:to>
      <xdr:col>2</xdr:col>
      <xdr:colOff>819150</xdr:colOff>
      <xdr:row>48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7CE339-EB5E-4C72-816C-6935728F9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57150</xdr:rowOff>
    </xdr:from>
    <xdr:to>
      <xdr:col>2</xdr:col>
      <xdr:colOff>812827</xdr:colOff>
      <xdr:row>1</xdr:row>
      <xdr:rowOff>162560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AD50E38E-6D70-4B0C-8DE9-82E0A63BD93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57150"/>
          <a:ext cx="3232177" cy="29591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2783520</xdr:colOff>
      <xdr:row>1</xdr:row>
      <xdr:rowOff>134640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185280" cy="29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5400</xdr:rowOff>
    </xdr:from>
    <xdr:to>
      <xdr:col>1</xdr:col>
      <xdr:colOff>2782080</xdr:colOff>
      <xdr:row>1</xdr:row>
      <xdr:rowOff>143640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400"/>
          <a:ext cx="3183840" cy="299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9360</xdr:colOff>
      <xdr:row>0</xdr:row>
      <xdr:rowOff>0</xdr:rowOff>
    </xdr:from>
    <xdr:to>
      <xdr:col>1</xdr:col>
      <xdr:colOff>2791080</xdr:colOff>
      <xdr:row>1</xdr:row>
      <xdr:rowOff>136800</xdr:rowOff>
    </xdr:to>
    <xdr:pic>
      <xdr:nvPicPr>
        <xdr:cNvPr id="11" name="Imagen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0"/>
          <a:ext cx="3183480" cy="298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2781360</xdr:colOff>
      <xdr:row>1</xdr:row>
      <xdr:rowOff>134640</xdr:rowOff>
    </xdr:to>
    <xdr:pic>
      <xdr:nvPicPr>
        <xdr:cNvPr id="12" name="Imagen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183120" cy="29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2763720</xdr:colOff>
      <xdr:row>1</xdr:row>
      <xdr:rowOff>134640</xdr:rowOff>
    </xdr:to>
    <xdr:pic>
      <xdr:nvPicPr>
        <xdr:cNvPr id="13" name="Imagen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165480" cy="29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2773440</xdr:colOff>
      <xdr:row>1</xdr:row>
      <xdr:rowOff>134640</xdr:rowOff>
    </xdr:to>
    <xdr:pic>
      <xdr:nvPicPr>
        <xdr:cNvPr id="14" name="Imagen 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175200" cy="29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360</xdr:rowOff>
    </xdr:from>
    <xdr:to>
      <xdr:col>1</xdr:col>
      <xdr:colOff>2764080</xdr:colOff>
      <xdr:row>1</xdr:row>
      <xdr:rowOff>135720</xdr:rowOff>
    </xdr:to>
    <xdr:pic>
      <xdr:nvPicPr>
        <xdr:cNvPr id="15" name="Imagen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0"/>
          <a:ext cx="3165840" cy="297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1080</xdr:colOff>
      <xdr:row>0</xdr:row>
      <xdr:rowOff>720</xdr:rowOff>
    </xdr:from>
    <xdr:to>
      <xdr:col>3</xdr:col>
      <xdr:colOff>113040</xdr:colOff>
      <xdr:row>1</xdr:row>
      <xdr:rowOff>149760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80" y="720"/>
          <a:ext cx="3600000" cy="369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495000</xdr:colOff>
      <xdr:row>1</xdr:row>
      <xdr:rowOff>149040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598560" cy="37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1080</xdr:colOff>
      <xdr:row>0</xdr:row>
      <xdr:rowOff>720</xdr:rowOff>
    </xdr:from>
    <xdr:to>
      <xdr:col>3</xdr:col>
      <xdr:colOff>610200</xdr:colOff>
      <xdr:row>1</xdr:row>
      <xdr:rowOff>155160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80" y="720"/>
          <a:ext cx="3712680" cy="383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</xdr:colOff>
      <xdr:row>0</xdr:row>
      <xdr:rowOff>360</xdr:rowOff>
    </xdr:from>
    <xdr:to>
      <xdr:col>3</xdr:col>
      <xdr:colOff>609480</xdr:colOff>
      <xdr:row>1</xdr:row>
      <xdr:rowOff>154800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0" y="360"/>
          <a:ext cx="3569400" cy="383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</xdr:colOff>
      <xdr:row>0</xdr:row>
      <xdr:rowOff>360</xdr:rowOff>
    </xdr:from>
    <xdr:to>
      <xdr:col>3</xdr:col>
      <xdr:colOff>609840</xdr:colOff>
      <xdr:row>1</xdr:row>
      <xdr:rowOff>153720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0" y="360"/>
          <a:ext cx="3713040" cy="3819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_BuiltIn__FilterDatabase_166" displayName="Excel_BuiltIn__FilterDatabase_166" ref="B12:F91" totalsRowShown="0">
  <sortState xmlns:xlrd2="http://schemas.microsoft.com/office/spreadsheetml/2017/richdata2" ref="B13:F91">
    <sortCondition descending="1" ref="F13:F91"/>
  </sortState>
  <tableColumns count="5">
    <tableColumn id="1" xr3:uid="{00000000-0010-0000-0000-000001000000}" name="Lugar de Trabajo"/>
    <tableColumn id="2" xr3:uid="{00000000-0010-0000-0000-000002000000}" name="Horas de Permiso" dataDxfId="4" dataCellStyle="Resultado"/>
    <tableColumn id="3" xr3:uid="{00000000-0010-0000-0000-000003000000}" name="Ayuda Económica (1)" dataDxfId="3" dataCellStyle="Resultado"/>
    <tableColumn id="4" xr3:uid="{00000000-0010-0000-0000-000004000000}" name="Coste Indirecto (2)" dataDxfId="2" dataCellStyle="Resultado"/>
    <tableColumn id="5" xr3:uid="{00000000-0010-0000-0000-000005000000}" name="Inversión Total (1) + (2)" dataDxfId="1">
      <calculatedColumnFormula>SUM(D13,E13)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zoomScale="90" zoomScaleNormal="90" workbookViewId="0">
      <selection activeCell="I19" sqref="I19"/>
    </sheetView>
  </sheetViews>
  <sheetFormatPr baseColWidth="10" defaultColWidth="12" defaultRowHeight="15"/>
  <cols>
    <col min="1" max="1" width="15.140625" customWidth="1"/>
    <col min="2" max="2" width="12.85546875" customWidth="1"/>
    <col min="3" max="3" width="10.85546875" customWidth="1"/>
    <col min="5" max="5" width="13.28515625" customWidth="1"/>
    <col min="6" max="6" width="13.85546875" customWidth="1"/>
    <col min="7" max="7" width="15.28515625" customWidth="1"/>
    <col min="8" max="8" width="6.5703125" customWidth="1"/>
    <col min="9" max="9" width="11" customWidth="1"/>
    <col min="10" max="10" width="13.42578125" customWidth="1"/>
    <col min="11" max="11" width="12" customWidth="1"/>
    <col min="12" max="13" width="11" customWidth="1"/>
    <col min="14" max="14" width="12.7109375" customWidth="1"/>
    <col min="15" max="15" width="16" customWidth="1"/>
    <col min="16" max="16" width="17.7109375" customWidth="1"/>
    <col min="17" max="246" width="11" customWidth="1"/>
  </cols>
  <sheetData>
    <row r="1" spans="1:19" ht="12.75" customHeight="1">
      <c r="E1" s="171" t="s">
        <v>0</v>
      </c>
      <c r="F1" s="171"/>
      <c r="G1" s="4" t="s">
        <v>1</v>
      </c>
      <c r="J1" s="5" t="s">
        <v>1157</v>
      </c>
      <c r="K1" s="5"/>
      <c r="L1" s="5"/>
      <c r="M1" s="5"/>
      <c r="N1" s="5"/>
      <c r="O1" s="5"/>
      <c r="P1" s="5"/>
      <c r="Q1" s="5"/>
    </row>
    <row r="2" spans="1:19" ht="12.75" customHeight="1">
      <c r="C2" s="6"/>
      <c r="E2" s="171"/>
      <c r="F2" s="171"/>
      <c r="G2" s="7" t="s">
        <v>2</v>
      </c>
      <c r="J2" s="5" t="s">
        <v>3</v>
      </c>
      <c r="K2" s="5"/>
      <c r="L2" s="5"/>
      <c r="M2" s="5"/>
      <c r="N2" s="5"/>
      <c r="O2" s="5"/>
      <c r="P2" s="5"/>
      <c r="Q2" s="5"/>
    </row>
    <row r="3" spans="1:19" ht="17.25" customHeight="1">
      <c r="C3" s="6"/>
      <c r="E3" s="171"/>
      <c r="F3" s="171"/>
      <c r="G3" s="8"/>
      <c r="J3" s="9" t="s">
        <v>4</v>
      </c>
      <c r="K3" s="9"/>
      <c r="L3" s="9"/>
      <c r="M3" s="9"/>
      <c r="N3" s="9"/>
      <c r="O3" s="9"/>
      <c r="P3" s="9"/>
      <c r="Q3" s="9"/>
    </row>
    <row r="4" spans="1:19" ht="12.2" customHeight="1">
      <c r="C4" s="6"/>
      <c r="E4" s="3"/>
      <c r="F4" s="3"/>
      <c r="G4" s="8"/>
      <c r="J4" s="172" t="s">
        <v>5</v>
      </c>
      <c r="K4" s="172"/>
      <c r="L4" s="172"/>
      <c r="M4" s="172"/>
      <c r="N4" s="172"/>
      <c r="O4" s="172"/>
      <c r="P4" s="172"/>
      <c r="Q4" s="172"/>
      <c r="R4" s="172"/>
      <c r="S4" s="172"/>
    </row>
    <row r="5" spans="1:19" ht="12.2" customHeight="1">
      <c r="C5" s="6"/>
      <c r="E5" s="3"/>
      <c r="F5" s="3"/>
      <c r="G5" s="8"/>
    </row>
    <row r="6" spans="1:19" ht="19.899999999999999" customHeight="1">
      <c r="A6" s="173" t="s">
        <v>6</v>
      </c>
      <c r="B6" s="173"/>
      <c r="C6" s="173"/>
      <c r="D6" s="173"/>
      <c r="E6" s="173"/>
      <c r="F6" s="173"/>
      <c r="G6" s="173"/>
      <c r="H6" s="173"/>
      <c r="J6" s="5"/>
      <c r="K6" s="5"/>
      <c r="L6" s="5"/>
      <c r="M6" s="5"/>
      <c r="N6" s="5"/>
      <c r="O6" s="5"/>
      <c r="P6" s="5"/>
      <c r="Q6" s="5"/>
    </row>
    <row r="7" spans="1:19" ht="19.899999999999999" customHeight="1">
      <c r="A7" s="169" t="s">
        <v>1155</v>
      </c>
      <c r="B7" s="169"/>
      <c r="C7" s="169"/>
      <c r="D7" s="169"/>
      <c r="E7" s="169"/>
      <c r="F7" s="169"/>
      <c r="G7" s="169"/>
      <c r="H7" s="169"/>
      <c r="J7" s="174" t="s">
        <v>1156</v>
      </c>
      <c r="K7" s="174"/>
      <c r="L7" s="174"/>
      <c r="M7" s="174"/>
      <c r="N7" s="174"/>
      <c r="O7" s="174"/>
      <c r="P7" s="174"/>
      <c r="Q7" s="5"/>
    </row>
    <row r="8" spans="1:19" ht="19.899999999999999" customHeight="1">
      <c r="A8" s="169" t="s">
        <v>8</v>
      </c>
      <c r="B8" s="169"/>
      <c r="C8" s="169"/>
      <c r="D8" s="169"/>
      <c r="E8" s="169"/>
      <c r="F8" s="169"/>
      <c r="G8" s="169"/>
      <c r="H8" s="169"/>
      <c r="J8" s="10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2"/>
    </row>
    <row r="9" spans="1:19">
      <c r="A9" s="13"/>
      <c r="B9" s="13"/>
      <c r="C9" s="13"/>
      <c r="D9" s="13"/>
      <c r="E9" s="13"/>
      <c r="F9" s="13"/>
      <c r="H9" s="13"/>
      <c r="J9" s="14" t="s">
        <v>16</v>
      </c>
      <c r="K9" s="15">
        <v>21</v>
      </c>
      <c r="L9" s="15">
        <v>2</v>
      </c>
      <c r="M9" s="15">
        <v>0</v>
      </c>
      <c r="N9" s="15">
        <v>19</v>
      </c>
      <c r="O9" s="16">
        <v>0</v>
      </c>
      <c r="P9" s="17">
        <f t="shared" ref="P9:P14" si="0">N9/K9</f>
        <v>0.90476190476190477</v>
      </c>
      <c r="Q9" s="5"/>
    </row>
    <row r="10" spans="1:19" s="20" customFormat="1" ht="25.5">
      <c r="A10" s="10" t="s">
        <v>9</v>
      </c>
      <c r="B10" s="18" t="s">
        <v>10</v>
      </c>
      <c r="C10" s="18" t="s">
        <v>11</v>
      </c>
      <c r="D10" s="18" t="s">
        <v>12</v>
      </c>
      <c r="E10" s="19" t="s">
        <v>17</v>
      </c>
      <c r="F10" s="19" t="s">
        <v>18</v>
      </c>
      <c r="G10" s="18" t="s">
        <v>15</v>
      </c>
      <c r="I10"/>
      <c r="J10" s="14" t="s">
        <v>19</v>
      </c>
      <c r="K10" s="15">
        <v>75</v>
      </c>
      <c r="L10" s="15">
        <v>3</v>
      </c>
      <c r="M10" s="15">
        <v>7</v>
      </c>
      <c r="N10" s="15">
        <v>65</v>
      </c>
      <c r="O10" s="16">
        <v>0</v>
      </c>
      <c r="P10" s="17">
        <f t="shared" si="0"/>
        <v>0.8666666666666667</v>
      </c>
      <c r="Q10" s="5"/>
      <c r="R10"/>
      <c r="S10"/>
    </row>
    <row r="11" spans="1:19" ht="19.899999999999999" customHeight="1">
      <c r="A11" s="21" t="s">
        <v>16</v>
      </c>
      <c r="B11" s="145">
        <v>23</v>
      </c>
      <c r="C11" s="145">
        <v>3</v>
      </c>
      <c r="D11" s="145">
        <v>1</v>
      </c>
      <c r="E11" s="145">
        <v>19</v>
      </c>
      <c r="F11" s="44">
        <v>0</v>
      </c>
      <c r="G11" s="146">
        <f t="shared" ref="G11:G16" si="1">E11/B11</f>
        <v>0.82608695652173914</v>
      </c>
      <c r="J11" s="14" t="s">
        <v>20</v>
      </c>
      <c r="K11" s="22">
        <v>1780</v>
      </c>
      <c r="L11" s="15">
        <v>67</v>
      </c>
      <c r="M11" s="15">
        <v>27</v>
      </c>
      <c r="N11" s="23">
        <v>1677</v>
      </c>
      <c r="O11" s="16">
        <v>9</v>
      </c>
      <c r="P11" s="17">
        <f t="shared" si="0"/>
        <v>0.94213483146067412</v>
      </c>
      <c r="Q11" s="5"/>
    </row>
    <row r="12" spans="1:19" ht="19.899999999999999" customHeight="1">
      <c r="A12" s="21" t="s">
        <v>19</v>
      </c>
      <c r="B12" s="145">
        <v>63</v>
      </c>
      <c r="C12" s="145">
        <v>4</v>
      </c>
      <c r="D12" s="145">
        <v>1</v>
      </c>
      <c r="E12" s="145">
        <v>58</v>
      </c>
      <c r="F12" s="44">
        <v>0</v>
      </c>
      <c r="G12" s="146">
        <f t="shared" si="1"/>
        <v>0.92063492063492058</v>
      </c>
      <c r="J12" s="14" t="s">
        <v>21</v>
      </c>
      <c r="K12" s="22">
        <v>532</v>
      </c>
      <c r="L12" s="15">
        <v>20</v>
      </c>
      <c r="M12" s="15">
        <v>5</v>
      </c>
      <c r="N12" s="15">
        <v>495</v>
      </c>
      <c r="O12" s="16">
        <v>12</v>
      </c>
      <c r="P12" s="17">
        <f t="shared" si="0"/>
        <v>0.93045112781954886</v>
      </c>
      <c r="Q12" s="5"/>
    </row>
    <row r="13" spans="1:19" ht="19.899999999999999" customHeight="1">
      <c r="A13" s="21" t="s">
        <v>20</v>
      </c>
      <c r="B13" s="44">
        <v>1799</v>
      </c>
      <c r="C13" s="145">
        <v>75</v>
      </c>
      <c r="D13" s="145">
        <v>20</v>
      </c>
      <c r="E13" s="44">
        <v>1649</v>
      </c>
      <c r="F13" s="44">
        <v>55</v>
      </c>
      <c r="G13" s="146">
        <f t="shared" si="1"/>
        <v>0.9166203446359088</v>
      </c>
      <c r="J13" s="14" t="s">
        <v>22</v>
      </c>
      <c r="K13" s="22">
        <v>9</v>
      </c>
      <c r="L13" s="15">
        <v>1</v>
      </c>
      <c r="M13" s="15">
        <v>0</v>
      </c>
      <c r="N13" s="15">
        <v>8</v>
      </c>
      <c r="O13" s="16">
        <v>0</v>
      </c>
      <c r="P13" s="17">
        <f t="shared" si="0"/>
        <v>0.88888888888888884</v>
      </c>
      <c r="Q13" s="5"/>
    </row>
    <row r="14" spans="1:19" s="24" customFormat="1" ht="19.899999999999999" customHeight="1">
      <c r="A14" s="21" t="s">
        <v>21</v>
      </c>
      <c r="B14" s="145">
        <v>518</v>
      </c>
      <c r="C14" s="145">
        <v>23</v>
      </c>
      <c r="D14" s="145">
        <v>1</v>
      </c>
      <c r="E14" s="145">
        <v>490</v>
      </c>
      <c r="F14" s="44">
        <v>4</v>
      </c>
      <c r="G14" s="146">
        <f t="shared" si="1"/>
        <v>0.94594594594594594</v>
      </c>
      <c r="I14"/>
      <c r="J14" s="25" t="s">
        <v>23</v>
      </c>
      <c r="K14" s="26">
        <v>2417</v>
      </c>
      <c r="L14" s="26">
        <v>93</v>
      </c>
      <c r="M14" s="26">
        <v>39</v>
      </c>
      <c r="N14" s="26">
        <v>2264</v>
      </c>
      <c r="O14" s="26">
        <v>21</v>
      </c>
      <c r="P14" s="27">
        <f t="shared" si="0"/>
        <v>0.93669838642945802</v>
      </c>
      <c r="Q14" s="5"/>
      <c r="R14"/>
      <c r="S14"/>
    </row>
    <row r="15" spans="1:19" s="24" customFormat="1" ht="25.5">
      <c r="A15" s="21" t="s">
        <v>22</v>
      </c>
      <c r="B15" s="145">
        <v>11</v>
      </c>
      <c r="C15" s="145">
        <v>2</v>
      </c>
      <c r="D15" s="145">
        <v>1</v>
      </c>
      <c r="E15" s="145">
        <v>8</v>
      </c>
      <c r="F15" s="44">
        <v>0</v>
      </c>
      <c r="G15" s="146">
        <f t="shared" si="1"/>
        <v>0.72727272727272729</v>
      </c>
      <c r="I15"/>
      <c r="J15" s="5"/>
      <c r="K15" s="5"/>
      <c r="L15" s="5"/>
      <c r="M15" s="5"/>
      <c r="N15" s="5"/>
      <c r="O15" s="5"/>
      <c r="P15" s="5"/>
      <c r="Q15" s="5"/>
      <c r="R15"/>
      <c r="S15"/>
    </row>
    <row r="16" spans="1:19" s="24" customFormat="1" ht="19.899999999999999" customHeight="1">
      <c r="A16" s="11" t="s">
        <v>23</v>
      </c>
      <c r="B16" s="28">
        <f>SUM(B11:B15)</f>
        <v>2414</v>
      </c>
      <c r="C16" s="28">
        <f>SUM(C11:C15)</f>
        <v>107</v>
      </c>
      <c r="D16" s="28">
        <f>SUM(D11:D15)</f>
        <v>24</v>
      </c>
      <c r="E16" s="28">
        <f>SUM(E11:E15)</f>
        <v>2224</v>
      </c>
      <c r="F16" s="28">
        <f>SUM(F11:F15)</f>
        <v>59</v>
      </c>
      <c r="G16" s="29">
        <f t="shared" si="1"/>
        <v>0.92129246064623027</v>
      </c>
      <c r="I16"/>
      <c r="J16" s="170" t="s">
        <v>24</v>
      </c>
      <c r="K16" s="170"/>
      <c r="L16" s="170"/>
      <c r="M16" s="170"/>
      <c r="N16" s="170"/>
      <c r="O16" s="170"/>
      <c r="P16" s="170"/>
      <c r="Q16" s="5"/>
      <c r="R16"/>
      <c r="S16"/>
    </row>
    <row r="17" spans="1:18" ht="25.5">
      <c r="A17" s="30"/>
      <c r="B17" s="30"/>
      <c r="C17" s="30"/>
      <c r="D17" s="30"/>
      <c r="E17" s="30"/>
      <c r="F17" s="30"/>
      <c r="G17" s="30"/>
      <c r="J17" s="5"/>
      <c r="K17" s="18" t="s">
        <v>9</v>
      </c>
      <c r="L17" s="18" t="s">
        <v>10</v>
      </c>
      <c r="M17" s="18" t="s">
        <v>11</v>
      </c>
      <c r="N17" s="18" t="s">
        <v>12</v>
      </c>
      <c r="O17" s="18" t="s">
        <v>13</v>
      </c>
      <c r="P17" s="18" t="s">
        <v>14</v>
      </c>
      <c r="Q17" s="5"/>
    </row>
    <row r="18" spans="1:18" ht="16.5">
      <c r="A18" s="30"/>
      <c r="B18" s="30"/>
      <c r="C18" s="30"/>
      <c r="D18" s="30"/>
      <c r="E18" s="30"/>
      <c r="F18" s="30"/>
      <c r="G18" s="30"/>
      <c r="J18" s="5"/>
      <c r="K18" s="31" t="s">
        <v>20</v>
      </c>
      <c r="L18" s="32">
        <f t="shared" ref="L18:P21" si="2">(K11-B13)</f>
        <v>-19</v>
      </c>
      <c r="M18" s="32">
        <f t="shared" si="2"/>
        <v>-8</v>
      </c>
      <c r="N18" s="32">
        <f t="shared" si="2"/>
        <v>7</v>
      </c>
      <c r="O18" s="32">
        <f t="shared" si="2"/>
        <v>28</v>
      </c>
      <c r="P18" s="32">
        <f t="shared" si="2"/>
        <v>-46</v>
      </c>
      <c r="Q18" s="5"/>
    </row>
    <row r="19" spans="1:18" ht="16.5">
      <c r="A19" s="30"/>
      <c r="B19" s="30"/>
      <c r="C19" s="30"/>
      <c r="D19" s="30"/>
      <c r="E19" s="30"/>
      <c r="F19" s="30"/>
      <c r="G19" s="30"/>
      <c r="J19" s="5"/>
      <c r="K19" s="31" t="s">
        <v>21</v>
      </c>
      <c r="L19" s="32">
        <f t="shared" si="2"/>
        <v>14</v>
      </c>
      <c r="M19" s="32">
        <f t="shared" si="2"/>
        <v>-3</v>
      </c>
      <c r="N19" s="32">
        <f t="shared" si="2"/>
        <v>4</v>
      </c>
      <c r="O19" s="32">
        <f t="shared" si="2"/>
        <v>5</v>
      </c>
      <c r="P19" s="32">
        <f t="shared" si="2"/>
        <v>8</v>
      </c>
      <c r="Q19" s="5"/>
    </row>
    <row r="20" spans="1:18" ht="16.5">
      <c r="A20" s="30"/>
      <c r="B20" s="30"/>
      <c r="C20" s="30"/>
      <c r="D20" s="30"/>
      <c r="E20" s="30"/>
      <c r="F20" s="30"/>
      <c r="G20" s="30"/>
      <c r="J20" s="5"/>
      <c r="K20" s="31" t="s">
        <v>25</v>
      </c>
      <c r="L20" s="32">
        <f t="shared" si="2"/>
        <v>-2</v>
      </c>
      <c r="M20" s="32">
        <f t="shared" si="2"/>
        <v>-1</v>
      </c>
      <c r="N20" s="32">
        <f t="shared" si="2"/>
        <v>-1</v>
      </c>
      <c r="O20" s="32">
        <f t="shared" si="2"/>
        <v>0</v>
      </c>
      <c r="P20" s="32">
        <f t="shared" si="2"/>
        <v>0</v>
      </c>
      <c r="Q20" s="5"/>
    </row>
    <row r="21" spans="1:18" ht="16.5">
      <c r="A21" s="30"/>
      <c r="B21" s="30"/>
      <c r="C21" s="30"/>
      <c r="D21" s="30"/>
      <c r="E21" s="30"/>
      <c r="F21" s="30"/>
      <c r="G21" s="30"/>
      <c r="J21" s="5"/>
      <c r="K21" s="18" t="s">
        <v>23</v>
      </c>
      <c r="L21" s="33">
        <f t="shared" si="2"/>
        <v>3</v>
      </c>
      <c r="M21" s="32">
        <f t="shared" si="2"/>
        <v>-14</v>
      </c>
      <c r="N21" s="32">
        <f t="shared" si="2"/>
        <v>15</v>
      </c>
      <c r="O21" s="32">
        <f t="shared" si="2"/>
        <v>40</v>
      </c>
      <c r="P21" s="32">
        <f t="shared" si="2"/>
        <v>-38</v>
      </c>
      <c r="Q21" s="5"/>
    </row>
    <row r="22" spans="1:18" ht="16.5">
      <c r="A22" s="30"/>
      <c r="B22" s="30"/>
      <c r="C22" s="30"/>
      <c r="D22" s="30"/>
      <c r="E22" s="30"/>
      <c r="F22" s="30"/>
      <c r="G22" s="30"/>
      <c r="R22" s="5"/>
    </row>
    <row r="23" spans="1:18" ht="16.5">
      <c r="A23" s="30"/>
      <c r="B23" s="30"/>
      <c r="C23" s="30"/>
      <c r="D23" s="30"/>
      <c r="E23" s="30"/>
      <c r="F23" s="30"/>
      <c r="G23" s="30"/>
      <c r="R23" s="5"/>
    </row>
    <row r="24" spans="1:18" ht="16.5">
      <c r="A24" s="30"/>
      <c r="B24" s="30"/>
      <c r="C24" s="30"/>
      <c r="D24" s="30"/>
      <c r="E24" s="30"/>
      <c r="F24" s="30"/>
      <c r="G24" s="30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16.5">
      <c r="A25" s="30"/>
      <c r="B25" s="30"/>
      <c r="C25" s="30"/>
      <c r="D25" s="30"/>
      <c r="E25" s="30"/>
      <c r="F25" s="30"/>
      <c r="G25" s="30"/>
    </row>
    <row r="26" spans="1:18" ht="16.5">
      <c r="A26" s="30"/>
      <c r="B26" s="30"/>
      <c r="C26" s="30"/>
      <c r="D26" s="30"/>
      <c r="E26" s="30"/>
      <c r="F26" s="30"/>
      <c r="G26" s="30"/>
    </row>
    <row r="27" spans="1:18" ht="16.5">
      <c r="A27" s="30"/>
      <c r="B27" s="30"/>
      <c r="C27" s="30"/>
      <c r="D27" s="30"/>
      <c r="E27" s="30"/>
      <c r="F27" s="30"/>
      <c r="G27" s="30"/>
    </row>
    <row r="28" spans="1:18" ht="16.5">
      <c r="A28" s="30"/>
      <c r="B28" s="30"/>
      <c r="C28" s="30"/>
      <c r="D28" s="30"/>
      <c r="E28" s="30"/>
      <c r="F28" s="30"/>
      <c r="G28" s="30"/>
    </row>
    <row r="29" spans="1:18" ht="16.5">
      <c r="A29" s="30"/>
      <c r="B29" s="30"/>
      <c r="C29" s="30"/>
      <c r="D29" s="30"/>
      <c r="E29" s="30"/>
      <c r="F29" s="30"/>
      <c r="G29" s="30"/>
    </row>
    <row r="30" spans="1:18" ht="16.5">
      <c r="A30" s="30"/>
      <c r="B30" s="30"/>
      <c r="C30" s="30"/>
      <c r="D30" s="30"/>
      <c r="E30" s="30"/>
      <c r="F30" s="30"/>
      <c r="G30" s="30"/>
    </row>
    <row r="31" spans="1:18" ht="16.5">
      <c r="B31" s="30"/>
      <c r="C31" s="30"/>
      <c r="D31" s="30"/>
      <c r="E31" s="30"/>
      <c r="F31" s="30"/>
      <c r="G31" s="30"/>
    </row>
    <row r="32" spans="1:18" ht="16.5">
      <c r="B32" s="30"/>
      <c r="C32" s="30"/>
      <c r="D32" s="30"/>
      <c r="E32" s="30"/>
      <c r="F32" s="30"/>
      <c r="G32" s="30"/>
    </row>
    <row r="33" spans="1:8" ht="16.5">
      <c r="B33" s="30"/>
      <c r="C33" s="30"/>
      <c r="D33" s="30"/>
      <c r="E33" s="30"/>
      <c r="F33" s="30"/>
      <c r="G33" s="30"/>
    </row>
    <row r="34" spans="1:8" ht="16.5">
      <c r="B34" s="30"/>
      <c r="C34" s="30"/>
      <c r="D34" s="30"/>
      <c r="E34" s="30"/>
      <c r="F34" s="30"/>
      <c r="G34" s="30"/>
    </row>
    <row r="35" spans="1:8" ht="16.5">
      <c r="B35" s="30"/>
      <c r="C35" s="30"/>
      <c r="D35" s="30"/>
      <c r="E35" s="30"/>
      <c r="F35" s="30"/>
      <c r="G35" s="30"/>
    </row>
    <row r="36" spans="1:8" ht="16.5">
      <c r="B36" s="30"/>
      <c r="C36" s="30"/>
      <c r="D36" s="30"/>
      <c r="E36" s="30"/>
      <c r="F36" s="30"/>
      <c r="G36" s="30"/>
    </row>
    <row r="37" spans="1:8" ht="16.5">
      <c r="B37" s="30"/>
      <c r="C37" s="30"/>
      <c r="D37" s="30"/>
      <c r="E37" s="30"/>
      <c r="F37" s="30"/>
      <c r="G37" s="30"/>
    </row>
    <row r="38" spans="1:8" ht="16.5">
      <c r="B38" s="30"/>
      <c r="C38" s="30"/>
      <c r="D38" s="30"/>
      <c r="E38" s="30"/>
      <c r="F38" s="30"/>
      <c r="G38" s="30"/>
    </row>
    <row r="39" spans="1:8" ht="16.5">
      <c r="B39" s="30"/>
      <c r="C39" s="30"/>
      <c r="D39" s="30"/>
      <c r="E39" s="30"/>
      <c r="F39" s="30"/>
      <c r="G39" s="30"/>
    </row>
    <row r="40" spans="1:8" ht="16.5">
      <c r="A40" s="30"/>
      <c r="B40" s="30"/>
      <c r="C40" s="30"/>
      <c r="D40" s="30"/>
      <c r="E40" s="30"/>
      <c r="F40" s="30"/>
      <c r="G40" s="30"/>
    </row>
    <row r="41" spans="1:8" ht="16.5">
      <c r="A41" s="30"/>
      <c r="B41" s="30"/>
      <c r="C41" s="30"/>
      <c r="D41" s="30"/>
      <c r="E41" s="30"/>
      <c r="F41" s="30"/>
      <c r="G41" s="30"/>
    </row>
    <row r="42" spans="1:8" ht="16.5">
      <c r="A42" s="30"/>
      <c r="B42" s="30"/>
      <c r="C42" s="30"/>
      <c r="D42" s="30"/>
      <c r="E42" s="30"/>
      <c r="F42" s="30"/>
      <c r="G42" s="30"/>
    </row>
    <row r="43" spans="1:8" ht="16.5">
      <c r="A43" s="30"/>
      <c r="B43" s="30"/>
      <c r="C43" s="30"/>
      <c r="D43" s="30"/>
      <c r="E43" s="30"/>
      <c r="F43" s="30"/>
      <c r="G43" s="30"/>
    </row>
    <row r="44" spans="1:8">
      <c r="A44" s="34" t="s">
        <v>26</v>
      </c>
      <c r="B44" s="5"/>
      <c r="C44" s="5"/>
      <c r="D44" s="5"/>
      <c r="E44" s="5"/>
      <c r="F44" s="5"/>
      <c r="G44" s="5"/>
      <c r="H44" s="5"/>
    </row>
    <row r="45" spans="1:8">
      <c r="A45" s="35" t="s">
        <v>27</v>
      </c>
      <c r="B45" s="5"/>
      <c r="C45" s="5"/>
      <c r="D45" s="5"/>
      <c r="E45" s="5"/>
      <c r="F45" s="5"/>
      <c r="G45" s="5"/>
      <c r="H45" s="5"/>
    </row>
    <row r="46" spans="1:8">
      <c r="A46" s="36" t="s">
        <v>28</v>
      </c>
      <c r="B46" s="37"/>
      <c r="C46" s="37"/>
      <c r="D46" s="37"/>
      <c r="E46" s="37"/>
      <c r="F46" s="37"/>
      <c r="G46" s="37"/>
      <c r="H46" s="37"/>
    </row>
  </sheetData>
  <mergeCells count="7">
    <mergeCell ref="A8:H8"/>
    <mergeCell ref="J16:P16"/>
    <mergeCell ref="E1:F3"/>
    <mergeCell ref="J4:S4"/>
    <mergeCell ref="A6:H6"/>
    <mergeCell ref="A7:H7"/>
    <mergeCell ref="J7:P7"/>
  </mergeCells>
  <pageMargins left="0.24027777777777801" right="0.15972222222222199" top="0.196527777777778" bottom="0.30972222222222201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zoomScale="90" zoomScaleNormal="90" workbookViewId="0">
      <selection activeCell="E17" sqref="E17"/>
    </sheetView>
  </sheetViews>
  <sheetFormatPr baseColWidth="10" defaultColWidth="11.85546875" defaultRowHeight="15"/>
  <cols>
    <col min="1" max="1" width="22.5703125" customWidth="1"/>
    <col min="2" max="2" width="12" customWidth="1"/>
    <col min="3" max="3" width="15.42578125" customWidth="1"/>
    <col min="4" max="4" width="15.85546875" customWidth="1"/>
    <col min="5" max="5" width="15.7109375" customWidth="1"/>
    <col min="6" max="6" width="12.42578125" customWidth="1"/>
    <col min="7" max="7" width="9.140625" customWidth="1"/>
    <col min="8" max="8" width="14" customWidth="1"/>
    <col min="9" max="9" width="27.85546875" customWidth="1"/>
    <col min="10" max="10" width="12.5703125" customWidth="1"/>
    <col min="11" max="11" width="19.7109375" customWidth="1"/>
    <col min="12" max="12" width="16.7109375" customWidth="1"/>
    <col min="13" max="64" width="11" customWidth="1"/>
  </cols>
  <sheetData>
    <row r="1" spans="1:12" ht="12.75" customHeight="1">
      <c r="E1" s="171" t="s">
        <v>0</v>
      </c>
      <c r="F1" s="171"/>
      <c r="G1" s="4" t="s">
        <v>1</v>
      </c>
    </row>
    <row r="2" spans="1:12" ht="12.75" customHeight="1">
      <c r="C2" s="6"/>
      <c r="E2" s="171"/>
      <c r="F2" s="171"/>
      <c r="G2" s="7" t="s">
        <v>2</v>
      </c>
    </row>
    <row r="3" spans="1:12" ht="17.25" customHeight="1">
      <c r="C3" s="6"/>
      <c r="E3" s="171"/>
      <c r="F3" s="171"/>
      <c r="G3" s="8"/>
    </row>
    <row r="4" spans="1:12" ht="17.25" customHeight="1">
      <c r="C4" s="6"/>
      <c r="E4" s="3"/>
      <c r="F4" s="3"/>
      <c r="G4" s="8"/>
    </row>
    <row r="5" spans="1:12" ht="19.899999999999999" customHeight="1">
      <c r="A5" s="175" t="s">
        <v>6</v>
      </c>
      <c r="B5" s="175"/>
      <c r="C5" s="175"/>
      <c r="D5" s="175"/>
      <c r="E5" s="175"/>
      <c r="F5" s="175"/>
      <c r="G5" s="175"/>
      <c r="H5" s="38"/>
    </row>
    <row r="6" spans="1:12" ht="19.899999999999999" customHeight="1">
      <c r="A6" s="176" t="s">
        <v>1153</v>
      </c>
      <c r="B6" s="176"/>
      <c r="C6" s="176"/>
      <c r="D6" s="176"/>
      <c r="E6" s="176"/>
      <c r="F6" s="176"/>
      <c r="G6" s="176"/>
      <c r="H6" s="39"/>
    </row>
    <row r="7" spans="1:12" ht="19.899999999999999" customHeight="1">
      <c r="A7" s="176" t="s">
        <v>29</v>
      </c>
      <c r="B7" s="176"/>
      <c r="C7" s="176"/>
      <c r="D7" s="176"/>
      <c r="E7" s="176"/>
      <c r="F7" s="176"/>
      <c r="G7" s="176"/>
      <c r="H7" s="39"/>
    </row>
    <row r="8" spans="1:12">
      <c r="A8" s="13"/>
      <c r="B8" s="13"/>
      <c r="C8" s="13"/>
      <c r="D8" s="13"/>
      <c r="E8" s="13"/>
      <c r="F8" s="13"/>
      <c r="H8" s="13"/>
    </row>
    <row r="9" spans="1:12" ht="16.5">
      <c r="A9" s="177" t="s">
        <v>1154</v>
      </c>
      <c r="B9" s="177"/>
      <c r="C9" s="177"/>
      <c r="D9" s="177"/>
      <c r="E9" s="177"/>
      <c r="F9" s="177"/>
      <c r="G9" s="30"/>
    </row>
    <row r="10" spans="1:12" ht="28.35" customHeight="1">
      <c r="A10" s="40" t="s">
        <v>9</v>
      </c>
      <c r="B10" s="41" t="s">
        <v>30</v>
      </c>
      <c r="C10" s="42" t="s">
        <v>31</v>
      </c>
      <c r="D10" s="42" t="s">
        <v>32</v>
      </c>
      <c r="E10" s="42" t="s">
        <v>33</v>
      </c>
      <c r="F10" s="41" t="s">
        <v>34</v>
      </c>
      <c r="G10" s="30"/>
      <c r="J10" s="43"/>
      <c r="K10" s="43"/>
      <c r="L10" s="43"/>
    </row>
    <row r="11" spans="1:12" ht="22.7" customHeight="1">
      <c r="A11" s="21" t="s">
        <v>16</v>
      </c>
      <c r="B11" s="144">
        <v>362.5</v>
      </c>
      <c r="C11" s="45">
        <v>420</v>
      </c>
      <c r="D11" s="45">
        <v>5923.05</v>
      </c>
      <c r="E11" s="46">
        <v>6343.05</v>
      </c>
      <c r="F11" s="47">
        <f>E11/E17</f>
        <v>1.0424857331536629E-2</v>
      </c>
      <c r="G11" s="30"/>
      <c r="H11" s="30"/>
      <c r="I11" s="30"/>
      <c r="J11" s="30"/>
      <c r="K11" s="30"/>
    </row>
    <row r="12" spans="1:12" ht="22.7" customHeight="1">
      <c r="A12" s="21" t="s">
        <v>19</v>
      </c>
      <c r="B12" s="44">
        <v>691</v>
      </c>
      <c r="C12" s="45">
        <v>3076</v>
      </c>
      <c r="D12" s="45">
        <v>10857.91</v>
      </c>
      <c r="E12" s="46">
        <v>13933.91</v>
      </c>
      <c r="F12" s="47">
        <f>E12/E17</f>
        <v>2.2900501150151981E-2</v>
      </c>
      <c r="G12" s="30"/>
      <c r="H12" s="30"/>
      <c r="J12" s="43"/>
      <c r="K12" s="43"/>
      <c r="L12" s="43"/>
    </row>
    <row r="13" spans="1:12" ht="22.7" customHeight="1">
      <c r="A13" s="21" t="s">
        <v>20</v>
      </c>
      <c r="B13" s="44">
        <v>18854</v>
      </c>
      <c r="C13" s="45">
        <v>4623</v>
      </c>
      <c r="D13" s="45">
        <v>423444.26</v>
      </c>
      <c r="E13" s="46">
        <v>428067.26</v>
      </c>
      <c r="F13" s="47">
        <f>E13/E17</f>
        <v>0.70353223036264823</v>
      </c>
      <c r="G13" s="30"/>
      <c r="H13" s="30"/>
      <c r="I13" s="30"/>
      <c r="J13" s="30"/>
      <c r="K13" s="30"/>
    </row>
    <row r="14" spans="1:12" ht="22.7" customHeight="1">
      <c r="A14" s="48" t="s">
        <v>35</v>
      </c>
      <c r="B14" s="44">
        <v>5030</v>
      </c>
      <c r="C14" s="45">
        <v>6814.5</v>
      </c>
      <c r="D14" s="45">
        <v>42250.05</v>
      </c>
      <c r="E14" s="46">
        <v>49064.55</v>
      </c>
      <c r="F14" s="47">
        <f>E14/E17</f>
        <v>8.0638010702429513E-2</v>
      </c>
      <c r="G14" s="30"/>
      <c r="H14" s="30"/>
      <c r="I14" s="30"/>
      <c r="J14" s="30"/>
      <c r="K14" s="30"/>
    </row>
    <row r="15" spans="1:12" ht="22.7" customHeight="1">
      <c r="A15" s="21" t="s">
        <v>21</v>
      </c>
      <c r="B15" s="44">
        <v>6409</v>
      </c>
      <c r="C15" s="45">
        <v>20898.009999999998</v>
      </c>
      <c r="D15" s="45">
        <v>88675.86</v>
      </c>
      <c r="E15" s="46">
        <v>109573.87</v>
      </c>
      <c r="F15" s="47">
        <f>E15/E17</f>
        <v>0.18008559951669012</v>
      </c>
      <c r="G15" s="30"/>
      <c r="H15" s="30"/>
      <c r="I15" s="49"/>
      <c r="J15" s="49"/>
      <c r="K15" s="49"/>
    </row>
    <row r="16" spans="1:12" ht="22.7" customHeight="1">
      <c r="A16" s="21" t="s">
        <v>22</v>
      </c>
      <c r="B16" s="44">
        <v>83</v>
      </c>
      <c r="C16" s="45">
        <v>0</v>
      </c>
      <c r="D16" s="45">
        <v>1471.73</v>
      </c>
      <c r="E16" s="46">
        <v>1471.73</v>
      </c>
      <c r="F16" s="47">
        <f>E16/E17</f>
        <v>2.4188009365435242E-3</v>
      </c>
      <c r="G16" s="30"/>
      <c r="H16" s="30"/>
      <c r="I16" s="30"/>
      <c r="J16" s="30"/>
      <c r="K16" s="30"/>
    </row>
    <row r="17" spans="1:11" ht="22.7" customHeight="1">
      <c r="A17" s="50" t="s">
        <v>23</v>
      </c>
      <c r="B17" s="51">
        <f>SUM(B11:B16)</f>
        <v>31429.5</v>
      </c>
      <c r="C17" s="52">
        <f>SUM(C11:C16)</f>
        <v>35831.509999999995</v>
      </c>
      <c r="D17" s="52">
        <f>SUM(D11:D16)</f>
        <v>572622.86</v>
      </c>
      <c r="E17" s="52">
        <f>SUM(E11:E16)</f>
        <v>608454.37</v>
      </c>
      <c r="F17" s="53">
        <f>SUM(F11:F16)</f>
        <v>1</v>
      </c>
      <c r="G17" s="54"/>
      <c r="H17" s="30"/>
      <c r="I17" s="30"/>
      <c r="J17" s="30"/>
      <c r="K17" s="30"/>
    </row>
    <row r="18" spans="1:11" ht="16.5">
      <c r="A18" s="30"/>
      <c r="B18" s="30"/>
      <c r="C18" s="30"/>
      <c r="D18" s="30"/>
      <c r="E18" s="30"/>
      <c r="F18" s="30"/>
      <c r="G18" s="30"/>
      <c r="J18" s="43"/>
      <c r="K18" s="43"/>
    </row>
    <row r="19" spans="1:11" ht="16.5">
      <c r="A19" s="30"/>
      <c r="B19" s="30"/>
      <c r="C19" s="30"/>
      <c r="D19" s="30"/>
      <c r="E19" s="30"/>
      <c r="F19" s="30"/>
      <c r="G19" s="30"/>
      <c r="I19" s="43"/>
      <c r="J19" s="43"/>
      <c r="K19" s="43"/>
    </row>
    <row r="20" spans="1:11" ht="16.5">
      <c r="A20" s="30"/>
      <c r="B20" s="30"/>
      <c r="C20" s="30"/>
      <c r="D20" s="30"/>
      <c r="E20" s="30"/>
      <c r="F20" s="30"/>
      <c r="G20" s="30"/>
      <c r="K20" s="43"/>
    </row>
    <row r="21" spans="1:11" ht="16.5">
      <c r="A21" s="30"/>
      <c r="B21" s="30"/>
      <c r="C21" s="30"/>
      <c r="D21" s="30"/>
      <c r="E21" s="30"/>
      <c r="F21" s="30"/>
      <c r="G21" s="30"/>
      <c r="K21" s="43"/>
    </row>
    <row r="22" spans="1:11" ht="16.5">
      <c r="A22" s="30"/>
      <c r="B22" s="30"/>
      <c r="C22" s="30"/>
      <c r="D22" s="30"/>
      <c r="E22" s="30"/>
      <c r="F22" s="30"/>
      <c r="G22" s="30"/>
      <c r="K22" s="43"/>
    </row>
    <row r="23" spans="1:11" ht="16.5">
      <c r="A23" s="30"/>
      <c r="B23" s="30"/>
      <c r="C23" s="30"/>
      <c r="D23" s="30"/>
      <c r="E23" s="30"/>
      <c r="F23" s="30"/>
      <c r="G23" s="30"/>
      <c r="K23" s="43"/>
    </row>
    <row r="24" spans="1:11" ht="16.5">
      <c r="A24" s="30"/>
      <c r="B24" s="30"/>
      <c r="C24" s="30"/>
      <c r="D24" s="30"/>
      <c r="E24" s="30"/>
      <c r="F24" s="30"/>
      <c r="G24" s="30"/>
      <c r="I24" s="43"/>
      <c r="J24" s="43"/>
      <c r="K24" s="43"/>
    </row>
    <row r="25" spans="1:11" ht="16.5">
      <c r="A25" s="30"/>
      <c r="B25" s="30"/>
      <c r="C25" s="30"/>
      <c r="D25" s="30"/>
      <c r="E25" s="30"/>
      <c r="F25" s="30"/>
      <c r="G25" s="30"/>
    </row>
    <row r="26" spans="1:11" ht="16.5">
      <c r="A26" s="30"/>
      <c r="B26" s="30"/>
      <c r="C26" s="30"/>
      <c r="D26" s="30"/>
      <c r="E26" s="30"/>
      <c r="F26" s="30"/>
      <c r="G26" s="30"/>
    </row>
    <row r="27" spans="1:11" ht="16.5">
      <c r="A27" s="30"/>
      <c r="B27" s="30"/>
      <c r="C27" s="30"/>
      <c r="D27" s="30"/>
      <c r="E27" s="30"/>
      <c r="F27" s="30"/>
      <c r="G27" s="30"/>
    </row>
    <row r="28" spans="1:11" ht="16.5">
      <c r="A28" s="30"/>
      <c r="B28" s="30"/>
      <c r="C28" s="30"/>
      <c r="D28" s="30"/>
      <c r="E28" s="30"/>
      <c r="F28" s="30"/>
      <c r="G28" s="30"/>
    </row>
    <row r="29" spans="1:11" ht="16.5">
      <c r="A29" s="30"/>
      <c r="B29" s="30"/>
      <c r="C29" s="30"/>
      <c r="D29" s="30"/>
      <c r="E29" s="30"/>
      <c r="F29" s="30"/>
      <c r="G29" s="30"/>
    </row>
    <row r="30" spans="1:11" ht="16.5">
      <c r="A30" s="30"/>
      <c r="B30" s="30"/>
      <c r="C30" s="30"/>
      <c r="D30" s="30"/>
      <c r="E30" s="30"/>
      <c r="F30" s="30"/>
      <c r="G30" s="30"/>
    </row>
    <row r="31" spans="1:11" ht="16.5">
      <c r="A31" s="30"/>
      <c r="B31" s="30"/>
      <c r="C31" s="30"/>
      <c r="D31" s="30"/>
      <c r="E31" s="30"/>
      <c r="F31" s="30"/>
      <c r="G31" s="30"/>
    </row>
    <row r="32" spans="1:11" ht="16.5">
      <c r="A32" s="30"/>
      <c r="B32" s="30"/>
      <c r="C32" s="30"/>
      <c r="D32" s="30"/>
      <c r="E32" s="30"/>
      <c r="F32" s="30"/>
      <c r="G32" s="30"/>
    </row>
    <row r="33" spans="1:7" ht="16.5">
      <c r="A33" s="30"/>
      <c r="B33" s="30"/>
      <c r="C33" s="30"/>
      <c r="D33" s="30"/>
      <c r="E33" s="30"/>
      <c r="F33" s="30"/>
      <c r="G33" s="30"/>
    </row>
    <row r="34" spans="1:7" ht="16.5">
      <c r="A34" s="30"/>
      <c r="B34" s="30"/>
      <c r="C34" s="30"/>
      <c r="D34" s="30"/>
      <c r="E34" s="30"/>
      <c r="F34" s="30"/>
      <c r="G34" s="30"/>
    </row>
    <row r="35" spans="1:7" ht="16.5">
      <c r="A35" s="30"/>
      <c r="B35" s="30"/>
      <c r="C35" s="30"/>
      <c r="D35" s="30"/>
      <c r="E35" s="30"/>
      <c r="F35" s="30"/>
      <c r="G35" s="30"/>
    </row>
    <row r="36" spans="1:7" ht="16.5">
      <c r="A36" s="30"/>
      <c r="B36" s="30"/>
      <c r="C36" s="30"/>
      <c r="D36" s="30"/>
      <c r="E36" s="30"/>
      <c r="F36" s="30"/>
      <c r="G36" s="30"/>
    </row>
    <row r="37" spans="1:7" ht="16.5">
      <c r="A37" s="30"/>
      <c r="B37" s="30"/>
      <c r="C37" s="30"/>
      <c r="D37" s="30"/>
      <c r="E37" s="30"/>
      <c r="F37" s="30"/>
      <c r="G37" s="30"/>
    </row>
    <row r="38" spans="1:7" ht="16.5">
      <c r="A38" s="30"/>
      <c r="B38" s="30"/>
      <c r="C38" s="30"/>
      <c r="D38" s="30"/>
      <c r="E38" s="30"/>
      <c r="F38" s="30"/>
      <c r="G38" s="30"/>
    </row>
    <row r="39" spans="1:7" ht="16.5">
      <c r="A39" s="30"/>
      <c r="B39" s="30"/>
      <c r="C39" s="30"/>
      <c r="D39" s="30"/>
      <c r="E39" s="30"/>
      <c r="F39" s="30"/>
      <c r="G39" s="30"/>
    </row>
    <row r="40" spans="1:7" ht="16.5">
      <c r="A40" s="30"/>
      <c r="B40" s="30"/>
      <c r="C40" s="30"/>
      <c r="D40" s="30"/>
      <c r="E40" s="30"/>
      <c r="F40" s="30"/>
      <c r="G40" s="30"/>
    </row>
    <row r="41" spans="1:7" ht="16.5">
      <c r="B41" s="30"/>
      <c r="C41" s="30"/>
      <c r="D41" s="30"/>
      <c r="E41" s="30"/>
      <c r="F41" s="30"/>
      <c r="G41" s="30"/>
    </row>
    <row r="42" spans="1:7" ht="16.5">
      <c r="B42" s="30"/>
      <c r="C42" s="30"/>
      <c r="D42" s="30"/>
      <c r="E42" s="30"/>
      <c r="F42" s="30"/>
      <c r="G42" s="30"/>
    </row>
    <row r="43" spans="1:7" ht="16.5">
      <c r="B43" s="30"/>
      <c r="C43" s="30"/>
      <c r="D43" s="30"/>
      <c r="E43" s="30"/>
      <c r="F43" s="30"/>
      <c r="G43" s="30"/>
    </row>
    <row r="44" spans="1:7" ht="16.5">
      <c r="B44" s="30"/>
      <c r="C44" s="30"/>
      <c r="D44" s="30"/>
      <c r="E44" s="30"/>
      <c r="F44" s="30"/>
      <c r="G44" s="30"/>
    </row>
    <row r="45" spans="1:7" ht="16.5">
      <c r="B45" s="30"/>
      <c r="C45" s="30"/>
      <c r="D45" s="30"/>
      <c r="E45" s="30"/>
      <c r="F45" s="30"/>
      <c r="G45" s="30"/>
    </row>
    <row r="46" spans="1:7">
      <c r="A46" s="55" t="s">
        <v>36</v>
      </c>
      <c r="B46" s="37"/>
      <c r="C46" s="37"/>
      <c r="D46" s="37"/>
      <c r="E46" s="37"/>
      <c r="F46" s="37"/>
    </row>
    <row r="47" spans="1:7">
      <c r="A47" s="55" t="s">
        <v>37</v>
      </c>
      <c r="B47" s="37"/>
      <c r="C47" s="37"/>
      <c r="D47" s="37"/>
      <c r="E47" s="37"/>
      <c r="F47" s="37"/>
    </row>
    <row r="49" spans="1:6" ht="16.5">
      <c r="A49" s="30"/>
      <c r="B49" s="30"/>
      <c r="C49" s="30"/>
      <c r="D49" s="30"/>
      <c r="E49" s="30"/>
      <c r="F49" s="30"/>
    </row>
    <row r="50" spans="1:6" ht="16.5">
      <c r="A50" s="30"/>
      <c r="B50" s="30"/>
      <c r="C50" s="30"/>
      <c r="D50" s="30"/>
      <c r="E50" s="30"/>
      <c r="F50" s="30"/>
    </row>
    <row r="51" spans="1:6" ht="16.5">
      <c r="A51" s="30"/>
      <c r="B51" s="30"/>
      <c r="C51" s="30"/>
      <c r="D51" s="30"/>
      <c r="E51" s="30"/>
      <c r="F51" s="30"/>
    </row>
    <row r="52" spans="1:6" ht="16.5">
      <c r="A52" s="30"/>
      <c r="B52" s="30"/>
      <c r="C52" s="30"/>
      <c r="D52" s="30"/>
      <c r="E52" s="30"/>
      <c r="F52" s="30"/>
    </row>
    <row r="53" spans="1:6" ht="16.5">
      <c r="A53" s="30"/>
      <c r="B53" s="30"/>
      <c r="C53" s="30"/>
      <c r="D53" s="30"/>
      <c r="E53" s="30"/>
      <c r="F53" s="30"/>
    </row>
    <row r="56" spans="1:6" ht="16.5">
      <c r="A56" s="30"/>
      <c r="B56" s="30"/>
      <c r="C56" s="30"/>
      <c r="D56" s="30"/>
      <c r="E56" s="30"/>
      <c r="F56" s="30"/>
    </row>
    <row r="57" spans="1:6" ht="16.5">
      <c r="A57" s="30"/>
      <c r="B57" s="30"/>
      <c r="C57" s="30"/>
      <c r="D57" s="30"/>
      <c r="E57" s="30"/>
      <c r="F57" s="30"/>
    </row>
    <row r="58" spans="1:6" ht="16.5">
      <c r="A58" s="30"/>
      <c r="B58" s="30"/>
      <c r="C58" s="30"/>
      <c r="D58" s="30"/>
      <c r="E58" s="30"/>
      <c r="F58" s="30"/>
    </row>
    <row r="59" spans="1:6" ht="16.5">
      <c r="A59" s="30"/>
      <c r="B59" s="30"/>
      <c r="C59" s="30"/>
      <c r="D59" s="30"/>
      <c r="E59" s="30"/>
      <c r="F59" s="30"/>
    </row>
    <row r="60" spans="1:6" ht="16.5">
      <c r="A60" s="30"/>
      <c r="B60" s="30"/>
      <c r="C60" s="30"/>
      <c r="D60" s="30"/>
      <c r="E60" s="30"/>
      <c r="F60" s="30"/>
    </row>
    <row r="61" spans="1:6" ht="16.5">
      <c r="A61" s="30"/>
      <c r="B61" s="30"/>
      <c r="C61" s="30"/>
      <c r="D61" s="30"/>
      <c r="E61" s="30"/>
      <c r="F61" s="30"/>
    </row>
    <row r="62" spans="1:6" ht="16.5">
      <c r="B62" s="30"/>
      <c r="C62" s="30"/>
      <c r="D62" s="30"/>
      <c r="E62" s="30"/>
      <c r="F62" s="30"/>
    </row>
    <row r="63" spans="1:6" ht="16.5">
      <c r="B63" s="30"/>
      <c r="C63" s="30"/>
      <c r="D63" s="30"/>
      <c r="E63" s="30"/>
      <c r="F63" s="30"/>
    </row>
    <row r="64" spans="1:6" ht="16.5">
      <c r="B64" s="30"/>
      <c r="C64" s="30"/>
      <c r="D64" s="30"/>
      <c r="E64" s="30"/>
      <c r="F64" s="30"/>
    </row>
    <row r="65" spans="2:6" ht="16.5">
      <c r="B65" s="30"/>
      <c r="C65" s="30"/>
      <c r="D65" s="30"/>
      <c r="E65" s="30"/>
      <c r="F65" s="30"/>
    </row>
  </sheetData>
  <mergeCells count="5">
    <mergeCell ref="E1:F3"/>
    <mergeCell ref="A5:G5"/>
    <mergeCell ref="A6:G6"/>
    <mergeCell ref="A7:G7"/>
    <mergeCell ref="A9:F9"/>
  </mergeCells>
  <pageMargins left="0.35416666666666702" right="6.31944444444444E-2" top="0.196527777777778" bottom="0.16041666666666701" header="0.196527777777778" footer="0.51180555555555496"/>
  <pageSetup paperSize="9" scale="96" orientation="portrait" horizontalDpi="300" verticalDpi="300"/>
  <headerFooter>
    <oddHeader>&amp;R&amp;"Arial,Normal"&amp;10&amp;KffffffPágina &amp;P de &amp;N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208E-6087-47F7-A2BC-66A9F22FD43D}">
  <dimension ref="A1:AMK49"/>
  <sheetViews>
    <sheetView zoomScaleNormal="100" workbookViewId="0">
      <selection activeCell="I26" sqref="I26"/>
    </sheetView>
  </sheetViews>
  <sheetFormatPr baseColWidth="10" defaultColWidth="10.28515625" defaultRowHeight="14.25"/>
  <cols>
    <col min="1" max="1" width="23.85546875" style="148" customWidth="1"/>
    <col min="2" max="3" width="12.42578125" style="148" customWidth="1"/>
    <col min="4" max="4" width="13.85546875" style="148" customWidth="1"/>
    <col min="5" max="6" width="12.5703125" style="148" customWidth="1"/>
    <col min="7" max="7" width="12.140625" style="148" customWidth="1"/>
    <col min="8" max="8" width="10.7109375" style="148" customWidth="1"/>
    <col min="9" max="9" width="14" style="148" customWidth="1"/>
    <col min="10" max="1025" width="10.7109375" style="148" customWidth="1"/>
    <col min="1026" max="16384" width="10.28515625" style="163"/>
  </cols>
  <sheetData>
    <row r="1" spans="1:1024" s="147" customFormat="1" ht="15" customHeight="1">
      <c r="A1"/>
      <c r="B1"/>
      <c r="C1"/>
      <c r="D1"/>
      <c r="E1" s="171" t="s">
        <v>0</v>
      </c>
      <c r="F1" s="171"/>
      <c r="G1" s="4" t="s">
        <v>1</v>
      </c>
      <c r="H1"/>
      <c r="AMG1" s="148"/>
      <c r="AMH1" s="148"/>
      <c r="AMI1" s="148"/>
      <c r="AMJ1" s="148"/>
    </row>
    <row r="2" spans="1:1024" s="147" customFormat="1" ht="15">
      <c r="A2"/>
      <c r="B2"/>
      <c r="C2" s="6"/>
      <c r="D2"/>
      <c r="E2" s="171"/>
      <c r="F2" s="171"/>
      <c r="G2" s="7" t="s">
        <v>2</v>
      </c>
      <c r="H2"/>
      <c r="M2" s="149"/>
      <c r="N2" s="149"/>
      <c r="O2" s="149"/>
      <c r="P2" s="149"/>
      <c r="Q2" s="149"/>
      <c r="R2" s="149"/>
    </row>
    <row r="3" spans="1:1024" s="147" customFormat="1" ht="15">
      <c r="A3"/>
      <c r="B3"/>
      <c r="C3" s="6"/>
      <c r="D3"/>
      <c r="E3" s="171"/>
      <c r="F3" s="171"/>
      <c r="G3" s="8"/>
      <c r="H3"/>
      <c r="M3" s="149"/>
      <c r="N3" s="149"/>
      <c r="O3" s="149"/>
      <c r="P3" s="149"/>
      <c r="Q3" s="149"/>
      <c r="R3" s="149"/>
    </row>
    <row r="4" spans="1:1024" s="147" customFormat="1" ht="15">
      <c r="A4"/>
      <c r="B4"/>
      <c r="C4" s="6"/>
      <c r="D4"/>
      <c r="E4" s="3"/>
      <c r="F4" s="3"/>
      <c r="G4" s="8"/>
      <c r="H4"/>
      <c r="M4" s="164"/>
      <c r="N4" s="149"/>
      <c r="O4" s="149"/>
      <c r="P4" s="149"/>
      <c r="Q4" s="149"/>
      <c r="R4" s="164"/>
    </row>
    <row r="5" spans="1:1024" s="147" customFormat="1" ht="15">
      <c r="A5"/>
      <c r="B5"/>
      <c r="C5" s="6"/>
      <c r="D5"/>
      <c r="E5" s="3"/>
      <c r="F5" s="3"/>
      <c r="G5" s="8"/>
      <c r="H5"/>
      <c r="M5" s="164"/>
      <c r="N5" s="149"/>
      <c r="O5" s="149"/>
      <c r="P5" s="149"/>
      <c r="Q5" s="149"/>
      <c r="R5" s="164"/>
    </row>
    <row r="6" spans="1:1024" s="147" customFormat="1" ht="15.75">
      <c r="A6" s="175" t="s">
        <v>6</v>
      </c>
      <c r="B6" s="175"/>
      <c r="C6" s="175"/>
      <c r="D6" s="175"/>
      <c r="E6" s="175"/>
      <c r="F6" s="175"/>
      <c r="G6" s="175"/>
      <c r="M6" s="164"/>
      <c r="N6" s="149"/>
      <c r="O6" s="149"/>
      <c r="P6" s="149"/>
      <c r="Q6" s="149"/>
      <c r="R6" s="164"/>
    </row>
    <row r="7" spans="1:1024" s="147" customFormat="1" ht="15.75">
      <c r="A7" s="176" t="s">
        <v>1161</v>
      </c>
      <c r="B7" s="176"/>
      <c r="C7" s="176"/>
      <c r="D7" s="176"/>
      <c r="E7" s="176"/>
      <c r="F7" s="176"/>
      <c r="G7" s="176"/>
      <c r="M7" s="164"/>
      <c r="N7" s="149"/>
      <c r="O7" s="149"/>
      <c r="P7" s="149"/>
      <c r="Q7" s="149"/>
      <c r="R7" s="164"/>
    </row>
    <row r="8" spans="1:1024" s="147" customFormat="1" ht="15">
      <c r="N8" s="149"/>
      <c r="O8" s="150"/>
      <c r="P8" s="149"/>
      <c r="Q8" s="150"/>
    </row>
    <row r="9" spans="1:1024" s="148" customFormat="1" ht="22.5" customHeight="1">
      <c r="A9" s="178" t="s">
        <v>38</v>
      </c>
      <c r="B9" s="178"/>
      <c r="C9" s="178"/>
      <c r="D9" s="178"/>
      <c r="E9" s="178"/>
      <c r="F9" s="178"/>
      <c r="G9" s="178"/>
      <c r="N9" s="149"/>
      <c r="O9" s="150"/>
      <c r="P9" s="149"/>
      <c r="Q9" s="150"/>
    </row>
    <row r="10" spans="1:1024" s="148" customFormat="1" ht="25.5">
      <c r="A10" s="151" t="s">
        <v>9</v>
      </c>
      <c r="B10" s="152" t="s">
        <v>40</v>
      </c>
      <c r="C10" s="152" t="s">
        <v>41</v>
      </c>
      <c r="D10" s="152" t="s">
        <v>39</v>
      </c>
      <c r="E10" s="152" t="s">
        <v>1158</v>
      </c>
      <c r="F10" s="152" t="s">
        <v>42</v>
      </c>
      <c r="G10" s="152" t="s">
        <v>43</v>
      </c>
      <c r="I10" s="153"/>
      <c r="N10" s="149"/>
      <c r="O10" s="150"/>
      <c r="P10" s="149"/>
      <c r="Q10" s="150"/>
    </row>
    <row r="11" spans="1:1024" s="148" customFormat="1" ht="20.100000000000001" customHeight="1">
      <c r="A11" s="154" t="s">
        <v>16</v>
      </c>
      <c r="B11" s="155">
        <v>19</v>
      </c>
      <c r="C11" s="155">
        <v>0</v>
      </c>
      <c r="D11" s="155">
        <v>0</v>
      </c>
      <c r="E11" s="155">
        <v>0</v>
      </c>
      <c r="F11" s="155">
        <v>0</v>
      </c>
      <c r="G11" s="155">
        <v>0</v>
      </c>
      <c r="I11" s="156">
        <f>SUM(B11+F11+G11)</f>
        <v>19</v>
      </c>
      <c r="J11" s="157">
        <f>SUM(C11:E11)</f>
        <v>0</v>
      </c>
      <c r="N11" s="149"/>
      <c r="O11" s="150"/>
      <c r="P11" s="149"/>
      <c r="Q11" s="150"/>
    </row>
    <row r="12" spans="1:1024" s="148" customFormat="1" ht="20.100000000000001" customHeight="1">
      <c r="A12" s="154" t="s">
        <v>19</v>
      </c>
      <c r="B12" s="155">
        <v>50</v>
      </c>
      <c r="C12" s="155">
        <v>0</v>
      </c>
      <c r="D12" s="155">
        <v>1</v>
      </c>
      <c r="E12" s="155">
        <v>3</v>
      </c>
      <c r="F12" s="155">
        <v>3</v>
      </c>
      <c r="G12" s="155">
        <v>1</v>
      </c>
      <c r="I12" s="156">
        <f t="shared" ref="I12:I15" si="0">SUM(B12+F12+G12)</f>
        <v>54</v>
      </c>
      <c r="J12" s="157">
        <f t="shared" ref="J12:J15" si="1">SUM(C12:E12)</f>
        <v>4</v>
      </c>
      <c r="N12" s="149"/>
      <c r="O12" s="150"/>
      <c r="P12" s="149"/>
      <c r="Q12" s="150"/>
    </row>
    <row r="13" spans="1:1024" s="148" customFormat="1" ht="20.100000000000001" customHeight="1">
      <c r="A13" s="154" t="s">
        <v>20</v>
      </c>
      <c r="B13" s="155">
        <v>1340</v>
      </c>
      <c r="C13" s="155">
        <v>78</v>
      </c>
      <c r="D13" s="155">
        <v>62</v>
      </c>
      <c r="E13" s="155">
        <v>127</v>
      </c>
      <c r="F13" s="155">
        <v>42</v>
      </c>
      <c r="G13" s="155">
        <v>0</v>
      </c>
      <c r="I13" s="156">
        <f t="shared" si="0"/>
        <v>1382</v>
      </c>
      <c r="J13" s="157">
        <f t="shared" si="1"/>
        <v>267</v>
      </c>
      <c r="N13" s="149"/>
      <c r="O13" s="150"/>
      <c r="P13" s="149"/>
      <c r="Q13" s="150"/>
    </row>
    <row r="14" spans="1:1024" s="148" customFormat="1" ht="20.100000000000001" customHeight="1">
      <c r="A14" s="154" t="s">
        <v>21</v>
      </c>
      <c r="B14" s="155">
        <v>415</v>
      </c>
      <c r="C14" s="155">
        <v>10</v>
      </c>
      <c r="D14" s="155">
        <v>9</v>
      </c>
      <c r="E14" s="155">
        <v>43</v>
      </c>
      <c r="F14" s="155">
        <v>12</v>
      </c>
      <c r="G14" s="155">
        <v>1</v>
      </c>
      <c r="I14" s="156">
        <f t="shared" si="0"/>
        <v>428</v>
      </c>
      <c r="J14" s="157">
        <f t="shared" si="1"/>
        <v>62</v>
      </c>
      <c r="K14" s="158"/>
      <c r="L14" s="158"/>
      <c r="N14" s="149"/>
      <c r="O14" s="150"/>
      <c r="P14" s="149"/>
      <c r="Q14" s="150"/>
    </row>
    <row r="15" spans="1:1024" s="148" customFormat="1" ht="20.100000000000001" customHeight="1">
      <c r="A15" s="154" t="s">
        <v>22</v>
      </c>
      <c r="B15" s="155">
        <v>8</v>
      </c>
      <c r="C15" s="155">
        <v>0</v>
      </c>
      <c r="D15" s="155">
        <v>0</v>
      </c>
      <c r="E15" s="155">
        <v>0</v>
      </c>
      <c r="F15" s="155">
        <v>0</v>
      </c>
      <c r="G15" s="155">
        <v>0</v>
      </c>
      <c r="I15" s="156">
        <f t="shared" si="0"/>
        <v>8</v>
      </c>
      <c r="J15" s="157">
        <f t="shared" si="1"/>
        <v>0</v>
      </c>
      <c r="N15" s="149"/>
      <c r="O15" s="150"/>
      <c r="P15" s="149"/>
      <c r="Q15" s="150"/>
    </row>
    <row r="16" spans="1:1024" s="162" customFormat="1" ht="20.100000000000001" customHeight="1">
      <c r="A16" s="159" t="s">
        <v>23</v>
      </c>
      <c r="B16" s="160">
        <f t="shared" ref="B16:G16" si="2">SUM(B11:B15)</f>
        <v>1832</v>
      </c>
      <c r="C16" s="160">
        <f t="shared" si="2"/>
        <v>88</v>
      </c>
      <c r="D16" s="160">
        <f t="shared" si="2"/>
        <v>72</v>
      </c>
      <c r="E16" s="160">
        <f t="shared" si="2"/>
        <v>173</v>
      </c>
      <c r="F16" s="160">
        <f t="shared" si="2"/>
        <v>57</v>
      </c>
      <c r="G16" s="160">
        <f t="shared" si="2"/>
        <v>2</v>
      </c>
      <c r="H16" s="161">
        <f>SUM(B16:G16)</f>
        <v>2224</v>
      </c>
      <c r="I16" s="179" t="s">
        <v>1159</v>
      </c>
      <c r="J16" s="179"/>
      <c r="K16" s="179"/>
      <c r="L16" s="179"/>
      <c r="M16" s="179"/>
      <c r="N16" s="179"/>
      <c r="O16" s="179"/>
      <c r="P16" s="179"/>
      <c r="Q16" s="150"/>
    </row>
    <row r="17" spans="5:17" s="148" customFormat="1" ht="15">
      <c r="N17" s="149"/>
      <c r="O17" s="150"/>
      <c r="P17" s="149"/>
      <c r="Q17" s="150"/>
    </row>
    <row r="18" spans="5:17" s="148" customFormat="1" ht="15">
      <c r="E18" s="157"/>
      <c r="I18" s="148" t="s">
        <v>1160</v>
      </c>
      <c r="N18" s="149"/>
      <c r="O18" s="150"/>
      <c r="P18" s="149"/>
      <c r="Q18" s="150"/>
    </row>
    <row r="19" spans="5:17" s="148" customFormat="1" ht="15">
      <c r="N19" s="149"/>
      <c r="O19" s="150"/>
      <c r="P19" s="149"/>
      <c r="Q19" s="150"/>
    </row>
    <row r="20" spans="5:17" s="148" customFormat="1" ht="20.25">
      <c r="K20" s="180" t="s">
        <v>7</v>
      </c>
      <c r="L20" s="180"/>
      <c r="M20" s="180"/>
      <c r="N20" s="180"/>
      <c r="O20" s="180"/>
      <c r="P20" s="180"/>
      <c r="Q20" s="180"/>
    </row>
    <row r="21" spans="5:17" s="148" customFormat="1" ht="25.5">
      <c r="I21" s="157"/>
      <c r="K21" s="151" t="s">
        <v>9</v>
      </c>
      <c r="L21" s="152" t="s">
        <v>40</v>
      </c>
      <c r="M21" s="152" t="s">
        <v>41</v>
      </c>
      <c r="N21" s="152" t="s">
        <v>39</v>
      </c>
      <c r="O21" s="152" t="s">
        <v>1158</v>
      </c>
      <c r="P21" s="152" t="s">
        <v>42</v>
      </c>
      <c r="Q21" s="152" t="s">
        <v>43</v>
      </c>
    </row>
    <row r="22" spans="5:17" s="148" customFormat="1">
      <c r="K22" s="154" t="s">
        <v>16</v>
      </c>
      <c r="L22" s="155">
        <v>19</v>
      </c>
      <c r="M22" s="155">
        <v>0</v>
      </c>
      <c r="N22" s="155">
        <v>0</v>
      </c>
      <c r="O22" s="155">
        <v>0</v>
      </c>
      <c r="P22" s="155">
        <v>0</v>
      </c>
      <c r="Q22" s="155">
        <v>0</v>
      </c>
    </row>
    <row r="23" spans="5:17" s="148" customFormat="1">
      <c r="K23" s="154" t="s">
        <v>19</v>
      </c>
      <c r="L23" s="155">
        <v>57</v>
      </c>
      <c r="M23" s="155">
        <v>0</v>
      </c>
      <c r="N23" s="155">
        <v>1</v>
      </c>
      <c r="O23" s="155">
        <v>3</v>
      </c>
      <c r="P23" s="155">
        <v>1</v>
      </c>
      <c r="Q23" s="155">
        <v>3</v>
      </c>
    </row>
    <row r="24" spans="5:17" s="148" customFormat="1">
      <c r="K24" s="154" t="s">
        <v>20</v>
      </c>
      <c r="L24" s="155">
        <v>1275</v>
      </c>
      <c r="M24" s="155">
        <v>94</v>
      </c>
      <c r="N24" s="155">
        <v>96</v>
      </c>
      <c r="O24" s="155">
        <v>156</v>
      </c>
      <c r="P24" s="155">
        <v>51</v>
      </c>
      <c r="Q24" s="155">
        <v>5</v>
      </c>
    </row>
    <row r="25" spans="5:17" s="148" customFormat="1">
      <c r="K25" s="154" t="s">
        <v>21</v>
      </c>
      <c r="L25" s="155">
        <v>396</v>
      </c>
      <c r="M25" s="155">
        <v>19</v>
      </c>
      <c r="N25" s="155">
        <v>18</v>
      </c>
      <c r="O25" s="155">
        <v>42</v>
      </c>
      <c r="P25" s="155">
        <v>15</v>
      </c>
      <c r="Q25" s="155">
        <v>5</v>
      </c>
    </row>
    <row r="26" spans="5:17" s="148" customFormat="1">
      <c r="K26" s="154" t="s">
        <v>22</v>
      </c>
      <c r="L26" s="155">
        <v>8</v>
      </c>
      <c r="M26" s="155">
        <v>0</v>
      </c>
      <c r="N26" s="155">
        <v>0</v>
      </c>
      <c r="O26" s="155">
        <v>0</v>
      </c>
      <c r="P26" s="155">
        <v>0</v>
      </c>
      <c r="Q26" s="155">
        <v>0</v>
      </c>
    </row>
    <row r="27" spans="5:17" s="148" customFormat="1" ht="15">
      <c r="K27" s="159" t="s">
        <v>23</v>
      </c>
      <c r="L27" s="160">
        <f t="shared" ref="L27:Q27" si="3">SUM(L22:L26)</f>
        <v>1755</v>
      </c>
      <c r="M27" s="160">
        <f t="shared" si="3"/>
        <v>113</v>
      </c>
      <c r="N27" s="160">
        <f t="shared" si="3"/>
        <v>115</v>
      </c>
      <c r="O27" s="160">
        <f t="shared" si="3"/>
        <v>201</v>
      </c>
      <c r="P27" s="160">
        <f t="shared" si="3"/>
        <v>67</v>
      </c>
      <c r="Q27" s="160">
        <f t="shared" si="3"/>
        <v>13</v>
      </c>
    </row>
    <row r="49" spans="1:1" s="148" customFormat="1">
      <c r="A49" s="147" t="s">
        <v>44</v>
      </c>
    </row>
  </sheetData>
  <mergeCells count="6">
    <mergeCell ref="E1:F3"/>
    <mergeCell ref="A6:G6"/>
    <mergeCell ref="A7:G7"/>
    <mergeCell ref="A9:G9"/>
    <mergeCell ref="I16:P16"/>
    <mergeCell ref="K20:Q20"/>
  </mergeCells>
  <pageMargins left="0.39370078740157483" right="0.39370078740157483" top="0.27559055118110237" bottom="0.51181102362204722" header="0.51181102362204722" footer="0.19685039370078741"/>
  <pageSetup paperSize="9" firstPageNumber="0" pageOrder="overThenDown" orientation="portrait" horizontalDpi="300" verticalDpi="300" r:id="rId1"/>
  <headerFooter>
    <oddFooter>&amp;LServicio de Selección, Evaluación y Formación&amp;C&amp;8Página &amp;P&amp;R16/04/2026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7"/>
  <sheetViews>
    <sheetView zoomScale="90" zoomScaleNormal="90" workbookViewId="0">
      <selection activeCell="F14" sqref="F14"/>
    </sheetView>
  </sheetViews>
  <sheetFormatPr baseColWidth="10" defaultColWidth="11.85546875" defaultRowHeight="15"/>
  <cols>
    <col min="1" max="1" width="5.7109375" customWidth="1"/>
    <col min="2" max="2" width="43.7109375" customWidth="1"/>
    <col min="7" max="7" width="7" customWidth="1"/>
    <col min="8" max="64" width="11" customWidth="1"/>
  </cols>
  <sheetData>
    <row r="1" spans="1:12" ht="12.75" customHeight="1">
      <c r="D1" s="171" t="s">
        <v>0</v>
      </c>
      <c r="E1" s="171"/>
      <c r="F1" s="4" t="s">
        <v>1</v>
      </c>
    </row>
    <row r="2" spans="1:12" ht="12.75" customHeight="1">
      <c r="C2" s="6"/>
      <c r="D2" s="171"/>
      <c r="E2" s="171"/>
      <c r="F2" s="7" t="s">
        <v>2</v>
      </c>
    </row>
    <row r="3" spans="1:12" ht="17.25" customHeight="1">
      <c r="C3" s="6"/>
      <c r="D3" s="171"/>
      <c r="E3" s="171"/>
      <c r="F3" s="57"/>
    </row>
    <row r="4" spans="1:12" ht="13.5" customHeight="1">
      <c r="A4" s="58"/>
      <c r="C4" s="6"/>
      <c r="D4" s="59"/>
      <c r="E4" s="59"/>
      <c r="F4" s="60"/>
    </row>
    <row r="5" spans="1:12" ht="14.25" customHeight="1">
      <c r="D5" s="6"/>
    </row>
    <row r="6" spans="1:12" ht="19.899999999999999" customHeight="1">
      <c r="B6" s="173" t="s">
        <v>6</v>
      </c>
      <c r="C6" s="173"/>
      <c r="D6" s="173"/>
      <c r="E6" s="173"/>
      <c r="F6" s="173"/>
      <c r="G6" s="37"/>
      <c r="H6" s="61"/>
      <c r="I6" s="61"/>
      <c r="J6" s="61"/>
      <c r="K6" s="61"/>
      <c r="L6" s="61"/>
    </row>
    <row r="7" spans="1:12" ht="19.899999999999999" customHeight="1">
      <c r="B7" s="169" t="s">
        <v>1162</v>
      </c>
      <c r="C7" s="169"/>
      <c r="D7" s="169"/>
      <c r="E7" s="169"/>
      <c r="F7" s="169"/>
      <c r="G7" s="37"/>
    </row>
    <row r="8" spans="1:12" ht="19.899999999999999" customHeight="1">
      <c r="B8" s="169" t="s">
        <v>29</v>
      </c>
      <c r="C8" s="169"/>
      <c r="D8" s="169"/>
      <c r="E8" s="169"/>
      <c r="F8" s="169"/>
      <c r="G8" s="37"/>
    </row>
    <row r="9" spans="1:12" ht="19.899999999999999" customHeight="1">
      <c r="B9" s="2"/>
      <c r="C9" s="2"/>
      <c r="D9" s="2"/>
      <c r="E9" s="2"/>
      <c r="F9" s="2"/>
      <c r="G9" s="37"/>
    </row>
    <row r="10" spans="1:12" ht="15.75">
      <c r="B10" s="39"/>
      <c r="C10" s="39"/>
      <c r="D10" s="39"/>
      <c r="E10" s="39"/>
      <c r="F10" s="39"/>
      <c r="G10" s="37"/>
    </row>
    <row r="11" spans="1:12" ht="18">
      <c r="B11" s="62" t="s">
        <v>45</v>
      </c>
      <c r="C11" s="63"/>
      <c r="D11" s="37"/>
      <c r="E11" s="37"/>
      <c r="F11" s="37"/>
      <c r="G11" s="37"/>
    </row>
    <row r="12" spans="1:12">
      <c r="B12" s="37"/>
      <c r="C12" s="37"/>
      <c r="D12" s="37"/>
      <c r="E12" s="37"/>
      <c r="F12" s="37"/>
      <c r="G12" s="37"/>
      <c r="I12" s="55"/>
    </row>
    <row r="13" spans="1:12" ht="38.25">
      <c r="B13" s="64" t="s">
        <v>46</v>
      </c>
      <c r="C13" s="64" t="s">
        <v>47</v>
      </c>
      <c r="D13" s="64" t="s">
        <v>48</v>
      </c>
      <c r="E13" s="64" t="s">
        <v>49</v>
      </c>
      <c r="F13" s="64" t="s">
        <v>50</v>
      </c>
      <c r="G13" s="37"/>
      <c r="H13" s="65"/>
      <c r="I13" s="65"/>
    </row>
    <row r="14" spans="1:12">
      <c r="B14" s="66" t="s">
        <v>1166</v>
      </c>
      <c r="C14" s="66">
        <v>153.5</v>
      </c>
      <c r="D14" s="67">
        <v>0</v>
      </c>
      <c r="E14" s="67">
        <v>2119.59</v>
      </c>
      <c r="F14" s="68">
        <f t="shared" ref="F14:F19" si="0">SUM(D14:E14)</f>
        <v>2119.59</v>
      </c>
      <c r="G14" s="37"/>
      <c r="H14" s="65"/>
      <c r="I14" s="55"/>
    </row>
    <row r="15" spans="1:12">
      <c r="B15" s="66" t="s">
        <v>1167</v>
      </c>
      <c r="C15" s="66">
        <v>77</v>
      </c>
      <c r="D15" s="67">
        <v>0</v>
      </c>
      <c r="E15" s="67">
        <v>1075.6600000000001</v>
      </c>
      <c r="F15" s="68">
        <f t="shared" si="0"/>
        <v>1075.6600000000001</v>
      </c>
      <c r="G15" s="37"/>
      <c r="H15" s="65"/>
      <c r="I15" s="55"/>
    </row>
    <row r="16" spans="1:12">
      <c r="B16" s="66" t="s">
        <v>1165</v>
      </c>
      <c r="C16" s="66">
        <v>35</v>
      </c>
      <c r="D16" s="67">
        <v>330</v>
      </c>
      <c r="E16" s="67">
        <v>688.21</v>
      </c>
      <c r="F16" s="68">
        <f t="shared" si="0"/>
        <v>1018.21</v>
      </c>
      <c r="G16" s="37"/>
      <c r="H16" s="65"/>
      <c r="I16" s="55"/>
    </row>
    <row r="17" spans="2:19">
      <c r="B17" s="66" t="s">
        <v>1164</v>
      </c>
      <c r="C17" s="66">
        <v>48</v>
      </c>
      <c r="D17" s="67">
        <v>0</v>
      </c>
      <c r="E17" s="67">
        <v>809.14</v>
      </c>
      <c r="F17" s="68">
        <f t="shared" si="0"/>
        <v>809.14</v>
      </c>
      <c r="G17" s="37"/>
      <c r="H17" s="65"/>
      <c r="I17" s="55"/>
    </row>
    <row r="18" spans="2:19">
      <c r="B18" s="66" t="s">
        <v>1168</v>
      </c>
      <c r="C18" s="66">
        <v>21</v>
      </c>
      <c r="D18" s="67">
        <v>0</v>
      </c>
      <c r="E18" s="67">
        <v>664.83</v>
      </c>
      <c r="F18" s="68">
        <f t="shared" si="0"/>
        <v>664.83</v>
      </c>
      <c r="G18" s="37"/>
      <c r="H18" s="65"/>
      <c r="I18" s="55"/>
    </row>
    <row r="19" spans="2:19">
      <c r="B19" s="66" t="s">
        <v>1163</v>
      </c>
      <c r="C19" s="66">
        <v>28</v>
      </c>
      <c r="D19" s="67">
        <v>90</v>
      </c>
      <c r="E19" s="67">
        <v>565.62</v>
      </c>
      <c r="F19" s="68">
        <f t="shared" si="0"/>
        <v>655.62</v>
      </c>
      <c r="G19" s="37"/>
      <c r="H19" s="65"/>
      <c r="I19" s="55"/>
    </row>
    <row r="20" spans="2:19">
      <c r="B20" s="64" t="s">
        <v>51</v>
      </c>
      <c r="C20" s="165">
        <f>SUM(C14:C19)</f>
        <v>362.5</v>
      </c>
      <c r="D20" s="69">
        <f>SUM(D14:D19)</f>
        <v>420</v>
      </c>
      <c r="E20" s="69">
        <f>SUM(E14:E19)</f>
        <v>5923.05</v>
      </c>
      <c r="F20" s="69">
        <f>SUM(F14:F19)</f>
        <v>6343.05</v>
      </c>
      <c r="G20" s="37"/>
      <c r="H20" s="65"/>
      <c r="I20" s="55"/>
    </row>
    <row r="21" spans="2:19">
      <c r="B21" s="5"/>
      <c r="C21" s="5"/>
      <c r="D21" s="5"/>
      <c r="E21" s="5"/>
      <c r="F21" s="5"/>
      <c r="G21" s="37"/>
    </row>
    <row r="22" spans="2:19" ht="14.85" customHeight="1">
      <c r="B22" s="55" t="s">
        <v>36</v>
      </c>
      <c r="C22" s="5"/>
      <c r="D22" s="5"/>
      <c r="E22" s="5"/>
      <c r="F22" s="5"/>
      <c r="G22" s="37"/>
      <c r="Q22" s="43"/>
      <c r="R22" s="43"/>
      <c r="S22" s="43"/>
    </row>
    <row r="23" spans="2:19" ht="14.85" customHeight="1">
      <c r="B23" s="55" t="s">
        <v>37</v>
      </c>
      <c r="C23" s="5"/>
      <c r="D23" s="5"/>
      <c r="E23" s="5"/>
      <c r="F23" s="5"/>
      <c r="G23" s="37"/>
    </row>
    <row r="24" spans="2:19" ht="14.85" customHeight="1">
      <c r="B24" s="5"/>
      <c r="C24" s="5"/>
      <c r="D24" s="5"/>
      <c r="E24" s="5"/>
      <c r="F24" s="5"/>
    </row>
    <row r="25" spans="2:19" ht="14.85" customHeight="1"/>
    <row r="26" spans="2:19" ht="14.85" customHeight="1"/>
    <row r="27" spans="2:19" ht="14.85" customHeight="1"/>
    <row r="28" spans="2:19" ht="14.85" customHeight="1"/>
    <row r="29" spans="2:19" ht="14.85" customHeight="1"/>
    <row r="30" spans="2:19" ht="14.85" customHeight="1"/>
    <row r="31" spans="2:19" ht="14.85" customHeight="1"/>
    <row r="32" spans="2:19" ht="14.85" customHeight="1"/>
    <row r="33" ht="14.85" customHeight="1"/>
    <row r="34" ht="14.85" customHeight="1"/>
    <row r="35" ht="14.85" customHeight="1"/>
    <row r="36" ht="14.85" customHeight="1"/>
    <row r="37" ht="14.85" customHeight="1"/>
    <row r="38" ht="14.85" customHeight="1"/>
    <row r="39" ht="14.85" customHeight="1"/>
    <row r="40" ht="14.85" customHeight="1"/>
    <row r="41" ht="14.85" customHeight="1"/>
    <row r="42" ht="14.85" customHeight="1"/>
    <row r="43" ht="14.85" customHeight="1"/>
    <row r="44" ht="14.85" customHeight="1"/>
    <row r="45" ht="14.85" customHeight="1"/>
    <row r="46" ht="14.85" customHeight="1"/>
    <row r="47" ht="14.85" customHeight="1"/>
    <row r="48" ht="14.85" customHeight="1"/>
    <row r="49" ht="14.85" customHeight="1"/>
    <row r="50" ht="14.85" customHeight="1"/>
    <row r="51" ht="14.85" customHeight="1"/>
    <row r="52" ht="14.85" customHeight="1"/>
    <row r="53" ht="14.85" customHeight="1"/>
    <row r="54" ht="14.85" customHeight="1"/>
    <row r="55" ht="14.85" customHeight="1"/>
    <row r="56" ht="14.85" customHeight="1"/>
    <row r="57" ht="14.85" customHeight="1"/>
    <row r="58" ht="14.85" customHeight="1"/>
    <row r="59" ht="14.85" customHeight="1"/>
    <row r="60" ht="14.85" customHeight="1"/>
    <row r="61" ht="14.85" customHeight="1"/>
    <row r="62" ht="14.85" customHeight="1"/>
    <row r="63" ht="14.85" customHeight="1"/>
    <row r="64" ht="14.85" customHeight="1"/>
    <row r="65" ht="14.85" customHeight="1"/>
    <row r="66" ht="14.85" customHeight="1"/>
    <row r="67" ht="14.85" customHeight="1"/>
    <row r="68" ht="14.85" customHeight="1"/>
    <row r="69" ht="14.85" customHeight="1"/>
    <row r="70" ht="14.85" customHeight="1"/>
    <row r="71" ht="14.85" customHeight="1"/>
    <row r="72" ht="14.85" customHeight="1"/>
    <row r="73" ht="14.85" customHeight="1"/>
    <row r="74" ht="14.85" customHeight="1"/>
    <row r="75" ht="14.85" customHeight="1"/>
    <row r="76" ht="14.85" customHeight="1"/>
    <row r="77" ht="14.85" customHeight="1"/>
    <row r="78" ht="14.85" customHeight="1"/>
    <row r="79" ht="14.85" customHeight="1"/>
    <row r="80" ht="14.85" customHeight="1"/>
    <row r="81" ht="14.85" customHeight="1"/>
    <row r="82" ht="14.85" customHeight="1"/>
    <row r="83" ht="14.85" customHeight="1"/>
    <row r="84" ht="14.85" customHeight="1"/>
    <row r="85" ht="14.85" customHeight="1"/>
    <row r="86" ht="14.85" customHeight="1"/>
    <row r="87" ht="14.85" customHeight="1"/>
    <row r="88" ht="14.85" customHeight="1"/>
    <row r="89" ht="14.85" customHeight="1"/>
    <row r="90" ht="14.85" customHeight="1"/>
    <row r="91" ht="14.85" customHeight="1"/>
    <row r="92" ht="14.85" customHeight="1"/>
    <row r="93" ht="14.85" customHeight="1"/>
    <row r="94" ht="14.85" customHeight="1"/>
    <row r="95" ht="14.85" customHeight="1"/>
    <row r="96" ht="14.85" customHeight="1"/>
    <row r="97" ht="14.85" customHeight="1"/>
    <row r="98" ht="14.85" customHeight="1"/>
    <row r="99" ht="14.85" customHeight="1"/>
    <row r="100" ht="14.85" customHeight="1"/>
    <row r="101" ht="14.85" customHeight="1"/>
    <row r="102" ht="14.85" customHeight="1"/>
    <row r="103" ht="14.85" customHeight="1"/>
    <row r="104" ht="14.85" customHeight="1"/>
    <row r="105" ht="14.85" customHeight="1"/>
    <row r="106" ht="14.85" customHeight="1"/>
    <row r="107" ht="14.85" customHeight="1"/>
    <row r="108" ht="14.85" customHeight="1"/>
    <row r="109" ht="14.85" customHeight="1"/>
    <row r="110" ht="14.85" customHeight="1"/>
    <row r="111" ht="14.85" customHeight="1"/>
    <row r="112" ht="14.85" customHeight="1"/>
    <row r="113" ht="14.85" customHeight="1"/>
    <row r="114" ht="14.85" customHeight="1"/>
    <row r="115" ht="14.85" customHeight="1"/>
    <row r="116" ht="14.85" customHeight="1"/>
    <row r="117" ht="14.85" customHeight="1"/>
    <row r="118" ht="14.85" customHeight="1"/>
    <row r="119" ht="14.85" customHeight="1"/>
    <row r="120" ht="14.85" customHeight="1"/>
    <row r="121" ht="14.85" customHeight="1"/>
    <row r="122" ht="14.85" customHeight="1"/>
    <row r="123" ht="14.85" customHeight="1"/>
    <row r="124" ht="14.85" customHeight="1"/>
    <row r="125" ht="14.85" customHeight="1"/>
    <row r="126" ht="14.85" customHeight="1"/>
    <row r="127" ht="14.85" customHeight="1"/>
    <row r="128" ht="14.85" customHeight="1"/>
    <row r="129" ht="14.85" customHeight="1"/>
    <row r="130" ht="14.85" customHeight="1"/>
    <row r="131" ht="14.85" customHeight="1"/>
    <row r="132" ht="14.85" customHeight="1"/>
    <row r="133" ht="14.85" customHeight="1"/>
    <row r="134" ht="14.85" customHeight="1"/>
    <row r="135" ht="14.85" customHeight="1"/>
    <row r="136" ht="14.85" customHeight="1"/>
    <row r="137" ht="14.85" customHeight="1"/>
    <row r="138" ht="14.85" customHeight="1"/>
    <row r="139" ht="14.85" customHeight="1"/>
    <row r="140" ht="14.85" customHeight="1"/>
    <row r="141" ht="14.85" customHeight="1"/>
    <row r="142" ht="14.85" customHeight="1"/>
    <row r="143" ht="14.85" customHeight="1"/>
    <row r="144" ht="14.85" customHeight="1"/>
    <row r="145" ht="14.85" customHeight="1"/>
    <row r="146" ht="14.85" customHeight="1"/>
    <row r="147" ht="14.85" customHeight="1"/>
  </sheetData>
  <sortState xmlns:xlrd2="http://schemas.microsoft.com/office/spreadsheetml/2017/richdata2" ref="B14:F19">
    <sortCondition descending="1" ref="F14:F19"/>
  </sortState>
  <mergeCells count="4">
    <mergeCell ref="D1:E3"/>
    <mergeCell ref="B6:F6"/>
    <mergeCell ref="B7:F7"/>
    <mergeCell ref="B8:F8"/>
  </mergeCells>
  <pageMargins left="0.118055555555556" right="0.118055555555556" top="0.196527777777778" bottom="0.59027777777777801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"/>
  <sheetViews>
    <sheetView zoomScale="90" zoomScaleNormal="90" workbookViewId="0">
      <selection activeCell="I38" sqref="I38"/>
    </sheetView>
  </sheetViews>
  <sheetFormatPr baseColWidth="10" defaultColWidth="11.85546875" defaultRowHeight="15"/>
  <cols>
    <col min="1" max="1" width="5.7109375" customWidth="1"/>
    <col min="2" max="2" width="43.7109375" customWidth="1"/>
    <col min="7" max="53" width="11" customWidth="1"/>
  </cols>
  <sheetData>
    <row r="1" spans="1:6" ht="12.75" customHeight="1">
      <c r="D1" s="171" t="s">
        <v>0</v>
      </c>
      <c r="E1" s="171"/>
      <c r="F1" s="4" t="s">
        <v>1</v>
      </c>
    </row>
    <row r="2" spans="1:6" ht="12.75" customHeight="1">
      <c r="C2" s="6"/>
      <c r="D2" s="171"/>
      <c r="E2" s="171"/>
      <c r="F2" s="7" t="s">
        <v>2</v>
      </c>
    </row>
    <row r="3" spans="1:6" ht="17.25" customHeight="1">
      <c r="C3" s="6"/>
      <c r="D3" s="171"/>
      <c r="E3" s="171"/>
      <c r="F3" s="57"/>
    </row>
    <row r="4" spans="1:6" ht="13.5" customHeight="1">
      <c r="A4" s="58"/>
      <c r="C4" s="6"/>
      <c r="D4" s="59"/>
      <c r="E4" s="59"/>
      <c r="F4" s="60"/>
    </row>
    <row r="6" spans="1:6" s="56" customFormat="1" ht="19.899999999999999" customHeight="1">
      <c r="B6" s="173" t="s">
        <v>6</v>
      </c>
      <c r="C6" s="173"/>
      <c r="D6" s="173"/>
      <c r="E6" s="173"/>
      <c r="F6" s="173"/>
    </row>
    <row r="7" spans="1:6" s="56" customFormat="1" ht="19.899999999999999" customHeight="1">
      <c r="B7" s="169" t="s">
        <v>1162</v>
      </c>
      <c r="C7" s="169"/>
      <c r="D7" s="169"/>
      <c r="E7" s="169"/>
      <c r="F7" s="169"/>
    </row>
    <row r="8" spans="1:6" s="56" customFormat="1" ht="19.899999999999999" customHeight="1">
      <c r="B8" s="169" t="s">
        <v>29</v>
      </c>
      <c r="C8" s="169"/>
      <c r="D8" s="169"/>
      <c r="E8" s="169"/>
      <c r="F8" s="169"/>
    </row>
    <row r="9" spans="1:6" ht="15.75">
      <c r="B9" s="70"/>
      <c r="C9" s="70"/>
      <c r="D9" s="70"/>
      <c r="E9" s="70"/>
      <c r="F9" s="70"/>
    </row>
    <row r="10" spans="1:6" ht="15.75">
      <c r="B10" s="39"/>
      <c r="C10" s="39"/>
      <c r="D10" s="39"/>
      <c r="E10" s="39"/>
      <c r="F10" s="39"/>
    </row>
    <row r="11" spans="1:6" ht="18">
      <c r="B11" s="62" t="s">
        <v>52</v>
      </c>
    </row>
    <row r="13" spans="1:6" ht="38.25">
      <c r="A13" s="5"/>
      <c r="B13" s="71" t="s">
        <v>46</v>
      </c>
      <c r="C13" s="71" t="s">
        <v>47</v>
      </c>
      <c r="D13" s="71" t="s">
        <v>48</v>
      </c>
      <c r="E13" s="71" t="s">
        <v>49</v>
      </c>
      <c r="F13" s="71" t="s">
        <v>50</v>
      </c>
    </row>
    <row r="14" spans="1:6">
      <c r="A14" s="5"/>
      <c r="B14" s="72" t="s">
        <v>1217</v>
      </c>
      <c r="C14" s="73">
        <v>1386</v>
      </c>
      <c r="D14" s="74">
        <v>1000</v>
      </c>
      <c r="E14" s="74">
        <v>26683.919999999998</v>
      </c>
      <c r="F14" s="74">
        <f t="shared" ref="F14:F45" si="0">SUM(D14:E14)</f>
        <v>27683.919999999998</v>
      </c>
    </row>
    <row r="15" spans="1:6">
      <c r="A15" s="5"/>
      <c r="B15" s="72" t="s">
        <v>1225</v>
      </c>
      <c r="C15" s="73">
        <v>1337</v>
      </c>
      <c r="D15" s="74">
        <v>0</v>
      </c>
      <c r="E15" s="74">
        <v>26118.080000000002</v>
      </c>
      <c r="F15" s="74">
        <f t="shared" si="0"/>
        <v>26118.080000000002</v>
      </c>
    </row>
    <row r="16" spans="1:6">
      <c r="A16" s="5"/>
      <c r="B16" s="72" t="s">
        <v>1215</v>
      </c>
      <c r="C16" s="73">
        <v>1442</v>
      </c>
      <c r="D16" s="74">
        <v>1500</v>
      </c>
      <c r="E16" s="74">
        <v>23331.97</v>
      </c>
      <c r="F16" s="74">
        <f t="shared" si="0"/>
        <v>24831.97</v>
      </c>
    </row>
    <row r="17" spans="1:6">
      <c r="A17" s="5"/>
      <c r="B17" s="72" t="s">
        <v>1223</v>
      </c>
      <c r="C17" s="73">
        <v>861</v>
      </c>
      <c r="D17" s="74">
        <v>0</v>
      </c>
      <c r="E17" s="74">
        <v>17665.14</v>
      </c>
      <c r="F17" s="74">
        <f t="shared" si="0"/>
        <v>17665.14</v>
      </c>
    </row>
    <row r="18" spans="1:6">
      <c r="A18" s="5"/>
      <c r="B18" s="72" t="s">
        <v>1213</v>
      </c>
      <c r="C18" s="73">
        <v>910</v>
      </c>
      <c r="D18" s="74">
        <v>1200</v>
      </c>
      <c r="E18" s="74">
        <v>16444.54</v>
      </c>
      <c r="F18" s="74">
        <f t="shared" si="0"/>
        <v>17644.54</v>
      </c>
    </row>
    <row r="19" spans="1:6">
      <c r="A19" s="5"/>
      <c r="B19" s="72" t="s">
        <v>1197</v>
      </c>
      <c r="C19" s="73">
        <v>791</v>
      </c>
      <c r="D19" s="74">
        <v>470</v>
      </c>
      <c r="E19" s="74">
        <v>17012.05</v>
      </c>
      <c r="F19" s="74">
        <f t="shared" si="0"/>
        <v>17482.05</v>
      </c>
    </row>
    <row r="20" spans="1:6">
      <c r="A20" s="5"/>
      <c r="B20" s="72" t="s">
        <v>1205</v>
      </c>
      <c r="C20" s="73">
        <v>810</v>
      </c>
      <c r="D20" s="74">
        <v>0</v>
      </c>
      <c r="E20" s="74">
        <v>17401.7</v>
      </c>
      <c r="F20" s="74">
        <f t="shared" si="0"/>
        <v>17401.7</v>
      </c>
    </row>
    <row r="21" spans="1:6">
      <c r="A21" s="5"/>
      <c r="B21" s="72" t="s">
        <v>1179</v>
      </c>
      <c r="C21" s="73">
        <v>861</v>
      </c>
      <c r="D21" s="74">
        <v>768</v>
      </c>
      <c r="E21" s="74">
        <v>16033.17</v>
      </c>
      <c r="F21" s="74">
        <f t="shared" si="0"/>
        <v>16801.169999999998</v>
      </c>
    </row>
    <row r="22" spans="1:6">
      <c r="A22" s="5"/>
      <c r="B22" s="72" t="s">
        <v>1178</v>
      </c>
      <c r="C22" s="73">
        <v>679</v>
      </c>
      <c r="D22" s="74">
        <v>500</v>
      </c>
      <c r="E22" s="74">
        <v>14660.37</v>
      </c>
      <c r="F22" s="74">
        <f t="shared" si="0"/>
        <v>15160.37</v>
      </c>
    </row>
    <row r="23" spans="1:6">
      <c r="A23" s="5"/>
      <c r="B23" s="72" t="s">
        <v>1209</v>
      </c>
      <c r="C23" s="73">
        <v>791</v>
      </c>
      <c r="D23" s="74">
        <v>0</v>
      </c>
      <c r="E23" s="74">
        <v>15098.81</v>
      </c>
      <c r="F23" s="74">
        <f t="shared" si="0"/>
        <v>15098.81</v>
      </c>
    </row>
    <row r="24" spans="1:6">
      <c r="A24" s="5"/>
      <c r="B24" s="72" t="s">
        <v>1181</v>
      </c>
      <c r="C24" s="73">
        <v>786</v>
      </c>
      <c r="D24" s="74">
        <v>1138</v>
      </c>
      <c r="E24" s="74">
        <v>12485.52</v>
      </c>
      <c r="F24" s="74">
        <f t="shared" si="0"/>
        <v>13623.52</v>
      </c>
    </row>
    <row r="25" spans="1:6">
      <c r="A25" s="5"/>
      <c r="B25" s="72" t="s">
        <v>1230</v>
      </c>
      <c r="C25" s="73">
        <v>679</v>
      </c>
      <c r="D25" s="74">
        <v>0</v>
      </c>
      <c r="E25" s="74">
        <v>13312.64</v>
      </c>
      <c r="F25" s="74">
        <f t="shared" si="0"/>
        <v>13312.64</v>
      </c>
    </row>
    <row r="26" spans="1:6">
      <c r="A26" s="5"/>
      <c r="B26" s="72" t="s">
        <v>1191</v>
      </c>
      <c r="C26" s="73">
        <v>672</v>
      </c>
      <c r="D26" s="74">
        <v>0</v>
      </c>
      <c r="E26" s="74">
        <v>13053</v>
      </c>
      <c r="F26" s="74">
        <f t="shared" si="0"/>
        <v>13053</v>
      </c>
    </row>
    <row r="27" spans="1:6">
      <c r="A27" s="5"/>
      <c r="B27" s="72" t="s">
        <v>1214</v>
      </c>
      <c r="C27" s="73">
        <v>623</v>
      </c>
      <c r="D27" s="74">
        <v>0</v>
      </c>
      <c r="E27" s="74">
        <v>12600.5</v>
      </c>
      <c r="F27" s="74">
        <f t="shared" si="0"/>
        <v>12600.5</v>
      </c>
    </row>
    <row r="28" spans="1:6">
      <c r="A28" s="5"/>
      <c r="B28" s="72" t="s">
        <v>1210</v>
      </c>
      <c r="C28" s="73">
        <v>644</v>
      </c>
      <c r="D28" s="74">
        <v>200</v>
      </c>
      <c r="E28" s="74">
        <v>12161.88</v>
      </c>
      <c r="F28" s="74">
        <f t="shared" si="0"/>
        <v>12361.88</v>
      </c>
    </row>
    <row r="29" spans="1:6">
      <c r="A29" s="5"/>
      <c r="B29" s="72" t="s">
        <v>1226</v>
      </c>
      <c r="C29" s="73">
        <v>609</v>
      </c>
      <c r="D29" s="74">
        <v>100</v>
      </c>
      <c r="E29" s="74">
        <v>11828.67</v>
      </c>
      <c r="F29" s="74">
        <f t="shared" si="0"/>
        <v>11928.67</v>
      </c>
    </row>
    <row r="30" spans="1:6">
      <c r="A30" s="5"/>
      <c r="B30" s="72" t="s">
        <v>1193</v>
      </c>
      <c r="C30" s="73">
        <v>616</v>
      </c>
      <c r="D30" s="74">
        <v>0</v>
      </c>
      <c r="E30" s="74">
        <v>11413.25</v>
      </c>
      <c r="F30" s="74">
        <f t="shared" si="0"/>
        <v>11413.25</v>
      </c>
    </row>
    <row r="31" spans="1:6">
      <c r="A31" s="5"/>
      <c r="B31" s="72" t="s">
        <v>1203</v>
      </c>
      <c r="C31" s="73">
        <v>637</v>
      </c>
      <c r="D31" s="74">
        <v>200</v>
      </c>
      <c r="E31" s="74">
        <v>10830.88</v>
      </c>
      <c r="F31" s="74">
        <f t="shared" si="0"/>
        <v>11030.88</v>
      </c>
    </row>
    <row r="32" spans="1:6">
      <c r="A32" s="5"/>
      <c r="B32" s="72" t="s">
        <v>1195</v>
      </c>
      <c r="C32" s="73">
        <v>532</v>
      </c>
      <c r="D32" s="74">
        <v>0</v>
      </c>
      <c r="E32" s="74">
        <v>10867.43</v>
      </c>
      <c r="F32" s="74">
        <f t="shared" si="0"/>
        <v>10867.43</v>
      </c>
    </row>
    <row r="33" spans="1:6">
      <c r="A33" s="5"/>
      <c r="B33" s="72" t="s">
        <v>1192</v>
      </c>
      <c r="C33" s="73">
        <v>525</v>
      </c>
      <c r="D33" s="74">
        <v>100</v>
      </c>
      <c r="E33" s="74">
        <v>10203.82</v>
      </c>
      <c r="F33" s="74">
        <f t="shared" si="0"/>
        <v>10303.82</v>
      </c>
    </row>
    <row r="34" spans="1:6">
      <c r="A34" s="5"/>
      <c r="B34" s="72" t="s">
        <v>1206</v>
      </c>
      <c r="C34" s="73">
        <v>614</v>
      </c>
      <c r="D34" s="74">
        <v>0</v>
      </c>
      <c r="E34" s="74">
        <v>10269.48</v>
      </c>
      <c r="F34" s="74">
        <f t="shared" si="0"/>
        <v>10269.48</v>
      </c>
    </row>
    <row r="35" spans="1:6">
      <c r="A35" s="5"/>
      <c r="B35" s="72" t="s">
        <v>1204</v>
      </c>
      <c r="C35" s="73">
        <v>503</v>
      </c>
      <c r="D35" s="74">
        <v>100</v>
      </c>
      <c r="E35" s="74">
        <v>9788.34</v>
      </c>
      <c r="F35" s="74">
        <f t="shared" si="0"/>
        <v>9888.34</v>
      </c>
    </row>
    <row r="36" spans="1:6">
      <c r="A36" s="5"/>
      <c r="B36" s="72" t="s">
        <v>1218</v>
      </c>
      <c r="C36" s="73">
        <v>560</v>
      </c>
      <c r="D36" s="74">
        <v>0</v>
      </c>
      <c r="E36" s="74">
        <v>9744.82</v>
      </c>
      <c r="F36" s="74">
        <f t="shared" si="0"/>
        <v>9744.82</v>
      </c>
    </row>
    <row r="37" spans="1:6">
      <c r="A37" s="5"/>
      <c r="B37" s="72" t="s">
        <v>1229</v>
      </c>
      <c r="C37" s="73">
        <v>406</v>
      </c>
      <c r="D37" s="74">
        <v>0</v>
      </c>
      <c r="E37" s="74">
        <v>8591.1</v>
      </c>
      <c r="F37" s="74">
        <f t="shared" si="0"/>
        <v>8591.1</v>
      </c>
    </row>
    <row r="38" spans="1:6">
      <c r="A38" s="5"/>
      <c r="B38" s="72" t="s">
        <v>1182</v>
      </c>
      <c r="C38" s="73">
        <v>336</v>
      </c>
      <c r="D38" s="74">
        <v>0</v>
      </c>
      <c r="E38" s="74">
        <v>8218.89</v>
      </c>
      <c r="F38" s="74">
        <f t="shared" si="0"/>
        <v>8218.89</v>
      </c>
    </row>
    <row r="39" spans="1:6">
      <c r="A39" s="5"/>
      <c r="B39" s="72" t="s">
        <v>1207</v>
      </c>
      <c r="C39" s="73">
        <v>437</v>
      </c>
      <c r="D39" s="74">
        <v>300</v>
      </c>
      <c r="E39" s="74">
        <v>7275.57</v>
      </c>
      <c r="F39" s="74">
        <f t="shared" si="0"/>
        <v>7575.57</v>
      </c>
    </row>
    <row r="40" spans="1:6">
      <c r="A40" s="5"/>
      <c r="B40" s="72" t="s">
        <v>1198</v>
      </c>
      <c r="C40" s="73">
        <v>420</v>
      </c>
      <c r="D40" s="74">
        <v>0</v>
      </c>
      <c r="E40" s="74">
        <v>7538.03</v>
      </c>
      <c r="F40" s="74">
        <f t="shared" si="0"/>
        <v>7538.03</v>
      </c>
    </row>
    <row r="41" spans="1:6">
      <c r="A41" s="5"/>
      <c r="B41" s="72" t="s">
        <v>1164</v>
      </c>
      <c r="C41" s="73">
        <v>280</v>
      </c>
      <c r="D41" s="74">
        <v>100</v>
      </c>
      <c r="E41" s="74">
        <v>7283.64</v>
      </c>
      <c r="F41" s="74">
        <f t="shared" si="0"/>
        <v>7383.64</v>
      </c>
    </row>
    <row r="42" spans="1:6">
      <c r="A42" s="5"/>
      <c r="B42" s="72" t="s">
        <v>1177</v>
      </c>
      <c r="C42" s="73">
        <v>301</v>
      </c>
      <c r="D42" s="74">
        <v>600</v>
      </c>
      <c r="E42" s="74">
        <v>5891.69</v>
      </c>
      <c r="F42" s="74">
        <f t="shared" si="0"/>
        <v>6491.69</v>
      </c>
    </row>
    <row r="43" spans="1:6">
      <c r="A43" s="5"/>
      <c r="B43" s="72" t="s">
        <v>1175</v>
      </c>
      <c r="C43" s="73">
        <v>273</v>
      </c>
      <c r="D43" s="74">
        <v>0</v>
      </c>
      <c r="E43" s="74">
        <v>6201.42</v>
      </c>
      <c r="F43" s="74">
        <f t="shared" si="0"/>
        <v>6201.42</v>
      </c>
    </row>
    <row r="44" spans="1:6">
      <c r="A44" s="5"/>
      <c r="B44" s="72" t="s">
        <v>1220</v>
      </c>
      <c r="C44" s="73">
        <v>287</v>
      </c>
      <c r="D44" s="74">
        <v>0</v>
      </c>
      <c r="E44" s="74">
        <v>6012.45</v>
      </c>
      <c r="F44" s="74">
        <f t="shared" si="0"/>
        <v>6012.45</v>
      </c>
    </row>
    <row r="45" spans="1:6">
      <c r="A45" s="5"/>
      <c r="B45" s="72" t="s">
        <v>1194</v>
      </c>
      <c r="C45" s="73">
        <v>266</v>
      </c>
      <c r="D45" s="74">
        <v>0</v>
      </c>
      <c r="E45" s="74">
        <v>5729.99</v>
      </c>
      <c r="F45" s="74">
        <f t="shared" si="0"/>
        <v>5729.99</v>
      </c>
    </row>
    <row r="46" spans="1:6">
      <c r="A46" s="5"/>
      <c r="B46" s="72" t="s">
        <v>1169</v>
      </c>
      <c r="C46" s="73">
        <v>217</v>
      </c>
      <c r="D46" s="74">
        <v>700</v>
      </c>
      <c r="E46" s="74">
        <v>4679.79</v>
      </c>
      <c r="F46" s="74">
        <f t="shared" ref="F46:F77" si="1">SUM(D46:E46)</f>
        <v>5379.79</v>
      </c>
    </row>
    <row r="47" spans="1:6">
      <c r="A47" s="5"/>
      <c r="B47" s="72" t="s">
        <v>1221</v>
      </c>
      <c r="C47" s="73">
        <v>238</v>
      </c>
      <c r="D47" s="74">
        <v>0</v>
      </c>
      <c r="E47" s="74">
        <v>5199.8900000000003</v>
      </c>
      <c r="F47" s="74">
        <f t="shared" si="1"/>
        <v>5199.8900000000003</v>
      </c>
    </row>
    <row r="48" spans="1:6">
      <c r="A48" s="5"/>
      <c r="B48" s="72" t="s">
        <v>1216</v>
      </c>
      <c r="C48" s="73">
        <v>217</v>
      </c>
      <c r="D48" s="74">
        <v>100</v>
      </c>
      <c r="E48" s="74">
        <v>4798.22</v>
      </c>
      <c r="F48" s="74">
        <f t="shared" si="1"/>
        <v>4898.22</v>
      </c>
    </row>
    <row r="49" spans="1:6">
      <c r="A49" s="5"/>
      <c r="B49" s="72" t="s">
        <v>1184</v>
      </c>
      <c r="C49" s="73">
        <v>217</v>
      </c>
      <c r="D49" s="74">
        <v>300</v>
      </c>
      <c r="E49" s="74">
        <v>4585.09</v>
      </c>
      <c r="F49" s="74">
        <f t="shared" si="1"/>
        <v>4885.09</v>
      </c>
    </row>
    <row r="50" spans="1:6">
      <c r="A50" s="5"/>
      <c r="B50" s="72" t="s">
        <v>1187</v>
      </c>
      <c r="C50" s="73">
        <v>210</v>
      </c>
      <c r="D50" s="74">
        <v>0</v>
      </c>
      <c r="E50" s="74">
        <v>4777.8999999999996</v>
      </c>
      <c r="F50" s="74">
        <f t="shared" si="1"/>
        <v>4777.8999999999996</v>
      </c>
    </row>
    <row r="51" spans="1:6">
      <c r="A51" s="5"/>
      <c r="B51" s="72" t="s">
        <v>1180</v>
      </c>
      <c r="C51" s="73">
        <v>182</v>
      </c>
      <c r="D51" s="74">
        <v>0</v>
      </c>
      <c r="E51" s="74">
        <v>4149.16</v>
      </c>
      <c r="F51" s="74">
        <f t="shared" si="1"/>
        <v>4149.16</v>
      </c>
    </row>
    <row r="52" spans="1:6">
      <c r="A52" s="5"/>
      <c r="B52" s="72" t="s">
        <v>1185</v>
      </c>
      <c r="C52" s="73">
        <v>217</v>
      </c>
      <c r="D52" s="74">
        <v>200</v>
      </c>
      <c r="E52" s="74">
        <v>3849.32</v>
      </c>
      <c r="F52" s="74">
        <f t="shared" si="1"/>
        <v>4049.32</v>
      </c>
    </row>
    <row r="53" spans="1:6">
      <c r="A53" s="5"/>
      <c r="B53" s="72" t="s">
        <v>1202</v>
      </c>
      <c r="C53" s="73">
        <v>259</v>
      </c>
      <c r="D53" s="74">
        <v>0</v>
      </c>
      <c r="E53" s="74">
        <v>3949.58</v>
      </c>
      <c r="F53" s="74">
        <f t="shared" si="1"/>
        <v>3949.58</v>
      </c>
    </row>
    <row r="54" spans="1:6">
      <c r="A54" s="5"/>
      <c r="B54" s="72" t="s">
        <v>1231</v>
      </c>
      <c r="C54" s="73">
        <v>140</v>
      </c>
      <c r="D54" s="74">
        <v>0</v>
      </c>
      <c r="E54" s="74">
        <v>3393.59</v>
      </c>
      <c r="F54" s="74">
        <f t="shared" si="1"/>
        <v>3393.59</v>
      </c>
    </row>
    <row r="55" spans="1:6">
      <c r="A55" s="5"/>
      <c r="B55" s="72" t="s">
        <v>1174</v>
      </c>
      <c r="C55" s="73">
        <v>140</v>
      </c>
      <c r="D55" s="74">
        <v>839.5</v>
      </c>
      <c r="E55" s="74">
        <v>2251.88</v>
      </c>
      <c r="F55" s="74">
        <f t="shared" si="1"/>
        <v>3091.38</v>
      </c>
    </row>
    <row r="56" spans="1:6">
      <c r="A56" s="5"/>
      <c r="B56" s="72" t="s">
        <v>1208</v>
      </c>
      <c r="C56" s="73">
        <v>126</v>
      </c>
      <c r="D56" s="74">
        <v>100</v>
      </c>
      <c r="E56" s="74">
        <v>2788.87</v>
      </c>
      <c r="F56" s="74">
        <f t="shared" si="1"/>
        <v>2888.87</v>
      </c>
    </row>
    <row r="57" spans="1:6">
      <c r="A57" s="5"/>
      <c r="B57" s="72" t="s">
        <v>1188</v>
      </c>
      <c r="C57" s="73">
        <v>84</v>
      </c>
      <c r="D57" s="74">
        <v>100</v>
      </c>
      <c r="E57" s="74">
        <v>1912.3</v>
      </c>
      <c r="F57" s="74">
        <f t="shared" si="1"/>
        <v>2012.3</v>
      </c>
    </row>
    <row r="58" spans="1:6">
      <c r="A58" s="5"/>
      <c r="B58" s="72" t="s">
        <v>1200</v>
      </c>
      <c r="C58" s="73">
        <v>77</v>
      </c>
      <c r="D58" s="74">
        <v>100</v>
      </c>
      <c r="E58" s="74">
        <v>1641.39</v>
      </c>
      <c r="F58" s="74">
        <f t="shared" si="1"/>
        <v>1741.39</v>
      </c>
    </row>
    <row r="59" spans="1:6">
      <c r="A59" s="5"/>
      <c r="B59" s="72" t="s">
        <v>1219</v>
      </c>
      <c r="C59" s="73">
        <v>56</v>
      </c>
      <c r="D59" s="74">
        <v>0</v>
      </c>
      <c r="E59" s="74">
        <v>1593.79</v>
      </c>
      <c r="F59" s="74">
        <f t="shared" si="1"/>
        <v>1593.79</v>
      </c>
    </row>
    <row r="60" spans="1:6">
      <c r="A60" s="5"/>
      <c r="B60" s="72" t="s">
        <v>1183</v>
      </c>
      <c r="C60" s="73">
        <v>77</v>
      </c>
      <c r="D60" s="74">
        <v>200</v>
      </c>
      <c r="E60" s="74">
        <v>1358.96</v>
      </c>
      <c r="F60" s="74">
        <f t="shared" si="1"/>
        <v>1558.96</v>
      </c>
    </row>
    <row r="61" spans="1:6">
      <c r="A61" s="5"/>
      <c r="B61" s="72" t="s">
        <v>1224</v>
      </c>
      <c r="C61" s="73">
        <v>42</v>
      </c>
      <c r="D61" s="74">
        <v>0</v>
      </c>
      <c r="E61" s="74">
        <v>1405.86</v>
      </c>
      <c r="F61" s="74">
        <f t="shared" si="1"/>
        <v>1405.86</v>
      </c>
    </row>
    <row r="62" spans="1:6">
      <c r="A62" s="5"/>
      <c r="B62" s="72" t="s">
        <v>1199</v>
      </c>
      <c r="C62" s="73">
        <v>63</v>
      </c>
      <c r="D62" s="74">
        <v>0</v>
      </c>
      <c r="E62" s="74">
        <v>1350.8</v>
      </c>
      <c r="F62" s="74">
        <f t="shared" si="1"/>
        <v>1350.8</v>
      </c>
    </row>
    <row r="63" spans="1:6">
      <c r="A63" s="5"/>
      <c r="B63" s="72" t="s">
        <v>1173</v>
      </c>
      <c r="C63" s="73">
        <v>49</v>
      </c>
      <c r="D63" s="74">
        <v>0</v>
      </c>
      <c r="E63" s="74">
        <v>1335.76</v>
      </c>
      <c r="F63" s="74">
        <f t="shared" si="1"/>
        <v>1335.76</v>
      </c>
    </row>
    <row r="64" spans="1:6">
      <c r="A64" s="5"/>
      <c r="B64" s="72" t="s">
        <v>1201</v>
      </c>
      <c r="C64" s="73">
        <v>49</v>
      </c>
      <c r="D64" s="74">
        <v>0</v>
      </c>
      <c r="E64" s="74">
        <v>1300.6600000000001</v>
      </c>
      <c r="F64" s="74">
        <f t="shared" si="1"/>
        <v>1300.6600000000001</v>
      </c>
    </row>
    <row r="65" spans="1:6">
      <c r="A65" s="5"/>
      <c r="B65" s="72" t="s">
        <v>1196</v>
      </c>
      <c r="C65" s="73">
        <v>28</v>
      </c>
      <c r="D65" s="74">
        <v>0</v>
      </c>
      <c r="E65" s="74">
        <v>1082.43</v>
      </c>
      <c r="F65" s="74">
        <f t="shared" si="1"/>
        <v>1082.43</v>
      </c>
    </row>
    <row r="66" spans="1:6">
      <c r="A66" s="5"/>
      <c r="B66" s="72" t="s">
        <v>1172</v>
      </c>
      <c r="C66" s="73">
        <v>28</v>
      </c>
      <c r="D66" s="74">
        <v>332</v>
      </c>
      <c r="E66" s="74">
        <v>747.56</v>
      </c>
      <c r="F66" s="74">
        <f t="shared" si="1"/>
        <v>1079.56</v>
      </c>
    </row>
    <row r="67" spans="1:6">
      <c r="A67" s="5"/>
      <c r="B67" s="72" t="s">
        <v>1227</v>
      </c>
      <c r="C67" s="73">
        <v>35</v>
      </c>
      <c r="D67" s="74">
        <v>100</v>
      </c>
      <c r="E67" s="74">
        <v>686.63</v>
      </c>
      <c r="F67" s="74">
        <f t="shared" si="1"/>
        <v>786.63</v>
      </c>
    </row>
    <row r="68" spans="1:6">
      <c r="A68" s="5"/>
      <c r="B68" s="72" t="s">
        <v>1189</v>
      </c>
      <c r="C68" s="73">
        <v>28</v>
      </c>
      <c r="D68" s="74">
        <v>0</v>
      </c>
      <c r="E68" s="74">
        <v>686.94</v>
      </c>
      <c r="F68" s="74">
        <f t="shared" si="1"/>
        <v>686.94</v>
      </c>
    </row>
    <row r="69" spans="1:6">
      <c r="A69" s="5"/>
      <c r="B69" s="72" t="s">
        <v>1186</v>
      </c>
      <c r="C69" s="73">
        <v>28</v>
      </c>
      <c r="D69" s="74">
        <v>0</v>
      </c>
      <c r="E69" s="74">
        <v>546.36</v>
      </c>
      <c r="F69" s="74">
        <f t="shared" si="1"/>
        <v>546.36</v>
      </c>
    </row>
    <row r="70" spans="1:6">
      <c r="A70" s="5"/>
      <c r="B70" s="72" t="s">
        <v>1190</v>
      </c>
      <c r="C70" s="73">
        <v>21</v>
      </c>
      <c r="D70" s="74">
        <v>90</v>
      </c>
      <c r="E70" s="74">
        <v>454.87</v>
      </c>
      <c r="F70" s="74">
        <f t="shared" si="1"/>
        <v>544.87</v>
      </c>
    </row>
    <row r="71" spans="1:6">
      <c r="A71" s="5"/>
      <c r="B71" s="72" t="s">
        <v>1167</v>
      </c>
      <c r="C71" s="73">
        <v>56</v>
      </c>
      <c r="D71" s="74">
        <v>0</v>
      </c>
      <c r="E71" s="74">
        <v>525.91</v>
      </c>
      <c r="F71" s="74">
        <f t="shared" si="1"/>
        <v>525.91</v>
      </c>
    </row>
    <row r="72" spans="1:6">
      <c r="A72" s="5"/>
      <c r="B72" s="72" t="s">
        <v>1228</v>
      </c>
      <c r="C72" s="73">
        <v>21</v>
      </c>
      <c r="D72" s="74">
        <v>0</v>
      </c>
      <c r="E72" s="74">
        <v>525.78</v>
      </c>
      <c r="F72" s="74">
        <f t="shared" si="1"/>
        <v>525.78</v>
      </c>
    </row>
    <row r="73" spans="1:6">
      <c r="A73" s="5"/>
      <c r="B73" s="72" t="s">
        <v>1171</v>
      </c>
      <c r="C73" s="73">
        <v>21</v>
      </c>
      <c r="D73" s="74">
        <v>0</v>
      </c>
      <c r="E73" s="74">
        <v>505.32</v>
      </c>
      <c r="F73" s="74">
        <f t="shared" si="1"/>
        <v>505.32</v>
      </c>
    </row>
    <row r="74" spans="1:6">
      <c r="A74" s="5"/>
      <c r="B74" s="72" t="s">
        <v>1232</v>
      </c>
      <c r="C74" s="73">
        <v>21</v>
      </c>
      <c r="D74" s="74">
        <v>0</v>
      </c>
      <c r="E74" s="74">
        <v>472.63</v>
      </c>
      <c r="F74" s="74">
        <f t="shared" si="1"/>
        <v>472.63</v>
      </c>
    </row>
    <row r="75" spans="1:6">
      <c r="A75" s="5"/>
      <c r="B75" s="72" t="s">
        <v>1211</v>
      </c>
      <c r="C75" s="73">
        <v>14</v>
      </c>
      <c r="D75" s="74">
        <v>0</v>
      </c>
      <c r="E75" s="74">
        <v>403.24</v>
      </c>
      <c r="F75" s="74">
        <f t="shared" si="1"/>
        <v>403.24</v>
      </c>
    </row>
    <row r="76" spans="1:6">
      <c r="A76" s="5"/>
      <c r="B76" s="72" t="s">
        <v>1170</v>
      </c>
      <c r="C76" s="73">
        <v>14</v>
      </c>
      <c r="D76" s="74">
        <v>0</v>
      </c>
      <c r="E76" s="74">
        <v>359.2</v>
      </c>
      <c r="F76" s="74">
        <f t="shared" si="1"/>
        <v>359.2</v>
      </c>
    </row>
    <row r="77" spans="1:6">
      <c r="A77" s="5"/>
      <c r="B77" s="72" t="s">
        <v>1212</v>
      </c>
      <c r="C77" s="73">
        <v>21</v>
      </c>
      <c r="D77" s="74">
        <v>0</v>
      </c>
      <c r="E77" s="74">
        <v>328.53</v>
      </c>
      <c r="F77" s="74">
        <f t="shared" si="1"/>
        <v>328.53</v>
      </c>
    </row>
    <row r="78" spans="1:6">
      <c r="A78" s="5"/>
      <c r="B78" s="72" t="s">
        <v>1222</v>
      </c>
      <c r="C78" s="73">
        <v>7</v>
      </c>
      <c r="D78" s="74">
        <v>0</v>
      </c>
      <c r="E78" s="74">
        <v>159.51</v>
      </c>
      <c r="F78" s="74">
        <f t="shared" ref="F78:F109" si="2">SUM(D78:E78)</f>
        <v>159.51</v>
      </c>
    </row>
    <row r="79" spans="1:6">
      <c r="A79" s="5"/>
      <c r="B79" s="72" t="s">
        <v>1176</v>
      </c>
      <c r="C79" s="73">
        <v>7</v>
      </c>
      <c r="D79" s="74">
        <v>0</v>
      </c>
      <c r="E79" s="74">
        <v>133.83000000000001</v>
      </c>
      <c r="F79" s="74">
        <f t="shared" si="2"/>
        <v>133.83000000000001</v>
      </c>
    </row>
    <row r="80" spans="1:6">
      <c r="A80" s="5"/>
      <c r="B80" s="75" t="s">
        <v>53</v>
      </c>
      <c r="C80" s="76">
        <f>SUM(C14:C79)</f>
        <v>23884</v>
      </c>
      <c r="D80" s="77">
        <f>SUM(D14:D79)</f>
        <v>11437.5</v>
      </c>
      <c r="E80" s="77">
        <f>SUM(E14:E79)</f>
        <v>465694.31000000006</v>
      </c>
      <c r="F80" s="77">
        <f>SUM(F14:F79)</f>
        <v>477131.81000000006</v>
      </c>
    </row>
    <row r="81" spans="1:6">
      <c r="A81" s="5"/>
      <c r="B81" s="5"/>
      <c r="C81" s="78"/>
      <c r="D81" s="79"/>
      <c r="E81" s="79"/>
      <c r="F81" s="5"/>
    </row>
    <row r="82" spans="1:6">
      <c r="A82" s="5"/>
      <c r="B82" s="55" t="s">
        <v>36</v>
      </c>
      <c r="C82" s="5"/>
      <c r="D82" s="5"/>
      <c r="E82" s="5"/>
      <c r="F82" s="5"/>
    </row>
    <row r="83" spans="1:6">
      <c r="A83" s="5"/>
      <c r="B83" s="55" t="s">
        <v>37</v>
      </c>
      <c r="C83" s="5"/>
      <c r="D83" s="5"/>
      <c r="E83" s="5"/>
      <c r="F83" s="5"/>
    </row>
  </sheetData>
  <sortState xmlns:xlrd2="http://schemas.microsoft.com/office/spreadsheetml/2017/richdata2" ref="B14:F79">
    <sortCondition descending="1" ref="F14:F79"/>
  </sortState>
  <mergeCells count="4">
    <mergeCell ref="D1:E3"/>
    <mergeCell ref="B6:F6"/>
    <mergeCell ref="B7:F7"/>
    <mergeCell ref="B8:F8"/>
  </mergeCells>
  <pageMargins left="0.118055555555556" right="0.118055555555556" top="0.196527777777778" bottom="0.51180555555555496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5"/>
  <sheetViews>
    <sheetView zoomScale="90" zoomScaleNormal="90" workbookViewId="0">
      <selection activeCell="C92" sqref="C92:F92"/>
    </sheetView>
  </sheetViews>
  <sheetFormatPr baseColWidth="10" defaultColWidth="11.85546875" defaultRowHeight="15"/>
  <cols>
    <col min="1" max="1" width="5.7109375" customWidth="1"/>
    <col min="2" max="2" width="43.7109375" customWidth="1"/>
    <col min="6" max="6" width="12.7109375" customWidth="1"/>
    <col min="7" max="7" width="7" customWidth="1"/>
    <col min="8" max="64" width="11" customWidth="1"/>
  </cols>
  <sheetData>
    <row r="1" spans="1:6" ht="12.75" customHeight="1">
      <c r="D1" s="171" t="s">
        <v>0</v>
      </c>
      <c r="E1" s="171"/>
      <c r="F1" s="4" t="s">
        <v>1</v>
      </c>
    </row>
    <row r="2" spans="1:6" ht="12.75" customHeight="1">
      <c r="C2" s="6"/>
      <c r="D2" s="171"/>
      <c r="E2" s="171"/>
      <c r="F2" s="7" t="s">
        <v>2</v>
      </c>
    </row>
    <row r="3" spans="1:6" ht="17.25" customHeight="1">
      <c r="C3" s="6"/>
      <c r="D3" s="171"/>
      <c r="E3" s="171"/>
      <c r="F3" s="57"/>
    </row>
    <row r="4" spans="1:6" ht="17.25" customHeight="1">
      <c r="C4" s="6"/>
      <c r="D4" s="3"/>
      <c r="E4" s="3"/>
      <c r="F4" s="57"/>
    </row>
    <row r="5" spans="1:6" ht="19.899999999999999" customHeight="1">
      <c r="B5" s="173" t="s">
        <v>6</v>
      </c>
      <c r="C5" s="173"/>
      <c r="D5" s="173"/>
      <c r="E5" s="173"/>
      <c r="F5" s="173"/>
    </row>
    <row r="6" spans="1:6" ht="19.899999999999999" customHeight="1">
      <c r="B6" s="169" t="s">
        <v>1162</v>
      </c>
      <c r="C6" s="169"/>
      <c r="D6" s="169"/>
      <c r="E6" s="169"/>
      <c r="F6" s="169"/>
    </row>
    <row r="7" spans="1:6" ht="19.899999999999999" customHeight="1">
      <c r="B7" s="169" t="s">
        <v>29</v>
      </c>
      <c r="C7" s="169"/>
      <c r="D7" s="169"/>
      <c r="E7" s="169"/>
      <c r="F7" s="169"/>
    </row>
    <row r="8" spans="1:6" ht="15.75">
      <c r="B8" s="70"/>
      <c r="C8" s="70"/>
      <c r="D8" s="70"/>
      <c r="E8" s="70"/>
      <c r="F8" s="70"/>
    </row>
    <row r="10" spans="1:6" ht="18">
      <c r="B10" s="62" t="s">
        <v>54</v>
      </c>
    </row>
    <row r="12" spans="1:6" ht="38.25">
      <c r="A12" s="5"/>
      <c r="B12" s="80" t="s">
        <v>46</v>
      </c>
      <c r="C12" s="81" t="s">
        <v>47</v>
      </c>
      <c r="D12" s="80" t="s">
        <v>48</v>
      </c>
      <c r="E12" s="80" t="s">
        <v>49</v>
      </c>
      <c r="F12" s="80" t="s">
        <v>50</v>
      </c>
    </row>
    <row r="13" spans="1:6">
      <c r="A13" s="5"/>
      <c r="B13" s="72" t="s">
        <v>1267</v>
      </c>
      <c r="C13" s="73">
        <v>398</v>
      </c>
      <c r="D13" s="74">
        <v>2020</v>
      </c>
      <c r="E13" s="74">
        <v>4622.8100000000004</v>
      </c>
      <c r="F13" s="74">
        <f t="shared" ref="F13:F44" si="0">SUM(D13,E13)</f>
        <v>6642.81</v>
      </c>
    </row>
    <row r="14" spans="1:6">
      <c r="A14" s="5"/>
      <c r="B14" s="72" t="s">
        <v>1268</v>
      </c>
      <c r="C14" s="73">
        <v>420</v>
      </c>
      <c r="D14" s="74">
        <v>1505</v>
      </c>
      <c r="E14" s="74">
        <v>5001.16</v>
      </c>
      <c r="F14" s="74">
        <f t="shared" si="0"/>
        <v>6506.16</v>
      </c>
    </row>
    <row r="15" spans="1:6">
      <c r="A15" s="5"/>
      <c r="B15" s="72" t="s">
        <v>1294</v>
      </c>
      <c r="C15" s="73">
        <v>393</v>
      </c>
      <c r="D15" s="74">
        <v>810</v>
      </c>
      <c r="E15" s="74">
        <v>5371.58</v>
      </c>
      <c r="F15" s="74">
        <f t="shared" si="0"/>
        <v>6181.58</v>
      </c>
    </row>
    <row r="16" spans="1:6">
      <c r="A16" s="5"/>
      <c r="B16" s="72" t="s">
        <v>1252</v>
      </c>
      <c r="C16" s="73">
        <v>361</v>
      </c>
      <c r="D16" s="74">
        <v>1050.72</v>
      </c>
      <c r="E16" s="74">
        <v>4994.8599999999997</v>
      </c>
      <c r="F16" s="74">
        <f t="shared" si="0"/>
        <v>6045.58</v>
      </c>
    </row>
    <row r="17" spans="1:6">
      <c r="A17" s="5"/>
      <c r="B17" s="72" t="s">
        <v>1303</v>
      </c>
      <c r="C17" s="73">
        <v>371</v>
      </c>
      <c r="D17" s="74">
        <v>150</v>
      </c>
      <c r="E17" s="74">
        <v>5862.21</v>
      </c>
      <c r="F17" s="74">
        <f t="shared" si="0"/>
        <v>6012.21</v>
      </c>
    </row>
    <row r="18" spans="1:6">
      <c r="A18" s="5"/>
      <c r="B18" s="72" t="s">
        <v>1300</v>
      </c>
      <c r="C18" s="73">
        <v>322</v>
      </c>
      <c r="D18" s="74">
        <v>2198.88</v>
      </c>
      <c r="E18" s="74">
        <v>2047.21</v>
      </c>
      <c r="F18" s="74">
        <f t="shared" si="0"/>
        <v>4246.09</v>
      </c>
    </row>
    <row r="19" spans="1:6">
      <c r="A19" s="5"/>
      <c r="B19" s="72" t="s">
        <v>1308</v>
      </c>
      <c r="C19" s="73">
        <v>223</v>
      </c>
      <c r="D19" s="74">
        <v>1090</v>
      </c>
      <c r="E19" s="74">
        <v>2923.02</v>
      </c>
      <c r="F19" s="74">
        <f t="shared" si="0"/>
        <v>4013.02</v>
      </c>
    </row>
    <row r="20" spans="1:6">
      <c r="A20" s="5"/>
      <c r="B20" s="72" t="s">
        <v>1258</v>
      </c>
      <c r="C20" s="73">
        <v>175</v>
      </c>
      <c r="D20" s="74">
        <v>580</v>
      </c>
      <c r="E20" s="74">
        <v>2959.26</v>
      </c>
      <c r="F20" s="74">
        <f t="shared" si="0"/>
        <v>3539.26</v>
      </c>
    </row>
    <row r="21" spans="1:6">
      <c r="A21" s="5"/>
      <c r="B21" s="72" t="s">
        <v>1248</v>
      </c>
      <c r="C21" s="73">
        <v>206</v>
      </c>
      <c r="D21" s="74">
        <v>200</v>
      </c>
      <c r="E21" s="74">
        <v>3307.55</v>
      </c>
      <c r="F21" s="74">
        <f t="shared" si="0"/>
        <v>3507.55</v>
      </c>
    </row>
    <row r="22" spans="1:6">
      <c r="A22" s="5"/>
      <c r="B22" s="72" t="s">
        <v>1253</v>
      </c>
      <c r="C22" s="73">
        <v>168</v>
      </c>
      <c r="D22" s="74">
        <v>450</v>
      </c>
      <c r="E22" s="74">
        <v>2937.38</v>
      </c>
      <c r="F22" s="74">
        <f t="shared" si="0"/>
        <v>3387.38</v>
      </c>
    </row>
    <row r="23" spans="1:6">
      <c r="A23" s="5"/>
      <c r="B23" s="72" t="s">
        <v>1290</v>
      </c>
      <c r="C23" s="73">
        <v>203</v>
      </c>
      <c r="D23" s="74">
        <v>0</v>
      </c>
      <c r="E23" s="74">
        <v>3226.53</v>
      </c>
      <c r="F23" s="74">
        <f t="shared" si="0"/>
        <v>3226.53</v>
      </c>
    </row>
    <row r="24" spans="1:6">
      <c r="A24" s="5"/>
      <c r="B24" s="72" t="s">
        <v>1295</v>
      </c>
      <c r="C24" s="73">
        <v>107</v>
      </c>
      <c r="D24" s="74">
        <v>900</v>
      </c>
      <c r="E24" s="74">
        <v>1635.68</v>
      </c>
      <c r="F24" s="74">
        <f t="shared" si="0"/>
        <v>2535.6800000000003</v>
      </c>
    </row>
    <row r="25" spans="1:6">
      <c r="A25" s="5"/>
      <c r="B25" s="72" t="s">
        <v>1282</v>
      </c>
      <c r="C25" s="73">
        <v>118</v>
      </c>
      <c r="D25" s="74">
        <v>600</v>
      </c>
      <c r="E25" s="74">
        <v>1769.66</v>
      </c>
      <c r="F25" s="74">
        <f t="shared" si="0"/>
        <v>2369.66</v>
      </c>
    </row>
    <row r="26" spans="1:6">
      <c r="A26" s="5"/>
      <c r="B26" s="72" t="s">
        <v>1236</v>
      </c>
      <c r="C26" s="73">
        <v>147</v>
      </c>
      <c r="D26" s="74">
        <v>100</v>
      </c>
      <c r="E26" s="74">
        <v>2196.67</v>
      </c>
      <c r="F26" s="74">
        <f t="shared" si="0"/>
        <v>2296.67</v>
      </c>
    </row>
    <row r="27" spans="1:6">
      <c r="A27" s="5"/>
      <c r="B27" s="72" t="s">
        <v>1269</v>
      </c>
      <c r="C27" s="73">
        <v>107</v>
      </c>
      <c r="D27" s="74">
        <v>710</v>
      </c>
      <c r="E27" s="74">
        <v>1581.58</v>
      </c>
      <c r="F27" s="74">
        <f t="shared" si="0"/>
        <v>2291.58</v>
      </c>
    </row>
    <row r="28" spans="1:6">
      <c r="A28" s="5"/>
      <c r="B28" s="72" t="s">
        <v>1297</v>
      </c>
      <c r="C28" s="73">
        <v>132</v>
      </c>
      <c r="D28" s="74">
        <v>300</v>
      </c>
      <c r="E28" s="74">
        <v>1833.28</v>
      </c>
      <c r="F28" s="74">
        <f t="shared" si="0"/>
        <v>2133.2799999999997</v>
      </c>
    </row>
    <row r="29" spans="1:6">
      <c r="A29" s="5"/>
      <c r="B29" s="72" t="s">
        <v>1246</v>
      </c>
      <c r="C29" s="73">
        <v>112</v>
      </c>
      <c r="D29" s="74">
        <v>100</v>
      </c>
      <c r="E29" s="74">
        <v>1884.51</v>
      </c>
      <c r="F29" s="74">
        <f t="shared" si="0"/>
        <v>1984.51</v>
      </c>
    </row>
    <row r="30" spans="1:6">
      <c r="A30" s="5"/>
      <c r="B30" s="72" t="s">
        <v>1238</v>
      </c>
      <c r="C30" s="73">
        <v>63</v>
      </c>
      <c r="D30" s="74">
        <v>768.11</v>
      </c>
      <c r="E30" s="74">
        <v>1072.18</v>
      </c>
      <c r="F30" s="74">
        <f t="shared" si="0"/>
        <v>1840.29</v>
      </c>
    </row>
    <row r="31" spans="1:6">
      <c r="A31" s="5"/>
      <c r="B31" s="72" t="s">
        <v>1263</v>
      </c>
      <c r="C31" s="73">
        <v>99</v>
      </c>
      <c r="D31" s="74">
        <v>670</v>
      </c>
      <c r="E31" s="74">
        <v>1035.8599999999999</v>
      </c>
      <c r="F31" s="74">
        <f t="shared" si="0"/>
        <v>1705.86</v>
      </c>
    </row>
    <row r="32" spans="1:6">
      <c r="A32" s="5"/>
      <c r="B32" s="72" t="s">
        <v>1259</v>
      </c>
      <c r="C32" s="73">
        <v>80</v>
      </c>
      <c r="D32" s="74">
        <v>400</v>
      </c>
      <c r="E32" s="74">
        <v>1302.72</v>
      </c>
      <c r="F32" s="74">
        <f t="shared" si="0"/>
        <v>1702.72</v>
      </c>
    </row>
    <row r="33" spans="1:6">
      <c r="A33" s="5"/>
      <c r="B33" s="72" t="s">
        <v>1243</v>
      </c>
      <c r="C33" s="73">
        <v>98</v>
      </c>
      <c r="D33" s="74">
        <v>400</v>
      </c>
      <c r="E33" s="74">
        <v>1280.7</v>
      </c>
      <c r="F33" s="74">
        <f t="shared" si="0"/>
        <v>1680.7</v>
      </c>
    </row>
    <row r="34" spans="1:6">
      <c r="A34" s="5"/>
      <c r="B34" s="72" t="s">
        <v>1249</v>
      </c>
      <c r="C34" s="73">
        <v>0</v>
      </c>
      <c r="D34" s="74">
        <v>1596</v>
      </c>
      <c r="E34" s="74">
        <v>0</v>
      </c>
      <c r="F34" s="74">
        <f t="shared" si="0"/>
        <v>1596</v>
      </c>
    </row>
    <row r="35" spans="1:6">
      <c r="A35" s="5"/>
      <c r="B35" s="72" t="s">
        <v>1260</v>
      </c>
      <c r="C35" s="73">
        <v>97</v>
      </c>
      <c r="D35" s="74">
        <v>100</v>
      </c>
      <c r="E35" s="74">
        <v>1421.99</v>
      </c>
      <c r="F35" s="74">
        <f t="shared" si="0"/>
        <v>1521.99</v>
      </c>
    </row>
    <row r="36" spans="1:6">
      <c r="A36" s="5"/>
      <c r="B36" s="72" t="s">
        <v>1288</v>
      </c>
      <c r="C36" s="73">
        <v>98</v>
      </c>
      <c r="D36" s="74">
        <v>100</v>
      </c>
      <c r="E36" s="74">
        <v>1316.2</v>
      </c>
      <c r="F36" s="74">
        <f t="shared" si="0"/>
        <v>1416.2</v>
      </c>
    </row>
    <row r="37" spans="1:6">
      <c r="A37" s="5"/>
      <c r="B37" s="72" t="s">
        <v>1281</v>
      </c>
      <c r="C37" s="73">
        <v>68</v>
      </c>
      <c r="D37" s="74">
        <v>450</v>
      </c>
      <c r="E37" s="74">
        <v>966.18</v>
      </c>
      <c r="F37" s="74">
        <f t="shared" si="0"/>
        <v>1416.1799999999998</v>
      </c>
    </row>
    <row r="38" spans="1:6">
      <c r="A38" s="5"/>
      <c r="B38" s="72" t="s">
        <v>1235</v>
      </c>
      <c r="C38" s="73">
        <v>77</v>
      </c>
      <c r="D38" s="74">
        <v>70</v>
      </c>
      <c r="E38" s="74">
        <v>1184.96</v>
      </c>
      <c r="F38" s="74">
        <f t="shared" si="0"/>
        <v>1254.96</v>
      </c>
    </row>
    <row r="39" spans="1:6">
      <c r="A39" s="5"/>
      <c r="B39" s="72" t="s">
        <v>1262</v>
      </c>
      <c r="C39" s="73">
        <v>98</v>
      </c>
      <c r="D39" s="74">
        <v>0</v>
      </c>
      <c r="E39" s="74">
        <v>1245.95</v>
      </c>
      <c r="F39" s="74">
        <f t="shared" si="0"/>
        <v>1245.95</v>
      </c>
    </row>
    <row r="40" spans="1:6">
      <c r="A40" s="5"/>
      <c r="B40" s="72" t="s">
        <v>1251</v>
      </c>
      <c r="C40" s="73">
        <v>119</v>
      </c>
      <c r="D40" s="74">
        <v>150</v>
      </c>
      <c r="E40" s="74">
        <v>1094.45</v>
      </c>
      <c r="F40" s="74">
        <f t="shared" si="0"/>
        <v>1244.45</v>
      </c>
    </row>
    <row r="41" spans="1:6">
      <c r="A41" s="5"/>
      <c r="B41" s="72" t="s">
        <v>1273</v>
      </c>
      <c r="C41" s="73">
        <v>47</v>
      </c>
      <c r="D41" s="74">
        <v>100</v>
      </c>
      <c r="E41" s="74">
        <v>872.14</v>
      </c>
      <c r="F41" s="74">
        <f t="shared" si="0"/>
        <v>972.14</v>
      </c>
    </row>
    <row r="42" spans="1:6">
      <c r="A42" s="5"/>
      <c r="B42" s="72" t="s">
        <v>1306</v>
      </c>
      <c r="C42" s="73">
        <v>59</v>
      </c>
      <c r="D42" s="74">
        <v>0</v>
      </c>
      <c r="E42" s="74">
        <v>964.4</v>
      </c>
      <c r="F42" s="74">
        <f t="shared" si="0"/>
        <v>964.4</v>
      </c>
    </row>
    <row r="43" spans="1:6">
      <c r="A43" s="5"/>
      <c r="B43" s="72" t="s">
        <v>1301</v>
      </c>
      <c r="C43" s="73">
        <v>63</v>
      </c>
      <c r="D43" s="74">
        <v>0</v>
      </c>
      <c r="E43" s="74">
        <v>900.31</v>
      </c>
      <c r="F43" s="74">
        <f t="shared" si="0"/>
        <v>900.31</v>
      </c>
    </row>
    <row r="44" spans="1:6">
      <c r="A44" s="5"/>
      <c r="B44" s="72" t="s">
        <v>1272</v>
      </c>
      <c r="C44" s="73">
        <v>52</v>
      </c>
      <c r="D44" s="74">
        <v>290</v>
      </c>
      <c r="E44" s="74">
        <v>590.71</v>
      </c>
      <c r="F44" s="74">
        <f t="shared" si="0"/>
        <v>880.71</v>
      </c>
    </row>
    <row r="45" spans="1:6">
      <c r="A45" s="5"/>
      <c r="B45" s="72" t="s">
        <v>1278</v>
      </c>
      <c r="C45" s="73">
        <v>38</v>
      </c>
      <c r="D45" s="74">
        <v>250</v>
      </c>
      <c r="E45" s="74">
        <v>573.88</v>
      </c>
      <c r="F45" s="74">
        <f t="shared" ref="F45:F76" si="1">SUM(D45,E45)</f>
        <v>823.88</v>
      </c>
    </row>
    <row r="46" spans="1:6">
      <c r="A46" s="5"/>
      <c r="B46" s="72" t="s">
        <v>1244</v>
      </c>
      <c r="C46" s="73">
        <v>49</v>
      </c>
      <c r="D46" s="74">
        <v>0</v>
      </c>
      <c r="E46" s="74">
        <v>808.29</v>
      </c>
      <c r="F46" s="74">
        <f t="shared" si="1"/>
        <v>808.29</v>
      </c>
    </row>
    <row r="47" spans="1:6">
      <c r="A47" s="5"/>
      <c r="B47" s="72" t="s">
        <v>1307</v>
      </c>
      <c r="C47" s="73">
        <v>56</v>
      </c>
      <c r="D47" s="74">
        <v>0</v>
      </c>
      <c r="E47" s="74">
        <v>782.78</v>
      </c>
      <c r="F47" s="74">
        <f t="shared" si="1"/>
        <v>782.78</v>
      </c>
    </row>
    <row r="48" spans="1:6">
      <c r="A48" s="5"/>
      <c r="B48" s="72" t="s">
        <v>1276</v>
      </c>
      <c r="C48" s="73">
        <v>42</v>
      </c>
      <c r="D48" s="74">
        <v>0</v>
      </c>
      <c r="E48" s="74">
        <v>760.32</v>
      </c>
      <c r="F48" s="74">
        <f t="shared" si="1"/>
        <v>760.32</v>
      </c>
    </row>
    <row r="49" spans="1:6">
      <c r="A49" s="5"/>
      <c r="B49" s="72" t="s">
        <v>1299</v>
      </c>
      <c r="C49" s="73">
        <v>35</v>
      </c>
      <c r="D49" s="74">
        <v>159.30000000000001</v>
      </c>
      <c r="E49" s="74">
        <v>592.5</v>
      </c>
      <c r="F49" s="74">
        <f t="shared" si="1"/>
        <v>751.8</v>
      </c>
    </row>
    <row r="50" spans="1:6">
      <c r="A50" s="5"/>
      <c r="B50" s="72" t="s">
        <v>1291</v>
      </c>
      <c r="C50" s="73">
        <v>35</v>
      </c>
      <c r="D50" s="74">
        <v>0</v>
      </c>
      <c r="E50" s="74">
        <v>711.96</v>
      </c>
      <c r="F50" s="74">
        <f t="shared" si="1"/>
        <v>711.96</v>
      </c>
    </row>
    <row r="51" spans="1:6">
      <c r="A51" s="5"/>
      <c r="B51" s="72" t="s">
        <v>1265</v>
      </c>
      <c r="C51" s="73">
        <v>42</v>
      </c>
      <c r="D51" s="74">
        <v>0</v>
      </c>
      <c r="E51" s="74">
        <v>701.16</v>
      </c>
      <c r="F51" s="74">
        <f t="shared" si="1"/>
        <v>701.16</v>
      </c>
    </row>
    <row r="52" spans="1:6">
      <c r="A52" s="5"/>
      <c r="B52" s="72" t="s">
        <v>1237</v>
      </c>
      <c r="C52" s="73">
        <v>42</v>
      </c>
      <c r="D52" s="74">
        <v>0</v>
      </c>
      <c r="E52" s="74">
        <v>684.66</v>
      </c>
      <c r="F52" s="74">
        <f t="shared" si="1"/>
        <v>684.66</v>
      </c>
    </row>
    <row r="53" spans="1:6">
      <c r="A53" s="5"/>
      <c r="B53" s="72" t="s">
        <v>1289</v>
      </c>
      <c r="C53" s="73">
        <v>59</v>
      </c>
      <c r="D53" s="74">
        <v>100</v>
      </c>
      <c r="E53" s="74">
        <v>571.38</v>
      </c>
      <c r="F53" s="74">
        <f t="shared" si="1"/>
        <v>671.38</v>
      </c>
    </row>
    <row r="54" spans="1:6">
      <c r="A54" s="5"/>
      <c r="B54" s="72" t="s">
        <v>1266</v>
      </c>
      <c r="C54" s="73">
        <v>21</v>
      </c>
      <c r="D54" s="74">
        <v>300</v>
      </c>
      <c r="E54" s="74">
        <v>365.6</v>
      </c>
      <c r="F54" s="74">
        <f t="shared" si="1"/>
        <v>665.6</v>
      </c>
    </row>
    <row r="55" spans="1:6">
      <c r="A55" s="5"/>
      <c r="B55" s="72" t="s">
        <v>1304</v>
      </c>
      <c r="C55" s="73">
        <v>42</v>
      </c>
      <c r="D55" s="74">
        <v>0</v>
      </c>
      <c r="E55" s="74">
        <v>649.54999999999995</v>
      </c>
      <c r="F55" s="74">
        <f t="shared" si="1"/>
        <v>649.54999999999995</v>
      </c>
    </row>
    <row r="56" spans="1:6">
      <c r="A56" s="5"/>
      <c r="B56" s="72" t="s">
        <v>1232</v>
      </c>
      <c r="C56" s="73">
        <v>42</v>
      </c>
      <c r="D56" s="74">
        <v>0</v>
      </c>
      <c r="E56" s="74">
        <v>644.01</v>
      </c>
      <c r="F56" s="74">
        <f t="shared" si="1"/>
        <v>644.01</v>
      </c>
    </row>
    <row r="57" spans="1:6">
      <c r="A57" s="5"/>
      <c r="B57" s="72" t="s">
        <v>1285</v>
      </c>
      <c r="C57" s="73">
        <v>48</v>
      </c>
      <c r="D57" s="74">
        <v>200</v>
      </c>
      <c r="E57" s="74">
        <v>411.84</v>
      </c>
      <c r="F57" s="74">
        <f t="shared" si="1"/>
        <v>611.83999999999992</v>
      </c>
    </row>
    <row r="58" spans="1:6">
      <c r="A58" s="5"/>
      <c r="B58" s="72" t="s">
        <v>1305</v>
      </c>
      <c r="C58" s="73">
        <v>35</v>
      </c>
      <c r="D58" s="74">
        <v>0</v>
      </c>
      <c r="E58" s="74">
        <v>601.98</v>
      </c>
      <c r="F58" s="74">
        <f t="shared" si="1"/>
        <v>601.98</v>
      </c>
    </row>
    <row r="59" spans="1:6">
      <c r="A59" s="5"/>
      <c r="B59" s="72" t="s">
        <v>1234</v>
      </c>
      <c r="C59" s="73">
        <v>35</v>
      </c>
      <c r="D59" s="74">
        <v>0</v>
      </c>
      <c r="E59" s="74">
        <v>577.77</v>
      </c>
      <c r="F59" s="74">
        <f t="shared" si="1"/>
        <v>577.77</v>
      </c>
    </row>
    <row r="60" spans="1:6">
      <c r="A60" s="5"/>
      <c r="B60" s="72" t="s">
        <v>1239</v>
      </c>
      <c r="C60" s="73">
        <v>28</v>
      </c>
      <c r="D60" s="74">
        <v>150</v>
      </c>
      <c r="E60" s="74">
        <v>416.64</v>
      </c>
      <c r="F60" s="74">
        <f t="shared" si="1"/>
        <v>566.64</v>
      </c>
    </row>
    <row r="61" spans="1:6">
      <c r="A61" s="5"/>
      <c r="B61" s="72" t="s">
        <v>1256</v>
      </c>
      <c r="C61" s="73">
        <v>28</v>
      </c>
      <c r="D61" s="74">
        <v>200</v>
      </c>
      <c r="E61" s="74">
        <v>364.49</v>
      </c>
      <c r="F61" s="74">
        <f t="shared" si="1"/>
        <v>564.49</v>
      </c>
    </row>
    <row r="62" spans="1:6">
      <c r="A62" s="5"/>
      <c r="B62" s="72" t="s">
        <v>1286</v>
      </c>
      <c r="C62" s="73">
        <v>38</v>
      </c>
      <c r="D62" s="74">
        <v>0</v>
      </c>
      <c r="E62" s="74">
        <v>558.82000000000005</v>
      </c>
      <c r="F62" s="74">
        <f t="shared" si="1"/>
        <v>558.82000000000005</v>
      </c>
    </row>
    <row r="63" spans="1:6">
      <c r="A63" s="5"/>
      <c r="B63" s="72" t="s">
        <v>1261</v>
      </c>
      <c r="C63" s="73">
        <v>28</v>
      </c>
      <c r="D63" s="74">
        <v>250</v>
      </c>
      <c r="E63" s="74">
        <v>289.2</v>
      </c>
      <c r="F63" s="74">
        <f t="shared" si="1"/>
        <v>539.20000000000005</v>
      </c>
    </row>
    <row r="64" spans="1:6">
      <c r="A64" s="5"/>
      <c r="B64" s="72" t="s">
        <v>1255</v>
      </c>
      <c r="C64" s="73">
        <v>35</v>
      </c>
      <c r="D64" s="74">
        <v>0</v>
      </c>
      <c r="E64" s="74">
        <v>524.08000000000004</v>
      </c>
      <c r="F64" s="74">
        <f t="shared" si="1"/>
        <v>524.08000000000004</v>
      </c>
    </row>
    <row r="65" spans="1:6">
      <c r="A65" s="5"/>
      <c r="B65" s="72" t="s">
        <v>1274</v>
      </c>
      <c r="C65" s="73">
        <v>14</v>
      </c>
      <c r="D65" s="74">
        <v>300</v>
      </c>
      <c r="E65" s="74">
        <v>222.4</v>
      </c>
      <c r="F65" s="74">
        <f t="shared" si="1"/>
        <v>522.4</v>
      </c>
    </row>
    <row r="66" spans="1:6">
      <c r="A66" s="5"/>
      <c r="B66" s="72" t="s">
        <v>1277</v>
      </c>
      <c r="C66" s="73">
        <v>26</v>
      </c>
      <c r="D66" s="74">
        <v>20</v>
      </c>
      <c r="E66" s="74">
        <v>481.77</v>
      </c>
      <c r="F66" s="74">
        <f t="shared" si="1"/>
        <v>501.77</v>
      </c>
    </row>
    <row r="67" spans="1:6">
      <c r="A67" s="5"/>
      <c r="B67" s="72" t="s">
        <v>1241</v>
      </c>
      <c r="C67" s="73">
        <v>42</v>
      </c>
      <c r="D67" s="74">
        <v>0</v>
      </c>
      <c r="E67" s="74">
        <v>494.87</v>
      </c>
      <c r="F67" s="74">
        <f t="shared" si="1"/>
        <v>494.87</v>
      </c>
    </row>
    <row r="68" spans="1:6">
      <c r="A68" s="5"/>
      <c r="B68" s="72" t="s">
        <v>1170</v>
      </c>
      <c r="C68" s="73">
        <v>21</v>
      </c>
      <c r="D68" s="74">
        <v>150</v>
      </c>
      <c r="E68" s="74">
        <v>336.15</v>
      </c>
      <c r="F68" s="74">
        <f t="shared" si="1"/>
        <v>486.15</v>
      </c>
    </row>
    <row r="69" spans="1:6">
      <c r="A69" s="5"/>
      <c r="B69" s="72" t="s">
        <v>1293</v>
      </c>
      <c r="C69" s="73">
        <v>28</v>
      </c>
      <c r="D69" s="74">
        <v>0</v>
      </c>
      <c r="E69" s="74">
        <v>468.12</v>
      </c>
      <c r="F69" s="74">
        <f t="shared" si="1"/>
        <v>468.12</v>
      </c>
    </row>
    <row r="70" spans="1:6">
      <c r="A70" s="5"/>
      <c r="B70" s="72" t="s">
        <v>1287</v>
      </c>
      <c r="C70" s="73">
        <v>36</v>
      </c>
      <c r="D70" s="74">
        <v>100</v>
      </c>
      <c r="E70" s="74">
        <v>363.92</v>
      </c>
      <c r="F70" s="74">
        <f t="shared" si="1"/>
        <v>463.92</v>
      </c>
    </row>
    <row r="71" spans="1:6">
      <c r="A71" s="5"/>
      <c r="B71" s="72" t="s">
        <v>1257</v>
      </c>
      <c r="C71" s="73">
        <v>28</v>
      </c>
      <c r="D71" s="74">
        <v>0</v>
      </c>
      <c r="E71" s="74">
        <v>455.36</v>
      </c>
      <c r="F71" s="74">
        <f t="shared" si="1"/>
        <v>455.36</v>
      </c>
    </row>
    <row r="72" spans="1:6">
      <c r="A72" s="5"/>
      <c r="B72" s="72" t="s">
        <v>1264</v>
      </c>
      <c r="C72" s="73">
        <v>28</v>
      </c>
      <c r="D72" s="74">
        <v>0</v>
      </c>
      <c r="E72" s="74">
        <v>451.54</v>
      </c>
      <c r="F72" s="74">
        <f t="shared" si="1"/>
        <v>451.54</v>
      </c>
    </row>
    <row r="73" spans="1:6">
      <c r="A73" s="5"/>
      <c r="B73" s="72" t="s">
        <v>1245</v>
      </c>
      <c r="C73" s="73">
        <v>28</v>
      </c>
      <c r="D73" s="74">
        <v>0</v>
      </c>
      <c r="E73" s="74">
        <v>444.8</v>
      </c>
      <c r="F73" s="74">
        <f t="shared" si="1"/>
        <v>444.8</v>
      </c>
    </row>
    <row r="74" spans="1:6">
      <c r="A74" s="5"/>
      <c r="B74" s="72" t="s">
        <v>1254</v>
      </c>
      <c r="C74" s="73">
        <v>28</v>
      </c>
      <c r="D74" s="74">
        <v>0</v>
      </c>
      <c r="E74" s="74">
        <v>442.86</v>
      </c>
      <c r="F74" s="74">
        <f t="shared" si="1"/>
        <v>442.86</v>
      </c>
    </row>
    <row r="75" spans="1:6">
      <c r="A75" s="5"/>
      <c r="B75" s="72" t="s">
        <v>1247</v>
      </c>
      <c r="C75" s="73">
        <v>21</v>
      </c>
      <c r="D75" s="74">
        <v>0</v>
      </c>
      <c r="E75" s="74">
        <v>356.67</v>
      </c>
      <c r="F75" s="74">
        <f t="shared" si="1"/>
        <v>356.67</v>
      </c>
    </row>
    <row r="76" spans="1:6">
      <c r="A76" s="5"/>
      <c r="B76" s="72" t="s">
        <v>1279</v>
      </c>
      <c r="C76" s="73">
        <v>12</v>
      </c>
      <c r="D76" s="74">
        <v>150</v>
      </c>
      <c r="E76" s="74">
        <v>171.31</v>
      </c>
      <c r="F76" s="74">
        <f t="shared" si="1"/>
        <v>321.31</v>
      </c>
    </row>
    <row r="77" spans="1:6">
      <c r="A77" s="5"/>
      <c r="B77" s="72" t="s">
        <v>1302</v>
      </c>
      <c r="C77" s="73">
        <v>19</v>
      </c>
      <c r="D77" s="74">
        <v>0</v>
      </c>
      <c r="E77" s="74">
        <v>314.81</v>
      </c>
      <c r="F77" s="74">
        <f t="shared" ref="F77:F108" si="2">SUM(D77,E77)</f>
        <v>314.81</v>
      </c>
    </row>
    <row r="78" spans="1:6">
      <c r="A78" s="5"/>
      <c r="B78" s="72" t="s">
        <v>1309</v>
      </c>
      <c r="C78" s="73">
        <v>24</v>
      </c>
      <c r="D78" s="74">
        <v>0</v>
      </c>
      <c r="E78" s="74">
        <v>314.3</v>
      </c>
      <c r="F78" s="74">
        <f t="shared" si="2"/>
        <v>314.3</v>
      </c>
    </row>
    <row r="79" spans="1:6">
      <c r="A79" s="5"/>
      <c r="B79" s="72" t="s">
        <v>1240</v>
      </c>
      <c r="C79" s="73">
        <v>21</v>
      </c>
      <c r="D79" s="74">
        <v>0</v>
      </c>
      <c r="E79" s="74">
        <v>271.73</v>
      </c>
      <c r="F79" s="74">
        <f t="shared" si="2"/>
        <v>271.73</v>
      </c>
    </row>
    <row r="80" spans="1:6">
      <c r="A80" s="5"/>
      <c r="B80" s="72" t="s">
        <v>1280</v>
      </c>
      <c r="C80" s="73">
        <v>12</v>
      </c>
      <c r="D80" s="74">
        <v>100</v>
      </c>
      <c r="E80" s="74">
        <v>166.66</v>
      </c>
      <c r="F80" s="74">
        <f t="shared" si="2"/>
        <v>266.65999999999997</v>
      </c>
    </row>
    <row r="81" spans="1:6">
      <c r="A81" s="5"/>
      <c r="B81" s="72" t="s">
        <v>1233</v>
      </c>
      <c r="C81" s="73">
        <v>14</v>
      </c>
      <c r="D81" s="74">
        <v>0</v>
      </c>
      <c r="E81" s="74">
        <v>244.72</v>
      </c>
      <c r="F81" s="74">
        <f t="shared" si="2"/>
        <v>244.72</v>
      </c>
    </row>
    <row r="82" spans="1:6">
      <c r="A82" s="5"/>
      <c r="B82" s="72" t="s">
        <v>1242</v>
      </c>
      <c r="C82" s="73">
        <v>14</v>
      </c>
      <c r="D82" s="74">
        <v>0</v>
      </c>
      <c r="E82" s="74">
        <v>243.93</v>
      </c>
      <c r="F82" s="74">
        <f t="shared" si="2"/>
        <v>243.93</v>
      </c>
    </row>
    <row r="83" spans="1:6">
      <c r="A83" s="5"/>
      <c r="B83" s="72" t="s">
        <v>1250</v>
      </c>
      <c r="C83" s="73">
        <v>14</v>
      </c>
      <c r="D83" s="74">
        <v>100</v>
      </c>
      <c r="E83" s="74">
        <v>130.82</v>
      </c>
      <c r="F83" s="74">
        <f t="shared" si="2"/>
        <v>230.82</v>
      </c>
    </row>
    <row r="84" spans="1:6">
      <c r="A84" s="5"/>
      <c r="B84" s="72" t="s">
        <v>1271</v>
      </c>
      <c r="C84" s="73">
        <v>7</v>
      </c>
      <c r="D84" s="74">
        <v>95</v>
      </c>
      <c r="E84" s="74">
        <v>116.98</v>
      </c>
      <c r="F84" s="74">
        <f t="shared" si="2"/>
        <v>211.98000000000002</v>
      </c>
    </row>
    <row r="85" spans="1:6">
      <c r="A85" s="5"/>
      <c r="B85" s="72" t="s">
        <v>1270</v>
      </c>
      <c r="C85" s="73">
        <v>12</v>
      </c>
      <c r="D85" s="74">
        <v>100</v>
      </c>
      <c r="E85" s="74">
        <v>98.85</v>
      </c>
      <c r="F85" s="74">
        <f t="shared" si="2"/>
        <v>198.85</v>
      </c>
    </row>
    <row r="86" spans="1:6">
      <c r="A86" s="5"/>
      <c r="B86" s="72" t="s">
        <v>1284</v>
      </c>
      <c r="C86" s="73">
        <v>12</v>
      </c>
      <c r="D86" s="74">
        <v>0</v>
      </c>
      <c r="E86" s="74">
        <v>183.07</v>
      </c>
      <c r="F86" s="74">
        <f t="shared" si="2"/>
        <v>183.07</v>
      </c>
    </row>
    <row r="87" spans="1:6">
      <c r="A87" s="5"/>
      <c r="B87" s="72" t="s">
        <v>1283</v>
      </c>
      <c r="C87" s="73">
        <v>12</v>
      </c>
      <c r="D87" s="74">
        <v>0</v>
      </c>
      <c r="E87" s="74">
        <v>168.93</v>
      </c>
      <c r="F87" s="74">
        <f t="shared" si="2"/>
        <v>168.93</v>
      </c>
    </row>
    <row r="88" spans="1:6">
      <c r="A88" s="5"/>
      <c r="B88" s="72" t="s">
        <v>1275</v>
      </c>
      <c r="C88" s="73">
        <v>12</v>
      </c>
      <c r="D88" s="74">
        <v>0</v>
      </c>
      <c r="E88" s="74">
        <v>153</v>
      </c>
      <c r="F88" s="74">
        <f t="shared" si="2"/>
        <v>153</v>
      </c>
    </row>
    <row r="89" spans="1:6">
      <c r="A89" s="5"/>
      <c r="B89" s="72" t="s">
        <v>1296</v>
      </c>
      <c r="C89" s="73">
        <v>7</v>
      </c>
      <c r="D89" s="74">
        <v>0</v>
      </c>
      <c r="E89" s="74">
        <v>112.6</v>
      </c>
      <c r="F89" s="74">
        <f t="shared" si="2"/>
        <v>112.6</v>
      </c>
    </row>
    <row r="90" spans="1:6">
      <c r="A90" s="5"/>
      <c r="B90" s="72" t="s">
        <v>1292</v>
      </c>
      <c r="C90" s="73">
        <v>7</v>
      </c>
      <c r="D90" s="74">
        <v>0</v>
      </c>
      <c r="E90" s="74">
        <v>97.3</v>
      </c>
      <c r="F90" s="74">
        <f t="shared" si="2"/>
        <v>97.3</v>
      </c>
    </row>
    <row r="91" spans="1:6">
      <c r="A91" s="5"/>
      <c r="B91" s="72" t="s">
        <v>1298</v>
      </c>
      <c r="C91" s="73">
        <v>7</v>
      </c>
      <c r="D91" s="74">
        <v>0</v>
      </c>
      <c r="E91" s="74">
        <v>92.12</v>
      </c>
      <c r="F91" s="74">
        <f t="shared" si="2"/>
        <v>92.12</v>
      </c>
    </row>
    <row r="92" spans="1:6" ht="15" customHeight="1">
      <c r="A92" s="5"/>
      <c r="B92" s="80" t="s">
        <v>55</v>
      </c>
      <c r="C92" s="166">
        <f>SUM(C13:C91)</f>
        <v>6365</v>
      </c>
      <c r="D92" s="82">
        <f>SUM(D13:D91)</f>
        <v>20583.009999999998</v>
      </c>
      <c r="E92" s="82">
        <f>SUM(E13:E91)</f>
        <v>88394.200000000012</v>
      </c>
      <c r="F92" s="82">
        <f>SUM(F13:F91)</f>
        <v>108977.21</v>
      </c>
    </row>
    <row r="93" spans="1:6" ht="15" customHeight="1">
      <c r="A93" s="5"/>
      <c r="B93" s="83"/>
      <c r="C93" s="84"/>
      <c r="D93" s="85"/>
      <c r="E93" s="85"/>
      <c r="F93" s="85"/>
    </row>
    <row r="94" spans="1:6" ht="20.100000000000001" customHeight="1">
      <c r="A94" s="5"/>
      <c r="B94" s="181" t="s">
        <v>36</v>
      </c>
      <c r="C94" s="181"/>
      <c r="D94" s="181"/>
      <c r="E94" s="181"/>
      <c r="F94" s="181"/>
    </row>
    <row r="95" spans="1:6">
      <c r="A95" s="5"/>
      <c r="B95" s="181" t="s">
        <v>37</v>
      </c>
      <c r="C95" s="181"/>
      <c r="D95" s="181"/>
      <c r="E95" s="181"/>
      <c r="F95" s="181"/>
    </row>
  </sheetData>
  <mergeCells count="6">
    <mergeCell ref="B95:F95"/>
    <mergeCell ref="D1:E3"/>
    <mergeCell ref="B5:F5"/>
    <mergeCell ref="B6:F6"/>
    <mergeCell ref="B7:F7"/>
    <mergeCell ref="B94:F94"/>
  </mergeCells>
  <pageMargins left="0.118055555555556" right="0.1125" top="0.196527777777778" bottom="0.39374999999999999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topLeftCell="A6" zoomScale="90" zoomScaleNormal="90" workbookViewId="0">
      <selection activeCell="I15" sqref="I15"/>
    </sheetView>
  </sheetViews>
  <sheetFormatPr baseColWidth="10" defaultColWidth="11.85546875" defaultRowHeight="15"/>
  <cols>
    <col min="1" max="1" width="5.7109375" customWidth="1"/>
    <col min="2" max="2" width="43.7109375" customWidth="1"/>
    <col min="7" max="7" width="7" customWidth="1"/>
    <col min="8" max="61" width="11" customWidth="1"/>
  </cols>
  <sheetData>
    <row r="1" spans="1:8" ht="12.75" customHeight="1">
      <c r="D1" s="171" t="s">
        <v>0</v>
      </c>
      <c r="E1" s="171"/>
      <c r="F1" s="4" t="s">
        <v>1</v>
      </c>
    </row>
    <row r="2" spans="1:8" ht="12.75" customHeight="1">
      <c r="C2" s="6"/>
      <c r="D2" s="171"/>
      <c r="E2" s="171"/>
      <c r="F2" s="7" t="s">
        <v>2</v>
      </c>
    </row>
    <row r="3" spans="1:8" ht="17.25" customHeight="1">
      <c r="C3" s="6"/>
      <c r="D3" s="171"/>
      <c r="E3" s="171"/>
      <c r="F3" s="57"/>
    </row>
    <row r="4" spans="1:8" ht="13.5" customHeight="1">
      <c r="A4" s="58"/>
      <c r="C4" s="6"/>
      <c r="D4" s="59"/>
      <c r="E4" s="59"/>
      <c r="F4" s="60"/>
    </row>
    <row r="6" spans="1:8" s="86" customFormat="1" ht="19.899999999999999" customHeight="1">
      <c r="B6" s="173" t="s">
        <v>6</v>
      </c>
      <c r="C6" s="173"/>
      <c r="D6" s="173"/>
      <c r="E6" s="173"/>
      <c r="F6" s="173"/>
      <c r="H6" s="87"/>
    </row>
    <row r="7" spans="1:8" s="86" customFormat="1" ht="19.899999999999999" customHeight="1">
      <c r="B7" s="169" t="s">
        <v>1162</v>
      </c>
      <c r="C7" s="169"/>
      <c r="D7" s="169"/>
      <c r="E7" s="169"/>
      <c r="F7" s="169"/>
    </row>
    <row r="8" spans="1:8" s="86" customFormat="1" ht="19.899999999999999" customHeight="1">
      <c r="B8" s="169" t="s">
        <v>29</v>
      </c>
      <c r="C8" s="169"/>
      <c r="D8" s="169"/>
      <c r="E8" s="169"/>
      <c r="F8" s="169"/>
    </row>
    <row r="9" spans="1:8" ht="15.75">
      <c r="B9" s="70"/>
      <c r="C9" s="70"/>
      <c r="D9" s="70"/>
      <c r="E9" s="70"/>
      <c r="F9" s="70"/>
    </row>
    <row r="10" spans="1:8" ht="15.75">
      <c r="B10" s="39"/>
      <c r="C10" s="39"/>
      <c r="D10" s="39"/>
      <c r="E10" s="39"/>
      <c r="F10" s="39"/>
    </row>
    <row r="11" spans="1:8" ht="18">
      <c r="B11" s="62" t="s">
        <v>56</v>
      </c>
    </row>
    <row r="13" spans="1:8" ht="30" customHeight="1">
      <c r="A13" s="5"/>
      <c r="B13" s="88" t="s">
        <v>46</v>
      </c>
      <c r="C13" s="88" t="s">
        <v>47</v>
      </c>
      <c r="D13" s="88" t="s">
        <v>48</v>
      </c>
      <c r="E13" s="88" t="s">
        <v>49</v>
      </c>
      <c r="F13" s="88" t="s">
        <v>50</v>
      </c>
    </row>
    <row r="14" spans="1:8">
      <c r="A14" s="5"/>
      <c r="B14" s="66" t="s">
        <v>1314</v>
      </c>
      <c r="C14" s="66">
        <v>28</v>
      </c>
      <c r="D14" s="67">
        <v>1596</v>
      </c>
      <c r="E14" s="67">
        <v>598.41</v>
      </c>
      <c r="F14" s="68">
        <f t="shared" ref="F14:F31" si="0">SUM(D14:E14)</f>
        <v>2194.41</v>
      </c>
      <c r="H14" s="55"/>
    </row>
    <row r="15" spans="1:8">
      <c r="A15" s="5"/>
      <c r="B15" s="66" t="s">
        <v>1324</v>
      </c>
      <c r="C15" s="66">
        <v>112</v>
      </c>
      <c r="D15" s="67">
        <v>0</v>
      </c>
      <c r="E15" s="67">
        <v>1953.15</v>
      </c>
      <c r="F15" s="68">
        <f t="shared" si="0"/>
        <v>1953.15</v>
      </c>
      <c r="H15" s="55"/>
    </row>
    <row r="16" spans="1:8">
      <c r="A16" s="5"/>
      <c r="B16" s="66" t="s">
        <v>1322</v>
      </c>
      <c r="C16" s="66">
        <v>54</v>
      </c>
      <c r="D16" s="67">
        <v>820</v>
      </c>
      <c r="E16" s="67">
        <v>834.67</v>
      </c>
      <c r="F16" s="68">
        <f t="shared" si="0"/>
        <v>1654.67</v>
      </c>
      <c r="H16" s="55"/>
    </row>
    <row r="17" spans="1:8">
      <c r="A17" s="5"/>
      <c r="B17" s="66" t="s">
        <v>1313</v>
      </c>
      <c r="C17" s="66">
        <v>91</v>
      </c>
      <c r="D17" s="67">
        <v>0</v>
      </c>
      <c r="E17" s="67">
        <v>1636.93</v>
      </c>
      <c r="F17" s="68">
        <f t="shared" si="0"/>
        <v>1636.93</v>
      </c>
      <c r="H17" s="55"/>
    </row>
    <row r="18" spans="1:8">
      <c r="A18" s="5"/>
      <c r="B18" s="66" t="s">
        <v>1319</v>
      </c>
      <c r="C18" s="66">
        <v>98</v>
      </c>
      <c r="D18" s="67">
        <v>0</v>
      </c>
      <c r="E18" s="67">
        <v>1118.3399999999999</v>
      </c>
      <c r="F18" s="68">
        <f t="shared" si="0"/>
        <v>1118.3399999999999</v>
      </c>
      <c r="H18" s="55"/>
    </row>
    <row r="19" spans="1:8">
      <c r="A19" s="5"/>
      <c r="B19" s="66" t="s">
        <v>1321</v>
      </c>
      <c r="C19" s="66">
        <v>49</v>
      </c>
      <c r="D19" s="67">
        <v>90</v>
      </c>
      <c r="E19" s="67">
        <v>875.35</v>
      </c>
      <c r="F19" s="68">
        <f t="shared" si="0"/>
        <v>965.35</v>
      </c>
      <c r="H19" s="55"/>
    </row>
    <row r="20" spans="1:8">
      <c r="A20" s="5"/>
      <c r="B20" s="66" t="s">
        <v>1320</v>
      </c>
      <c r="C20" s="66">
        <v>49</v>
      </c>
      <c r="D20" s="67">
        <v>0</v>
      </c>
      <c r="E20" s="67">
        <v>857.45</v>
      </c>
      <c r="F20" s="68">
        <f t="shared" si="0"/>
        <v>857.45</v>
      </c>
      <c r="H20" s="55"/>
    </row>
    <row r="21" spans="1:8">
      <c r="A21" s="5"/>
      <c r="B21" s="66" t="s">
        <v>1310</v>
      </c>
      <c r="C21" s="66">
        <v>28</v>
      </c>
      <c r="D21" s="67">
        <v>240</v>
      </c>
      <c r="E21" s="67">
        <v>380.72</v>
      </c>
      <c r="F21" s="68">
        <f t="shared" si="0"/>
        <v>620.72</v>
      </c>
      <c r="H21" s="55"/>
    </row>
    <row r="22" spans="1:8">
      <c r="A22" s="5"/>
      <c r="B22" s="66" t="s">
        <v>1323</v>
      </c>
      <c r="C22" s="66">
        <v>21</v>
      </c>
      <c r="D22" s="67">
        <v>240</v>
      </c>
      <c r="E22" s="67">
        <v>323.88</v>
      </c>
      <c r="F22" s="68">
        <f t="shared" si="0"/>
        <v>563.88</v>
      </c>
      <c r="H22" s="55"/>
    </row>
    <row r="23" spans="1:8">
      <c r="A23" s="5"/>
      <c r="B23" s="66" t="s">
        <v>1312</v>
      </c>
      <c r="C23" s="66">
        <v>21</v>
      </c>
      <c r="D23" s="67">
        <v>0</v>
      </c>
      <c r="E23" s="67">
        <v>409.98</v>
      </c>
      <c r="F23" s="68">
        <f t="shared" si="0"/>
        <v>409.98</v>
      </c>
      <c r="H23" s="55"/>
    </row>
    <row r="24" spans="1:8">
      <c r="A24" s="5"/>
      <c r="B24" s="66" t="s">
        <v>1317</v>
      </c>
      <c r="C24" s="66">
        <v>42</v>
      </c>
      <c r="D24" s="67">
        <v>0</v>
      </c>
      <c r="E24" s="67">
        <v>405.84</v>
      </c>
      <c r="F24" s="68">
        <f t="shared" si="0"/>
        <v>405.84</v>
      </c>
      <c r="H24" s="55"/>
    </row>
    <row r="25" spans="1:8">
      <c r="A25" s="5"/>
      <c r="B25" s="66" t="s">
        <v>1311</v>
      </c>
      <c r="C25" s="66">
        <v>28</v>
      </c>
      <c r="D25" s="67">
        <v>0</v>
      </c>
      <c r="E25" s="67">
        <v>399.4</v>
      </c>
      <c r="F25" s="68">
        <f t="shared" si="0"/>
        <v>399.4</v>
      </c>
      <c r="H25" s="55"/>
    </row>
    <row r="26" spans="1:8">
      <c r="A26" s="5"/>
      <c r="B26" s="66" t="s">
        <v>1318</v>
      </c>
      <c r="C26" s="66">
        <v>14</v>
      </c>
      <c r="D26" s="67">
        <v>0</v>
      </c>
      <c r="E26" s="67">
        <v>325.2</v>
      </c>
      <c r="F26" s="68">
        <f t="shared" si="0"/>
        <v>325.2</v>
      </c>
      <c r="H26" s="55"/>
    </row>
    <row r="27" spans="1:8">
      <c r="A27" s="5"/>
      <c r="B27" s="66" t="s">
        <v>1316</v>
      </c>
      <c r="C27" s="66">
        <v>21</v>
      </c>
      <c r="D27" s="67">
        <v>0</v>
      </c>
      <c r="E27" s="67">
        <v>294.60000000000002</v>
      </c>
      <c r="F27" s="68">
        <f t="shared" si="0"/>
        <v>294.60000000000002</v>
      </c>
      <c r="H27" s="55"/>
    </row>
    <row r="28" spans="1:8">
      <c r="A28" s="5"/>
      <c r="B28" s="66" t="s">
        <v>1163</v>
      </c>
      <c r="C28" s="66">
        <v>7</v>
      </c>
      <c r="D28" s="67">
        <v>90</v>
      </c>
      <c r="E28" s="67">
        <v>104.69</v>
      </c>
      <c r="F28" s="68">
        <f t="shared" si="0"/>
        <v>194.69</v>
      </c>
      <c r="H28" s="55"/>
    </row>
    <row r="29" spans="1:8">
      <c r="A29" s="5"/>
      <c r="B29" s="66" t="s">
        <v>1325</v>
      </c>
      <c r="C29" s="66">
        <v>14</v>
      </c>
      <c r="D29" s="67">
        <v>0</v>
      </c>
      <c r="E29" s="67">
        <v>168.45</v>
      </c>
      <c r="F29" s="68">
        <f t="shared" si="0"/>
        <v>168.45</v>
      </c>
      <c r="H29" s="55"/>
    </row>
    <row r="30" spans="1:8">
      <c r="A30" s="5"/>
      <c r="B30" s="66" t="s">
        <v>1315</v>
      </c>
      <c r="C30" s="66">
        <v>7</v>
      </c>
      <c r="D30" s="67">
        <v>0</v>
      </c>
      <c r="E30" s="67">
        <v>109.89</v>
      </c>
      <c r="F30" s="68">
        <f t="shared" si="0"/>
        <v>109.89</v>
      </c>
      <c r="H30" s="55"/>
    </row>
    <row r="31" spans="1:8">
      <c r="A31" s="5"/>
      <c r="B31" s="66" t="s">
        <v>1232</v>
      </c>
      <c r="C31" s="66">
        <v>7</v>
      </c>
      <c r="D31" s="67">
        <v>0</v>
      </c>
      <c r="E31" s="67">
        <v>60.96</v>
      </c>
      <c r="F31" s="68">
        <f t="shared" si="0"/>
        <v>60.96</v>
      </c>
      <c r="H31" s="55"/>
    </row>
    <row r="32" spans="1:8" ht="15" customHeight="1">
      <c r="A32" s="5"/>
      <c r="B32" s="88" t="s">
        <v>57</v>
      </c>
      <c r="C32" s="89">
        <f>SUM(C14:C31)</f>
        <v>691</v>
      </c>
      <c r="D32" s="90">
        <f>SUM(D14:D31)</f>
        <v>3076</v>
      </c>
      <c r="E32" s="90">
        <f>SUM(E14:E31)</f>
        <v>10857.91</v>
      </c>
      <c r="F32" s="90">
        <f>SUM(F14:F31)</f>
        <v>13933.91</v>
      </c>
    </row>
    <row r="33" spans="1:6">
      <c r="D33" s="43"/>
      <c r="E33" s="43"/>
    </row>
    <row r="34" spans="1:6">
      <c r="D34" s="43"/>
      <c r="E34" s="43"/>
    </row>
    <row r="36" spans="1:6" ht="18">
      <c r="B36" s="62" t="s">
        <v>58</v>
      </c>
    </row>
    <row r="38" spans="1:6" ht="38.25">
      <c r="A38" s="5"/>
      <c r="B38" s="91" t="s">
        <v>46</v>
      </c>
      <c r="C38" s="91" t="s">
        <v>47</v>
      </c>
      <c r="D38" s="91" t="s">
        <v>48</v>
      </c>
      <c r="E38" s="91" t="s">
        <v>49</v>
      </c>
      <c r="F38" s="91" t="s">
        <v>50</v>
      </c>
    </row>
    <row r="39" spans="1:6">
      <c r="A39" s="5"/>
      <c r="B39" s="66" t="s">
        <v>1326</v>
      </c>
      <c r="C39" s="66">
        <v>58</v>
      </c>
      <c r="D39" s="67">
        <v>0</v>
      </c>
      <c r="E39" s="67">
        <v>966.52</v>
      </c>
      <c r="F39" s="68">
        <f>SUM(D39:E39)</f>
        <v>966.52</v>
      </c>
    </row>
    <row r="40" spans="1:6">
      <c r="A40" s="5"/>
      <c r="B40" s="66" t="s">
        <v>59</v>
      </c>
      <c r="C40" s="66">
        <v>23</v>
      </c>
      <c r="D40" s="67">
        <v>0</v>
      </c>
      <c r="E40" s="67">
        <v>461.54</v>
      </c>
      <c r="F40" s="68">
        <f>SUM(D40:E40)</f>
        <v>461.54</v>
      </c>
    </row>
    <row r="41" spans="1:6">
      <c r="A41" s="5"/>
      <c r="B41" s="66" t="s">
        <v>1152</v>
      </c>
      <c r="C41" s="66">
        <v>2</v>
      </c>
      <c r="D41" s="67">
        <v>0</v>
      </c>
      <c r="E41" s="67">
        <v>43.67</v>
      </c>
      <c r="F41" s="68">
        <f>SUM(D41:E41)</f>
        <v>43.67</v>
      </c>
    </row>
    <row r="42" spans="1:6" ht="15" customHeight="1">
      <c r="A42" s="5"/>
      <c r="B42" s="92" t="s">
        <v>60</v>
      </c>
      <c r="C42" s="93">
        <f>SUM(C39:C41)</f>
        <v>83</v>
      </c>
      <c r="D42" s="94">
        <f>SUM(D39:D41)</f>
        <v>0</v>
      </c>
      <c r="E42" s="94">
        <f>SUM(E39:E41)</f>
        <v>1471.73</v>
      </c>
      <c r="F42" s="94">
        <f>SUM(F39:F41)</f>
        <v>1471.73</v>
      </c>
    </row>
    <row r="43" spans="1:6">
      <c r="A43" s="5"/>
      <c r="B43" s="5"/>
      <c r="C43" s="5"/>
      <c r="D43" s="5"/>
      <c r="E43" s="5"/>
      <c r="F43" s="5"/>
    </row>
    <row r="44" spans="1:6">
      <c r="A44" s="5"/>
      <c r="B44" s="55"/>
      <c r="C44" s="5"/>
      <c r="D44" s="5"/>
      <c r="E44" s="5"/>
      <c r="F44" s="5"/>
    </row>
    <row r="45" spans="1:6">
      <c r="A45" s="5"/>
      <c r="B45" s="55" t="s">
        <v>36</v>
      </c>
      <c r="C45" s="5"/>
      <c r="D45" s="5"/>
      <c r="E45" s="5"/>
      <c r="F45" s="5"/>
    </row>
    <row r="46" spans="1:6">
      <c r="A46" s="5"/>
      <c r="B46" s="55" t="s">
        <v>37</v>
      </c>
      <c r="C46" s="5"/>
      <c r="D46" s="5"/>
      <c r="E46" s="5"/>
      <c r="F46" s="5"/>
    </row>
  </sheetData>
  <sortState xmlns:xlrd2="http://schemas.microsoft.com/office/spreadsheetml/2017/richdata2" ref="B14:F31">
    <sortCondition descending="1" ref="F14:F31"/>
  </sortState>
  <mergeCells count="4">
    <mergeCell ref="D1:E3"/>
    <mergeCell ref="B6:F6"/>
    <mergeCell ref="B7:F7"/>
    <mergeCell ref="B8:F8"/>
  </mergeCells>
  <pageMargins left="0.118055555555556" right="0.118055555555556" top="0.196527777777778" bottom="0.98402777777777795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3"/>
  <sheetViews>
    <sheetView zoomScale="90" zoomScaleNormal="90" workbookViewId="0">
      <selection activeCell="J100" sqref="J100"/>
    </sheetView>
  </sheetViews>
  <sheetFormatPr baseColWidth="10" defaultColWidth="11.85546875" defaultRowHeight="15"/>
  <cols>
    <col min="1" max="1" width="5.7109375" customWidth="1"/>
    <col min="2" max="2" width="43.7109375" customWidth="1"/>
    <col min="5" max="5" width="12.42578125" customWidth="1"/>
    <col min="6" max="6" width="12.5703125" customWidth="1"/>
    <col min="7" max="7" width="7" customWidth="1"/>
    <col min="8" max="248" width="11" customWidth="1"/>
  </cols>
  <sheetData>
    <row r="1" spans="1:8" ht="12.75" customHeight="1">
      <c r="D1" s="171" t="s">
        <v>0</v>
      </c>
      <c r="E1" s="171"/>
      <c r="F1" s="4" t="s">
        <v>1</v>
      </c>
    </row>
    <row r="2" spans="1:8" ht="12.75" customHeight="1">
      <c r="C2" s="6"/>
      <c r="D2" s="171"/>
      <c r="E2" s="171"/>
      <c r="F2" s="7" t="s">
        <v>2</v>
      </c>
    </row>
    <row r="3" spans="1:8" ht="17.25" customHeight="1">
      <c r="C3" s="6"/>
      <c r="D3" s="171"/>
      <c r="E3" s="171"/>
      <c r="F3" s="57"/>
    </row>
    <row r="4" spans="1:8" ht="17.25" customHeight="1">
      <c r="C4" s="6"/>
      <c r="D4" s="3"/>
      <c r="E4" s="3"/>
      <c r="F4" s="57"/>
    </row>
    <row r="5" spans="1:8" s="86" customFormat="1" ht="19.899999999999999" customHeight="1">
      <c r="B5" s="173" t="s">
        <v>6</v>
      </c>
      <c r="C5" s="173"/>
      <c r="D5" s="173"/>
      <c r="E5" s="173"/>
      <c r="F5" s="173"/>
    </row>
    <row r="6" spans="1:8" s="86" customFormat="1" ht="19.899999999999999" customHeight="1">
      <c r="B6" s="169" t="s">
        <v>1162</v>
      </c>
      <c r="C6" s="169"/>
      <c r="D6" s="169"/>
      <c r="E6" s="169"/>
      <c r="F6" s="169"/>
    </row>
    <row r="7" spans="1:8" s="86" customFormat="1" ht="19.899999999999999" customHeight="1">
      <c r="B7" s="169" t="s">
        <v>29</v>
      </c>
      <c r="C7" s="169"/>
      <c r="D7" s="169"/>
      <c r="E7" s="169"/>
      <c r="F7" s="169"/>
    </row>
    <row r="8" spans="1:8" s="86" customFormat="1" ht="19.899999999999999" customHeight="1">
      <c r="B8" s="2"/>
      <c r="C8" s="2"/>
      <c r="D8" s="2"/>
      <c r="E8" s="2"/>
      <c r="F8" s="2"/>
    </row>
    <row r="9" spans="1:8" ht="9" customHeight="1">
      <c r="B9" s="70"/>
      <c r="C9" s="70"/>
      <c r="D9" s="70"/>
      <c r="E9" s="70"/>
      <c r="F9" s="70"/>
    </row>
    <row r="10" spans="1:8" ht="18">
      <c r="B10" s="62" t="s">
        <v>45</v>
      </c>
    </row>
    <row r="11" spans="1:8" s="95" customFormat="1" ht="7.5" customHeight="1">
      <c r="B11" s="96"/>
    </row>
    <row r="12" spans="1:8" ht="38.25">
      <c r="A12" s="5"/>
      <c r="B12" s="64" t="s">
        <v>61</v>
      </c>
      <c r="C12" s="64" t="s">
        <v>47</v>
      </c>
      <c r="D12" s="64" t="s">
        <v>48</v>
      </c>
      <c r="E12" s="64" t="s">
        <v>49</v>
      </c>
      <c r="F12" s="64" t="s">
        <v>50</v>
      </c>
    </row>
    <row r="13" spans="1:8">
      <c r="A13" s="5"/>
      <c r="B13" s="66" t="s">
        <v>1333</v>
      </c>
      <c r="C13" s="111">
        <v>157.5</v>
      </c>
      <c r="D13" s="67">
        <v>0</v>
      </c>
      <c r="E13" s="67">
        <v>2311.66</v>
      </c>
      <c r="F13" s="68">
        <f t="shared" ref="F13:F21" si="0">SUM(D13:E13)</f>
        <v>2311.66</v>
      </c>
    </row>
    <row r="14" spans="1:8">
      <c r="A14" s="5"/>
      <c r="B14" s="66" t="s">
        <v>1328</v>
      </c>
      <c r="C14" s="97">
        <v>21</v>
      </c>
      <c r="D14" s="67">
        <v>0</v>
      </c>
      <c r="E14" s="67">
        <v>664.83</v>
      </c>
      <c r="F14" s="68">
        <f t="shared" si="0"/>
        <v>664.83</v>
      </c>
      <c r="H14" t="s">
        <v>1337</v>
      </c>
    </row>
    <row r="15" spans="1:8">
      <c r="A15" s="5"/>
      <c r="B15" s="66" t="s">
        <v>1329</v>
      </c>
      <c r="C15" s="97">
        <v>28</v>
      </c>
      <c r="D15" s="67">
        <v>90</v>
      </c>
      <c r="E15" s="67">
        <v>565.62</v>
      </c>
      <c r="F15" s="68">
        <f t="shared" si="0"/>
        <v>655.62</v>
      </c>
    </row>
    <row r="16" spans="1:8">
      <c r="A16" s="5"/>
      <c r="B16" s="66" t="s">
        <v>1334</v>
      </c>
      <c r="C16" s="97">
        <v>42</v>
      </c>
      <c r="D16" s="67">
        <v>0</v>
      </c>
      <c r="E16" s="67">
        <v>635.28</v>
      </c>
      <c r="F16" s="68">
        <f t="shared" si="0"/>
        <v>635.28</v>
      </c>
    </row>
    <row r="17" spans="1:7">
      <c r="A17" s="5"/>
      <c r="B17" s="66" t="s">
        <v>1335</v>
      </c>
      <c r="C17" s="97">
        <v>44</v>
      </c>
      <c r="D17" s="67">
        <v>0</v>
      </c>
      <c r="E17" s="67">
        <v>617.07000000000005</v>
      </c>
      <c r="F17" s="68">
        <f t="shared" si="0"/>
        <v>617.07000000000005</v>
      </c>
    </row>
    <row r="18" spans="1:7">
      <c r="A18" s="5"/>
      <c r="B18" s="66" t="s">
        <v>1331</v>
      </c>
      <c r="C18" s="97">
        <v>21</v>
      </c>
      <c r="D18" s="67">
        <v>90</v>
      </c>
      <c r="E18" s="67">
        <v>424.05</v>
      </c>
      <c r="F18" s="68">
        <f t="shared" si="0"/>
        <v>514.04999999999995</v>
      </c>
    </row>
    <row r="19" spans="1:7">
      <c r="A19" s="5"/>
      <c r="B19" s="66" t="s">
        <v>1330</v>
      </c>
      <c r="C19" s="97">
        <v>14</v>
      </c>
      <c r="D19" s="67">
        <v>240</v>
      </c>
      <c r="E19" s="67">
        <v>264.16000000000003</v>
      </c>
      <c r="F19" s="68">
        <f t="shared" si="0"/>
        <v>504.16</v>
      </c>
    </row>
    <row r="20" spans="1:7">
      <c r="A20" s="5"/>
      <c r="B20" s="66" t="s">
        <v>1327</v>
      </c>
      <c r="C20" s="97">
        <v>14</v>
      </c>
      <c r="D20" s="67">
        <v>0</v>
      </c>
      <c r="E20" s="67">
        <v>222.4</v>
      </c>
      <c r="F20" s="68">
        <f t="shared" si="0"/>
        <v>222.4</v>
      </c>
    </row>
    <row r="21" spans="1:7">
      <c r="A21" s="5"/>
      <c r="B21" s="66" t="s">
        <v>1332</v>
      </c>
      <c r="C21" s="97">
        <v>21</v>
      </c>
      <c r="D21" s="67">
        <v>0</v>
      </c>
      <c r="E21" s="67">
        <v>217.98</v>
      </c>
      <c r="F21" s="68">
        <f t="shared" si="0"/>
        <v>217.98</v>
      </c>
    </row>
    <row r="22" spans="1:7" ht="15" customHeight="1">
      <c r="A22" s="5"/>
      <c r="B22" s="64" t="s">
        <v>51</v>
      </c>
      <c r="C22" s="165">
        <f>SUM(C13:C21)</f>
        <v>362.5</v>
      </c>
      <c r="D22" s="98">
        <f>SUM(D13:D21)</f>
        <v>420</v>
      </c>
      <c r="E22" s="98">
        <f>SUM(E13:E21)</f>
        <v>5923.0499999999984</v>
      </c>
      <c r="F22" s="98">
        <f>SUM(F13:F21)</f>
        <v>6343.0499999999984</v>
      </c>
    </row>
    <row r="23" spans="1:7" ht="25.35" customHeight="1">
      <c r="B23" s="62" t="s">
        <v>52</v>
      </c>
    </row>
    <row r="24" spans="1:7" s="95" customFormat="1" ht="7.35" customHeight="1">
      <c r="B24" s="96"/>
    </row>
    <row r="25" spans="1:7" ht="38.25">
      <c r="A25" s="5"/>
      <c r="B25" s="71" t="s">
        <v>61</v>
      </c>
      <c r="C25" s="71" t="s">
        <v>47</v>
      </c>
      <c r="D25" s="71" t="s">
        <v>48</v>
      </c>
      <c r="E25" s="71" t="s">
        <v>49</v>
      </c>
      <c r="F25" s="71" t="s">
        <v>50</v>
      </c>
      <c r="G25" s="95"/>
    </row>
    <row r="26" spans="1:7">
      <c r="A26" s="5"/>
      <c r="B26" s="66" t="s">
        <v>1403</v>
      </c>
      <c r="C26" s="97">
        <v>987</v>
      </c>
      <c r="D26" s="67">
        <v>0</v>
      </c>
      <c r="E26" s="67">
        <v>29382.98</v>
      </c>
      <c r="F26" s="68">
        <f t="shared" ref="F26:F57" si="1">SUM(D26:E26)</f>
        <v>29382.98</v>
      </c>
      <c r="G26" s="95"/>
    </row>
    <row r="27" spans="1:7">
      <c r="A27" s="5"/>
      <c r="B27" s="66" t="s">
        <v>1402</v>
      </c>
      <c r="C27" s="97">
        <v>861</v>
      </c>
      <c r="D27" s="67">
        <v>200</v>
      </c>
      <c r="E27" s="67">
        <v>23322.73</v>
      </c>
      <c r="F27" s="68">
        <f t="shared" si="1"/>
        <v>23522.73</v>
      </c>
      <c r="G27" s="95"/>
    </row>
    <row r="28" spans="1:7">
      <c r="A28" s="5"/>
      <c r="B28" s="66" t="s">
        <v>1393</v>
      </c>
      <c r="C28" s="97">
        <v>931</v>
      </c>
      <c r="D28" s="67">
        <v>400</v>
      </c>
      <c r="E28" s="67">
        <v>19654.3</v>
      </c>
      <c r="F28" s="68">
        <f t="shared" si="1"/>
        <v>20054.3</v>
      </c>
      <c r="G28" s="95"/>
    </row>
    <row r="29" spans="1:7">
      <c r="A29" s="5"/>
      <c r="B29" s="66" t="s">
        <v>1395</v>
      </c>
      <c r="C29" s="97">
        <v>777</v>
      </c>
      <c r="D29" s="67">
        <v>50</v>
      </c>
      <c r="E29" s="67">
        <v>17771.3</v>
      </c>
      <c r="F29" s="68">
        <f t="shared" si="1"/>
        <v>17821.3</v>
      </c>
      <c r="G29" s="95"/>
    </row>
    <row r="30" spans="1:7">
      <c r="A30" s="5"/>
      <c r="B30" s="66" t="s">
        <v>1365</v>
      </c>
      <c r="C30" s="97">
        <v>854</v>
      </c>
      <c r="D30" s="67">
        <v>0</v>
      </c>
      <c r="E30" s="67">
        <v>17397.45</v>
      </c>
      <c r="F30" s="68">
        <f t="shared" si="1"/>
        <v>17397.45</v>
      </c>
      <c r="G30" s="95"/>
    </row>
    <row r="31" spans="1:7">
      <c r="A31" s="5"/>
      <c r="B31" s="66" t="s">
        <v>1388</v>
      </c>
      <c r="C31" s="97">
        <v>721</v>
      </c>
      <c r="D31" s="67">
        <v>0</v>
      </c>
      <c r="E31" s="67">
        <v>16432.73</v>
      </c>
      <c r="F31" s="68">
        <f t="shared" si="1"/>
        <v>16432.73</v>
      </c>
      <c r="G31" s="95"/>
    </row>
    <row r="32" spans="1:7">
      <c r="A32" s="5"/>
      <c r="B32" s="66" t="s">
        <v>1383</v>
      </c>
      <c r="C32" s="97">
        <v>670</v>
      </c>
      <c r="D32" s="67">
        <v>0</v>
      </c>
      <c r="E32" s="67">
        <v>15056.04</v>
      </c>
      <c r="F32" s="68">
        <f t="shared" si="1"/>
        <v>15056.04</v>
      </c>
      <c r="G32" s="95"/>
    </row>
    <row r="33" spans="1:7">
      <c r="A33" s="5"/>
      <c r="B33" s="66" t="s">
        <v>1363</v>
      </c>
      <c r="C33" s="97">
        <v>667</v>
      </c>
      <c r="D33" s="67">
        <v>383</v>
      </c>
      <c r="E33" s="67">
        <v>14478.79</v>
      </c>
      <c r="F33" s="68">
        <f t="shared" si="1"/>
        <v>14861.79</v>
      </c>
      <c r="G33" s="95"/>
    </row>
    <row r="34" spans="1:7">
      <c r="A34" s="5"/>
      <c r="B34" s="66" t="s">
        <v>1398</v>
      </c>
      <c r="C34" s="97">
        <v>616</v>
      </c>
      <c r="D34" s="67">
        <v>0</v>
      </c>
      <c r="E34" s="67">
        <v>13529.85</v>
      </c>
      <c r="F34" s="68">
        <f t="shared" si="1"/>
        <v>13529.85</v>
      </c>
      <c r="G34" s="95"/>
    </row>
    <row r="35" spans="1:7">
      <c r="A35" s="5"/>
      <c r="B35" s="66" t="s">
        <v>1387</v>
      </c>
      <c r="C35" s="97">
        <v>595</v>
      </c>
      <c r="D35" s="67">
        <v>0</v>
      </c>
      <c r="E35" s="67">
        <v>13496.64</v>
      </c>
      <c r="F35" s="68">
        <f t="shared" si="1"/>
        <v>13496.64</v>
      </c>
      <c r="G35" s="95"/>
    </row>
    <row r="36" spans="1:7">
      <c r="A36" s="5"/>
      <c r="B36" s="66" t="s">
        <v>1357</v>
      </c>
      <c r="C36" s="97">
        <v>497</v>
      </c>
      <c r="D36" s="67">
        <v>300</v>
      </c>
      <c r="E36" s="67">
        <v>11900.94</v>
      </c>
      <c r="F36" s="68">
        <f t="shared" si="1"/>
        <v>12200.94</v>
      </c>
      <c r="G36" s="95"/>
    </row>
    <row r="37" spans="1:7">
      <c r="A37" s="5"/>
      <c r="B37" s="66" t="s">
        <v>1389</v>
      </c>
      <c r="C37" s="97">
        <v>560</v>
      </c>
      <c r="D37" s="67">
        <v>100</v>
      </c>
      <c r="E37" s="67">
        <v>11589</v>
      </c>
      <c r="F37" s="68">
        <f t="shared" si="1"/>
        <v>11689</v>
      </c>
      <c r="G37" s="95"/>
    </row>
    <row r="38" spans="1:7">
      <c r="A38" s="5"/>
      <c r="B38" s="66" t="s">
        <v>1394</v>
      </c>
      <c r="C38" s="97">
        <v>504</v>
      </c>
      <c r="D38" s="67">
        <v>400</v>
      </c>
      <c r="E38" s="67">
        <v>10776.79</v>
      </c>
      <c r="F38" s="68">
        <f t="shared" si="1"/>
        <v>11176.79</v>
      </c>
      <c r="G38" s="95"/>
    </row>
    <row r="39" spans="1:7">
      <c r="A39" s="5"/>
      <c r="B39" s="66" t="s">
        <v>1361</v>
      </c>
      <c r="C39" s="97">
        <v>462</v>
      </c>
      <c r="D39" s="67">
        <v>468</v>
      </c>
      <c r="E39" s="67">
        <v>10200.99</v>
      </c>
      <c r="F39" s="68">
        <f t="shared" si="1"/>
        <v>10668.99</v>
      </c>
      <c r="G39" s="95"/>
    </row>
    <row r="40" spans="1:7">
      <c r="A40" s="5"/>
      <c r="B40" s="66" t="s">
        <v>1371</v>
      </c>
      <c r="C40" s="97">
        <v>497</v>
      </c>
      <c r="D40" s="67">
        <v>0</v>
      </c>
      <c r="E40" s="67">
        <v>10377.11</v>
      </c>
      <c r="F40" s="68">
        <f t="shared" si="1"/>
        <v>10377.11</v>
      </c>
      <c r="G40" s="95"/>
    </row>
    <row r="41" spans="1:7">
      <c r="A41" s="5"/>
      <c r="B41" s="66" t="s">
        <v>1380</v>
      </c>
      <c r="C41" s="97">
        <v>441</v>
      </c>
      <c r="D41" s="67">
        <v>100</v>
      </c>
      <c r="E41" s="67">
        <v>9847.7800000000007</v>
      </c>
      <c r="F41" s="68">
        <f t="shared" si="1"/>
        <v>9947.7800000000007</v>
      </c>
      <c r="G41" s="95"/>
    </row>
    <row r="42" spans="1:7">
      <c r="A42" s="5"/>
      <c r="B42" s="66" t="s">
        <v>1379</v>
      </c>
      <c r="C42" s="97">
        <v>455</v>
      </c>
      <c r="D42" s="67">
        <v>0</v>
      </c>
      <c r="E42" s="67">
        <v>9874.92</v>
      </c>
      <c r="F42" s="68">
        <f t="shared" si="1"/>
        <v>9874.92</v>
      </c>
      <c r="G42" s="95"/>
    </row>
    <row r="43" spans="1:7">
      <c r="A43" s="5"/>
      <c r="B43" s="66" t="s">
        <v>1392</v>
      </c>
      <c r="C43" s="97">
        <v>455</v>
      </c>
      <c r="D43" s="67">
        <v>0</v>
      </c>
      <c r="E43" s="67">
        <v>9862.1299999999992</v>
      </c>
      <c r="F43" s="68">
        <f t="shared" si="1"/>
        <v>9862.1299999999992</v>
      </c>
      <c r="G43" s="95"/>
    </row>
    <row r="44" spans="1:7">
      <c r="A44" s="5"/>
      <c r="B44" s="66" t="s">
        <v>1369</v>
      </c>
      <c r="C44" s="97">
        <v>448</v>
      </c>
      <c r="D44" s="67">
        <v>0</v>
      </c>
      <c r="E44" s="67">
        <v>9470.1200000000008</v>
      </c>
      <c r="F44" s="68">
        <f t="shared" si="1"/>
        <v>9470.1200000000008</v>
      </c>
      <c r="G44" s="95"/>
    </row>
    <row r="45" spans="1:7">
      <c r="A45" s="5"/>
      <c r="B45" s="66" t="s">
        <v>1370</v>
      </c>
      <c r="C45" s="97">
        <v>406</v>
      </c>
      <c r="D45" s="67">
        <v>0</v>
      </c>
      <c r="E45" s="67">
        <v>8676.2900000000009</v>
      </c>
      <c r="F45" s="68">
        <f t="shared" si="1"/>
        <v>8676.2900000000009</v>
      </c>
      <c r="G45" s="95"/>
    </row>
    <row r="46" spans="1:7">
      <c r="A46" s="5"/>
      <c r="B46" s="66" t="s">
        <v>1390</v>
      </c>
      <c r="C46" s="97">
        <v>343</v>
      </c>
      <c r="D46" s="67">
        <v>0</v>
      </c>
      <c r="E46" s="67">
        <v>8623.42</v>
      </c>
      <c r="F46" s="68">
        <f t="shared" si="1"/>
        <v>8623.42</v>
      </c>
      <c r="G46" s="95"/>
    </row>
    <row r="47" spans="1:7">
      <c r="A47" s="5"/>
      <c r="B47" s="66" t="s">
        <v>1384</v>
      </c>
      <c r="C47" s="97">
        <v>399</v>
      </c>
      <c r="D47" s="67">
        <v>0</v>
      </c>
      <c r="E47" s="67">
        <v>8544.1299999999992</v>
      </c>
      <c r="F47" s="68">
        <f t="shared" si="1"/>
        <v>8544.1299999999992</v>
      </c>
      <c r="G47" s="95"/>
    </row>
    <row r="48" spans="1:7">
      <c r="A48" s="5"/>
      <c r="B48" s="66" t="s">
        <v>1359</v>
      </c>
      <c r="C48" s="97">
        <v>378</v>
      </c>
      <c r="D48" s="67">
        <v>0</v>
      </c>
      <c r="E48" s="67">
        <v>8190.35</v>
      </c>
      <c r="F48" s="68">
        <f t="shared" si="1"/>
        <v>8190.35</v>
      </c>
      <c r="G48" s="95"/>
    </row>
    <row r="49" spans="1:7">
      <c r="A49" s="5"/>
      <c r="B49" s="66" t="s">
        <v>1396</v>
      </c>
      <c r="C49" s="97">
        <v>371</v>
      </c>
      <c r="D49" s="67">
        <v>0</v>
      </c>
      <c r="E49" s="67">
        <v>7743.28</v>
      </c>
      <c r="F49" s="68">
        <f t="shared" si="1"/>
        <v>7743.28</v>
      </c>
      <c r="G49" s="95"/>
    </row>
    <row r="50" spans="1:7">
      <c r="A50" s="5"/>
      <c r="B50" s="66" t="s">
        <v>1374</v>
      </c>
      <c r="C50" s="97">
        <v>343</v>
      </c>
      <c r="D50" s="67">
        <v>0</v>
      </c>
      <c r="E50" s="67">
        <v>7288.26</v>
      </c>
      <c r="F50" s="68">
        <f t="shared" si="1"/>
        <v>7288.26</v>
      </c>
      <c r="G50" s="95"/>
    </row>
    <row r="51" spans="1:7">
      <c r="A51" s="5"/>
      <c r="B51" s="66" t="s">
        <v>1382</v>
      </c>
      <c r="C51" s="97">
        <v>322</v>
      </c>
      <c r="D51" s="67">
        <v>100</v>
      </c>
      <c r="E51" s="67">
        <v>7091.51</v>
      </c>
      <c r="F51" s="68">
        <f t="shared" si="1"/>
        <v>7191.51</v>
      </c>
      <c r="G51" s="95"/>
    </row>
    <row r="52" spans="1:7">
      <c r="A52" s="5"/>
      <c r="B52" s="66" t="s">
        <v>1360</v>
      </c>
      <c r="C52" s="97">
        <v>301</v>
      </c>
      <c r="D52" s="67">
        <v>0</v>
      </c>
      <c r="E52" s="67">
        <v>6591.05</v>
      </c>
      <c r="F52" s="68">
        <f t="shared" si="1"/>
        <v>6591.05</v>
      </c>
      <c r="G52" s="95"/>
    </row>
    <row r="53" spans="1:7">
      <c r="A53" s="5"/>
      <c r="B53" s="66" t="s">
        <v>1399</v>
      </c>
      <c r="C53" s="97">
        <v>308</v>
      </c>
      <c r="D53" s="67">
        <v>0</v>
      </c>
      <c r="E53" s="67">
        <v>6511.53</v>
      </c>
      <c r="F53" s="68">
        <f t="shared" si="1"/>
        <v>6511.53</v>
      </c>
      <c r="G53" s="95"/>
    </row>
    <row r="54" spans="1:7">
      <c r="A54" s="5"/>
      <c r="B54" s="66" t="s">
        <v>1355</v>
      </c>
      <c r="C54" s="97">
        <v>245</v>
      </c>
      <c r="D54" s="67">
        <v>300</v>
      </c>
      <c r="E54" s="67">
        <v>5407.35</v>
      </c>
      <c r="F54" s="68">
        <f t="shared" si="1"/>
        <v>5707.35</v>
      </c>
      <c r="G54" s="95"/>
    </row>
    <row r="55" spans="1:7">
      <c r="A55" s="5"/>
      <c r="B55" s="66" t="s">
        <v>1385</v>
      </c>
      <c r="C55" s="97">
        <v>262</v>
      </c>
      <c r="D55" s="67">
        <v>0</v>
      </c>
      <c r="E55" s="67">
        <v>5436.91</v>
      </c>
      <c r="F55" s="68">
        <f t="shared" si="1"/>
        <v>5436.91</v>
      </c>
      <c r="G55" s="95"/>
    </row>
    <row r="56" spans="1:7">
      <c r="A56" s="5"/>
      <c r="B56" s="66" t="s">
        <v>1353</v>
      </c>
      <c r="C56" s="97">
        <v>238</v>
      </c>
      <c r="D56" s="67">
        <v>0</v>
      </c>
      <c r="E56" s="67">
        <v>5124.04</v>
      </c>
      <c r="F56" s="68">
        <f t="shared" si="1"/>
        <v>5124.04</v>
      </c>
      <c r="G56" s="95"/>
    </row>
    <row r="57" spans="1:7">
      <c r="A57" s="5"/>
      <c r="B57" s="66" t="s">
        <v>1404</v>
      </c>
      <c r="C57" s="97">
        <v>182</v>
      </c>
      <c r="D57" s="67">
        <v>700</v>
      </c>
      <c r="E57" s="67">
        <v>4263.3599999999997</v>
      </c>
      <c r="F57" s="68">
        <f t="shared" si="1"/>
        <v>4963.3599999999997</v>
      </c>
      <c r="G57" s="95"/>
    </row>
    <row r="58" spans="1:7">
      <c r="A58" s="5"/>
      <c r="B58" s="66" t="s">
        <v>1349</v>
      </c>
      <c r="C58" s="97">
        <v>189</v>
      </c>
      <c r="D58" s="67">
        <v>0</v>
      </c>
      <c r="E58" s="67">
        <v>4048.28</v>
      </c>
      <c r="F58" s="68">
        <f t="shared" ref="F58:F89" si="2">SUM(D58:E58)</f>
        <v>4048.28</v>
      </c>
      <c r="G58" s="95"/>
    </row>
    <row r="59" spans="1:7">
      <c r="A59" s="5"/>
      <c r="B59" s="66" t="s">
        <v>1351</v>
      </c>
      <c r="C59" s="97">
        <v>168</v>
      </c>
      <c r="D59" s="67">
        <v>0</v>
      </c>
      <c r="E59" s="67">
        <v>3956.52</v>
      </c>
      <c r="F59" s="68">
        <f t="shared" si="2"/>
        <v>3956.52</v>
      </c>
      <c r="G59" s="95"/>
    </row>
    <row r="60" spans="1:7">
      <c r="A60" s="5"/>
      <c r="B60" s="66" t="s">
        <v>1378</v>
      </c>
      <c r="C60" s="97">
        <v>182</v>
      </c>
      <c r="D60" s="67">
        <v>0</v>
      </c>
      <c r="E60" s="67">
        <v>3775.31</v>
      </c>
      <c r="F60" s="68">
        <f t="shared" si="2"/>
        <v>3775.31</v>
      </c>
      <c r="G60" s="95"/>
    </row>
    <row r="61" spans="1:7">
      <c r="A61" s="5"/>
      <c r="B61" s="66" t="s">
        <v>1366</v>
      </c>
      <c r="C61" s="97">
        <v>175</v>
      </c>
      <c r="D61" s="67">
        <v>200</v>
      </c>
      <c r="E61" s="67">
        <v>3572.63</v>
      </c>
      <c r="F61" s="68">
        <f t="shared" si="2"/>
        <v>3772.63</v>
      </c>
      <c r="G61" s="95"/>
    </row>
    <row r="62" spans="1:7">
      <c r="A62" s="5"/>
      <c r="B62" s="66" t="s">
        <v>1362</v>
      </c>
      <c r="C62" s="97">
        <v>161</v>
      </c>
      <c r="D62" s="67">
        <v>0</v>
      </c>
      <c r="E62" s="67">
        <v>3615.19</v>
      </c>
      <c r="F62" s="68">
        <f t="shared" si="2"/>
        <v>3615.19</v>
      </c>
      <c r="G62" s="95"/>
    </row>
    <row r="63" spans="1:7">
      <c r="A63" s="5"/>
      <c r="B63" s="66" t="s">
        <v>1408</v>
      </c>
      <c r="C63" s="97">
        <v>140</v>
      </c>
      <c r="D63" s="67">
        <v>0</v>
      </c>
      <c r="E63" s="67">
        <v>3393.59</v>
      </c>
      <c r="F63" s="68">
        <f t="shared" si="2"/>
        <v>3393.59</v>
      </c>
      <c r="G63" s="95"/>
    </row>
    <row r="64" spans="1:7">
      <c r="A64" s="5"/>
      <c r="B64" s="66" t="s">
        <v>1391</v>
      </c>
      <c r="C64" s="97">
        <v>133</v>
      </c>
      <c r="D64" s="67">
        <v>0</v>
      </c>
      <c r="E64" s="67">
        <v>3099.53</v>
      </c>
      <c r="F64" s="68">
        <f t="shared" si="2"/>
        <v>3099.53</v>
      </c>
      <c r="G64" s="95"/>
    </row>
    <row r="65" spans="1:7">
      <c r="A65" s="5"/>
      <c r="B65" s="66" t="s">
        <v>1381</v>
      </c>
      <c r="C65" s="97">
        <v>133</v>
      </c>
      <c r="D65" s="67">
        <v>0</v>
      </c>
      <c r="E65" s="67">
        <v>2897.45</v>
      </c>
      <c r="F65" s="68">
        <f t="shared" si="2"/>
        <v>2897.45</v>
      </c>
      <c r="G65" s="95"/>
    </row>
    <row r="66" spans="1:7">
      <c r="A66" s="5"/>
      <c r="B66" s="66" t="s">
        <v>1397</v>
      </c>
      <c r="C66" s="97">
        <v>133</v>
      </c>
      <c r="D66" s="67">
        <v>0</v>
      </c>
      <c r="E66" s="67">
        <v>2774.19</v>
      </c>
      <c r="F66" s="68">
        <f t="shared" si="2"/>
        <v>2774.19</v>
      </c>
      <c r="G66" s="95"/>
    </row>
    <row r="67" spans="1:7">
      <c r="A67" s="5"/>
      <c r="B67" s="66" t="s">
        <v>1386</v>
      </c>
      <c r="C67" s="97">
        <v>112</v>
      </c>
      <c r="D67" s="67">
        <v>100</v>
      </c>
      <c r="E67" s="67">
        <v>2608.09</v>
      </c>
      <c r="F67" s="68">
        <f t="shared" si="2"/>
        <v>2708.09</v>
      </c>
      <c r="G67" s="95"/>
    </row>
    <row r="68" spans="1:7">
      <c r="A68" s="5"/>
      <c r="B68" s="66" t="s">
        <v>1376</v>
      </c>
      <c r="C68" s="97">
        <v>119</v>
      </c>
      <c r="D68" s="67">
        <v>0</v>
      </c>
      <c r="E68" s="67">
        <v>2572.1799999999998</v>
      </c>
      <c r="F68" s="68">
        <f t="shared" si="2"/>
        <v>2572.1799999999998</v>
      </c>
      <c r="G68" s="95"/>
    </row>
    <row r="69" spans="1:7">
      <c r="A69" s="5"/>
      <c r="B69" s="66" t="s">
        <v>1367</v>
      </c>
      <c r="C69" s="97">
        <v>119</v>
      </c>
      <c r="D69" s="67">
        <v>0</v>
      </c>
      <c r="E69" s="67">
        <v>2538.4699999999998</v>
      </c>
      <c r="F69" s="68">
        <f t="shared" si="2"/>
        <v>2538.4699999999998</v>
      </c>
      <c r="G69" s="95"/>
    </row>
    <row r="70" spans="1:7">
      <c r="A70" s="5"/>
      <c r="B70" s="66" t="s">
        <v>1358</v>
      </c>
      <c r="C70" s="97">
        <v>105</v>
      </c>
      <c r="D70" s="67">
        <v>0</v>
      </c>
      <c r="E70" s="67">
        <v>2362.48</v>
      </c>
      <c r="F70" s="68">
        <f t="shared" si="2"/>
        <v>2362.48</v>
      </c>
      <c r="G70" s="95"/>
    </row>
    <row r="71" spans="1:7">
      <c r="A71" s="5"/>
      <c r="B71" s="66" t="s">
        <v>1345</v>
      </c>
      <c r="C71" s="97">
        <v>56</v>
      </c>
      <c r="D71" s="67">
        <v>100</v>
      </c>
      <c r="E71" s="67">
        <v>1367.78</v>
      </c>
      <c r="F71" s="68">
        <f t="shared" si="2"/>
        <v>1467.78</v>
      </c>
      <c r="G71" s="95"/>
    </row>
    <row r="72" spans="1:7">
      <c r="A72" s="5"/>
      <c r="B72" s="66" t="s">
        <v>1406</v>
      </c>
      <c r="C72" s="97">
        <v>63</v>
      </c>
      <c r="D72" s="67">
        <v>190</v>
      </c>
      <c r="E72" s="67">
        <v>1271.43</v>
      </c>
      <c r="F72" s="68">
        <f t="shared" si="2"/>
        <v>1461.43</v>
      </c>
      <c r="G72" s="95"/>
    </row>
    <row r="73" spans="1:7">
      <c r="A73" s="5"/>
      <c r="B73" s="66" t="s">
        <v>1346</v>
      </c>
      <c r="C73" s="97">
        <v>56</v>
      </c>
      <c r="D73" s="67">
        <v>0</v>
      </c>
      <c r="E73" s="67">
        <v>1394.78</v>
      </c>
      <c r="F73" s="68">
        <f t="shared" si="2"/>
        <v>1394.78</v>
      </c>
      <c r="G73" s="95"/>
    </row>
    <row r="74" spans="1:7">
      <c r="A74" s="5"/>
      <c r="B74" s="66" t="s">
        <v>1373</v>
      </c>
      <c r="C74" s="97">
        <v>35</v>
      </c>
      <c r="D74" s="67">
        <v>0</v>
      </c>
      <c r="E74" s="67">
        <v>1241.94</v>
      </c>
      <c r="F74" s="68">
        <f t="shared" si="2"/>
        <v>1241.94</v>
      </c>
      <c r="G74" s="95"/>
    </row>
    <row r="75" spans="1:7">
      <c r="A75" s="5"/>
      <c r="B75" s="66" t="s">
        <v>1343</v>
      </c>
      <c r="C75" s="97">
        <v>49</v>
      </c>
      <c r="D75" s="67">
        <v>0</v>
      </c>
      <c r="E75" s="67">
        <v>1172.1099999999999</v>
      </c>
      <c r="F75" s="68">
        <f t="shared" si="2"/>
        <v>1172.1099999999999</v>
      </c>
      <c r="G75" s="95"/>
    </row>
    <row r="76" spans="1:7">
      <c r="A76" s="5"/>
      <c r="B76" s="66" t="s">
        <v>1342</v>
      </c>
      <c r="C76" s="97">
        <v>56</v>
      </c>
      <c r="D76" s="67">
        <v>0</v>
      </c>
      <c r="E76" s="67">
        <v>1117.6199999999999</v>
      </c>
      <c r="F76" s="68">
        <f t="shared" si="2"/>
        <v>1117.6199999999999</v>
      </c>
      <c r="G76" s="95"/>
    </row>
    <row r="77" spans="1:7">
      <c r="A77" s="5"/>
      <c r="B77" s="66" t="s">
        <v>1352</v>
      </c>
      <c r="C77" s="97">
        <v>28</v>
      </c>
      <c r="D77" s="67">
        <v>332</v>
      </c>
      <c r="E77" s="67">
        <v>747.56</v>
      </c>
      <c r="F77" s="68">
        <f t="shared" si="2"/>
        <v>1079.56</v>
      </c>
      <c r="G77" s="95"/>
    </row>
    <row r="78" spans="1:7">
      <c r="A78" s="5"/>
      <c r="B78" s="66" t="s">
        <v>1348</v>
      </c>
      <c r="C78" s="97">
        <v>42</v>
      </c>
      <c r="D78" s="67">
        <v>0</v>
      </c>
      <c r="E78" s="67">
        <v>1023</v>
      </c>
      <c r="F78" s="68">
        <f t="shared" si="2"/>
        <v>1023</v>
      </c>
      <c r="G78" s="95"/>
    </row>
    <row r="79" spans="1:7">
      <c r="A79" s="5"/>
      <c r="B79" s="66" t="s">
        <v>1364</v>
      </c>
      <c r="C79" s="97">
        <v>35</v>
      </c>
      <c r="D79" s="67">
        <v>100</v>
      </c>
      <c r="E79" s="67">
        <v>894.22</v>
      </c>
      <c r="F79" s="68">
        <f t="shared" si="2"/>
        <v>994.22</v>
      </c>
      <c r="G79" s="95"/>
    </row>
    <row r="80" spans="1:7">
      <c r="A80" s="5"/>
      <c r="B80" s="66" t="s">
        <v>1334</v>
      </c>
      <c r="C80" s="97">
        <v>49</v>
      </c>
      <c r="D80" s="67">
        <v>0</v>
      </c>
      <c r="E80" s="67">
        <v>936.35</v>
      </c>
      <c r="F80" s="68">
        <f t="shared" si="2"/>
        <v>936.35</v>
      </c>
      <c r="G80" s="95"/>
    </row>
    <row r="81" spans="1:7">
      <c r="A81" s="5"/>
      <c r="B81" s="66" t="s">
        <v>1354</v>
      </c>
      <c r="C81" s="97">
        <v>42</v>
      </c>
      <c r="D81" s="67">
        <v>0</v>
      </c>
      <c r="E81" s="67">
        <v>886.21</v>
      </c>
      <c r="F81" s="68">
        <f t="shared" si="2"/>
        <v>886.21</v>
      </c>
      <c r="G81" s="95"/>
    </row>
    <row r="82" spans="1:7">
      <c r="A82" s="5"/>
      <c r="B82" s="66" t="s">
        <v>1375</v>
      </c>
      <c r="C82" s="97">
        <v>42</v>
      </c>
      <c r="D82" s="67">
        <v>0</v>
      </c>
      <c r="E82" s="67">
        <v>802.08</v>
      </c>
      <c r="F82" s="68">
        <f t="shared" si="2"/>
        <v>802.08</v>
      </c>
      <c r="G82" s="95"/>
    </row>
    <row r="83" spans="1:7">
      <c r="A83" s="5"/>
      <c r="B83" s="66" t="s">
        <v>1347</v>
      </c>
      <c r="C83" s="97">
        <v>28</v>
      </c>
      <c r="D83" s="67">
        <v>0</v>
      </c>
      <c r="E83" s="67">
        <v>680.92</v>
      </c>
      <c r="F83" s="68">
        <f t="shared" si="2"/>
        <v>680.92</v>
      </c>
      <c r="G83" s="95"/>
    </row>
    <row r="84" spans="1:7">
      <c r="A84" s="5"/>
      <c r="B84" s="66" t="s">
        <v>1356</v>
      </c>
      <c r="C84" s="97">
        <v>28</v>
      </c>
      <c r="D84" s="67">
        <v>100</v>
      </c>
      <c r="E84" s="67">
        <v>539.52</v>
      </c>
      <c r="F84" s="68">
        <f t="shared" si="2"/>
        <v>639.52</v>
      </c>
      <c r="G84" s="95"/>
    </row>
    <row r="85" spans="1:7">
      <c r="A85" s="5"/>
      <c r="B85" s="66" t="s">
        <v>1377</v>
      </c>
      <c r="C85" s="97">
        <v>35</v>
      </c>
      <c r="D85" s="67">
        <v>0</v>
      </c>
      <c r="E85" s="67">
        <v>629.95000000000005</v>
      </c>
      <c r="F85" s="68">
        <f t="shared" si="2"/>
        <v>629.95000000000005</v>
      </c>
      <c r="G85" s="95"/>
    </row>
    <row r="86" spans="1:7">
      <c r="A86" s="5"/>
      <c r="B86" s="66" t="s">
        <v>1368</v>
      </c>
      <c r="C86" s="97">
        <v>28</v>
      </c>
      <c r="D86" s="67">
        <v>0</v>
      </c>
      <c r="E86" s="67">
        <v>546.36</v>
      </c>
      <c r="F86" s="68">
        <f t="shared" si="2"/>
        <v>546.36</v>
      </c>
      <c r="G86" s="95"/>
    </row>
    <row r="87" spans="1:7">
      <c r="A87" s="5"/>
      <c r="B87" s="66" t="s">
        <v>1332</v>
      </c>
      <c r="C87" s="97">
        <v>56</v>
      </c>
      <c r="D87" s="67">
        <v>0</v>
      </c>
      <c r="E87" s="67">
        <v>525.91</v>
      </c>
      <c r="F87" s="68">
        <f t="shared" si="2"/>
        <v>525.91</v>
      </c>
      <c r="G87" s="95"/>
    </row>
    <row r="88" spans="1:7">
      <c r="A88" s="5"/>
      <c r="B88" s="66" t="s">
        <v>1341</v>
      </c>
      <c r="C88" s="97">
        <v>21</v>
      </c>
      <c r="D88" s="67">
        <v>0</v>
      </c>
      <c r="E88" s="67">
        <v>500.96</v>
      </c>
      <c r="F88" s="68">
        <f t="shared" si="2"/>
        <v>500.96</v>
      </c>
      <c r="G88" s="95"/>
    </row>
    <row r="89" spans="1:7">
      <c r="A89" s="5"/>
      <c r="B89" s="66" t="s">
        <v>1401</v>
      </c>
      <c r="C89" s="97">
        <v>28</v>
      </c>
      <c r="D89" s="67">
        <v>0</v>
      </c>
      <c r="E89" s="67">
        <v>335.96</v>
      </c>
      <c r="F89" s="68">
        <f t="shared" si="2"/>
        <v>335.96</v>
      </c>
      <c r="G89" s="95"/>
    </row>
    <row r="90" spans="1:7">
      <c r="A90" s="5"/>
      <c r="B90" s="66" t="s">
        <v>1407</v>
      </c>
      <c r="C90" s="97">
        <v>21</v>
      </c>
      <c r="D90" s="67">
        <v>0</v>
      </c>
      <c r="E90" s="67">
        <v>328.53</v>
      </c>
      <c r="F90" s="68">
        <f t="shared" ref="F90:F121" si="3">SUM(D90:E90)</f>
        <v>328.53</v>
      </c>
      <c r="G90" s="95"/>
    </row>
    <row r="91" spans="1:7">
      <c r="A91" s="5"/>
      <c r="B91" s="66" t="s">
        <v>1350</v>
      </c>
      <c r="C91" s="97">
        <v>14</v>
      </c>
      <c r="D91" s="67">
        <v>0</v>
      </c>
      <c r="E91" s="67">
        <v>301.26</v>
      </c>
      <c r="F91" s="68">
        <f t="shared" si="3"/>
        <v>301.26</v>
      </c>
      <c r="G91" s="95"/>
    </row>
    <row r="92" spans="1:7">
      <c r="A92" s="5"/>
      <c r="B92" s="66" t="s">
        <v>1409</v>
      </c>
      <c r="C92" s="97">
        <v>14</v>
      </c>
      <c r="D92" s="67">
        <v>0</v>
      </c>
      <c r="E92" s="67">
        <v>289.04000000000002</v>
      </c>
      <c r="F92" s="68">
        <f t="shared" si="3"/>
        <v>289.04000000000002</v>
      </c>
      <c r="G92" s="95"/>
    </row>
    <row r="93" spans="1:7">
      <c r="A93" s="5"/>
      <c r="B93" s="66" t="s">
        <v>1400</v>
      </c>
      <c r="C93" s="97">
        <v>28</v>
      </c>
      <c r="D93" s="67">
        <v>0</v>
      </c>
      <c r="E93" s="67">
        <v>277.45999999999998</v>
      </c>
      <c r="F93" s="68">
        <f t="shared" si="3"/>
        <v>277.45999999999998</v>
      </c>
      <c r="G93" s="95"/>
    </row>
    <row r="94" spans="1:7">
      <c r="A94" s="5"/>
      <c r="B94" s="66" t="s">
        <v>1344</v>
      </c>
      <c r="C94" s="97">
        <v>21</v>
      </c>
      <c r="D94" s="67">
        <v>0</v>
      </c>
      <c r="E94" s="67">
        <v>238.32</v>
      </c>
      <c r="F94" s="68">
        <f t="shared" si="3"/>
        <v>238.32</v>
      </c>
      <c r="G94" s="95"/>
    </row>
    <row r="95" spans="1:7">
      <c r="A95" s="5"/>
      <c r="B95" s="66" t="s">
        <v>1405</v>
      </c>
      <c r="C95" s="97">
        <v>7</v>
      </c>
      <c r="D95" s="67">
        <v>0</v>
      </c>
      <c r="E95" s="67">
        <v>133.83000000000001</v>
      </c>
      <c r="F95" s="68">
        <f t="shared" si="3"/>
        <v>133.83000000000001</v>
      </c>
      <c r="G95" s="95"/>
    </row>
    <row r="96" spans="1:7">
      <c r="A96" s="5"/>
      <c r="B96" s="66" t="s">
        <v>1372</v>
      </c>
      <c r="C96" s="97">
        <v>7</v>
      </c>
      <c r="D96" s="67">
        <v>0</v>
      </c>
      <c r="E96" s="67">
        <v>133.18</v>
      </c>
      <c r="F96" s="68">
        <f t="shared" si="3"/>
        <v>133.18</v>
      </c>
      <c r="G96" s="95"/>
    </row>
    <row r="97" spans="1:7" ht="15" customHeight="1">
      <c r="A97" s="5"/>
      <c r="B97" s="71" t="s">
        <v>52</v>
      </c>
      <c r="C97" s="99">
        <f>SUM(C26:C96)</f>
        <v>18854</v>
      </c>
      <c r="D97" s="100">
        <f>SUM(D26:D96)</f>
        <v>4623</v>
      </c>
      <c r="E97" s="100">
        <f>SUM(E26:E96)</f>
        <v>423444.26000000013</v>
      </c>
      <c r="F97" s="100">
        <f>SUM(F26:F96)</f>
        <v>428067.26000000013</v>
      </c>
      <c r="G97" s="95"/>
    </row>
    <row r="98" spans="1:7" ht="25.35" customHeight="1">
      <c r="B98" s="62" t="s">
        <v>63</v>
      </c>
      <c r="G98" s="95"/>
    </row>
    <row r="99" spans="1:7" s="95" customFormat="1" ht="7.35" customHeight="1">
      <c r="B99" s="96"/>
    </row>
    <row r="100" spans="1:7" ht="38.25">
      <c r="A100" s="5"/>
      <c r="B100" s="101" t="s">
        <v>61</v>
      </c>
      <c r="C100" s="101" t="s">
        <v>47</v>
      </c>
      <c r="D100" s="101" t="s">
        <v>48</v>
      </c>
      <c r="E100" s="101" t="s">
        <v>49</v>
      </c>
      <c r="F100" s="101" t="s">
        <v>50</v>
      </c>
    </row>
    <row r="101" spans="1:7">
      <c r="A101" s="5"/>
      <c r="B101" s="66" t="s">
        <v>1338</v>
      </c>
      <c r="C101" s="97">
        <v>4548</v>
      </c>
      <c r="D101" s="67">
        <v>5575</v>
      </c>
      <c r="E101" s="67">
        <v>38229.54</v>
      </c>
      <c r="F101" s="68">
        <f>SUM(D101:E101)</f>
        <v>43804.54</v>
      </c>
    </row>
    <row r="102" spans="1:7">
      <c r="A102" s="5"/>
      <c r="B102" s="66" t="s">
        <v>1339</v>
      </c>
      <c r="C102" s="97">
        <v>300</v>
      </c>
      <c r="D102" s="67">
        <v>0</v>
      </c>
      <c r="E102" s="67">
        <v>2547.9499999999998</v>
      </c>
      <c r="F102" s="68">
        <f>SUM(D102:E102)</f>
        <v>2547.9499999999998</v>
      </c>
    </row>
    <row r="103" spans="1:7">
      <c r="A103" s="5"/>
      <c r="B103" s="66" t="s">
        <v>1340</v>
      </c>
      <c r="C103" s="97">
        <v>133</v>
      </c>
      <c r="D103" s="67">
        <v>400</v>
      </c>
      <c r="E103" s="67">
        <v>1091.03</v>
      </c>
      <c r="F103" s="68">
        <f>SUM(D103:E103)</f>
        <v>1491.03</v>
      </c>
    </row>
    <row r="104" spans="1:7">
      <c r="A104" s="5"/>
      <c r="B104" s="66" t="s">
        <v>1336</v>
      </c>
      <c r="C104" s="97">
        <v>49</v>
      </c>
      <c r="D104" s="67">
        <v>839.5</v>
      </c>
      <c r="E104" s="67">
        <v>381.53</v>
      </c>
      <c r="F104" s="68">
        <f>SUM(D104:E104)</f>
        <v>1221.03</v>
      </c>
    </row>
    <row r="105" spans="1:7" ht="15" customHeight="1">
      <c r="A105" s="5"/>
      <c r="B105" s="101" t="s">
        <v>63</v>
      </c>
      <c r="C105" s="102">
        <f>SUM(C101:C104)</f>
        <v>5030</v>
      </c>
      <c r="D105" s="103">
        <f>SUM(D101:D104)</f>
        <v>6814.5</v>
      </c>
      <c r="E105" s="103">
        <f>SUM(E101:E104)</f>
        <v>42250.049999999996</v>
      </c>
      <c r="F105" s="103">
        <f>SUM(F101:F104)</f>
        <v>49064.549999999996</v>
      </c>
    </row>
    <row r="106" spans="1:7" s="95" customFormat="1" ht="7.5" customHeight="1">
      <c r="A106" s="5"/>
      <c r="B106" s="104"/>
      <c r="C106" s="5"/>
      <c r="D106" s="5"/>
      <c r="E106" s="5"/>
      <c r="F106" s="5"/>
    </row>
    <row r="107" spans="1:7" ht="35.1" customHeight="1">
      <c r="A107" s="5"/>
      <c r="B107" s="182" t="s">
        <v>53</v>
      </c>
      <c r="C107" s="1" t="s">
        <v>47</v>
      </c>
      <c r="D107" s="1" t="s">
        <v>48</v>
      </c>
      <c r="E107" s="1" t="s">
        <v>49</v>
      </c>
      <c r="F107" s="1" t="s">
        <v>50</v>
      </c>
    </row>
    <row r="108" spans="1:7">
      <c r="A108" s="5"/>
      <c r="B108" s="182"/>
      <c r="C108" s="105">
        <f>SUM(C97,C105)</f>
        <v>23884</v>
      </c>
      <c r="D108" s="106">
        <f>SUM(D97,D105)</f>
        <v>11437.5</v>
      </c>
      <c r="E108" s="106">
        <f>SUM(E97,E105)</f>
        <v>465694.31000000011</v>
      </c>
      <c r="F108" s="106">
        <f>SUM(F97,F105)</f>
        <v>477131.81000000011</v>
      </c>
    </row>
    <row r="109" spans="1:7" ht="15.6" customHeight="1">
      <c r="A109" s="5"/>
      <c r="B109" s="55" t="s">
        <v>36</v>
      </c>
      <c r="C109" s="107"/>
      <c r="D109" s="107"/>
      <c r="E109" s="107"/>
      <c r="F109" s="107"/>
    </row>
    <row r="110" spans="1:7">
      <c r="A110" s="5"/>
      <c r="B110" s="55" t="s">
        <v>37</v>
      </c>
      <c r="C110" s="107"/>
      <c r="D110" s="107"/>
      <c r="E110" s="107"/>
      <c r="F110" s="107"/>
    </row>
    <row r="113" spans="4:6">
      <c r="D113" s="43"/>
      <c r="E113" s="43"/>
      <c r="F113" s="108"/>
    </row>
  </sheetData>
  <sortState xmlns:xlrd2="http://schemas.microsoft.com/office/spreadsheetml/2017/richdata2" ref="B101:F104">
    <sortCondition descending="1" ref="F101:F104"/>
  </sortState>
  <mergeCells count="5">
    <mergeCell ref="D1:E3"/>
    <mergeCell ref="B5:F5"/>
    <mergeCell ref="B6:F6"/>
    <mergeCell ref="B7:F7"/>
    <mergeCell ref="B107:B108"/>
  </mergeCells>
  <pageMargins left="0.118055555555556" right="0.196527777777778" top="0.196527777777778" bottom="0.45902777777777798" header="0.196527777777778" footer="0.51180555555555496"/>
  <pageSetup paperSize="9" scale="97" orientation="portrait" horizontalDpi="300" verticalDpi="300" r:id="rId1"/>
  <headerFooter>
    <oddHeader>&amp;R&amp;"Arial,Normal"&amp;10&amp;KffffffPágina &amp;P de 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zoomScale="90" zoomScaleNormal="90" workbookViewId="0">
      <selection activeCell="E15" sqref="E15"/>
    </sheetView>
  </sheetViews>
  <sheetFormatPr baseColWidth="10" defaultColWidth="11.85546875" defaultRowHeight="15"/>
  <cols>
    <col min="1" max="1" width="5.7109375" customWidth="1"/>
    <col min="2" max="2" width="43.7109375" customWidth="1"/>
    <col min="7" max="7" width="7" customWidth="1"/>
    <col min="8" max="60" width="11" customWidth="1"/>
  </cols>
  <sheetData>
    <row r="1" spans="1:6" ht="12.75" customHeight="1">
      <c r="D1" s="171" t="s">
        <v>0</v>
      </c>
      <c r="E1" s="171"/>
      <c r="F1" s="4" t="s">
        <v>1</v>
      </c>
    </row>
    <row r="2" spans="1:6" ht="12.75" customHeight="1">
      <c r="C2" s="6"/>
      <c r="D2" s="171"/>
      <c r="E2" s="171"/>
      <c r="F2" s="7" t="s">
        <v>2</v>
      </c>
    </row>
    <row r="3" spans="1:6" ht="17.25" customHeight="1">
      <c r="C3" s="6"/>
      <c r="D3" s="171"/>
      <c r="E3" s="171"/>
      <c r="F3" s="57"/>
    </row>
    <row r="4" spans="1:6" ht="13.5" customHeight="1">
      <c r="A4" s="58"/>
      <c r="C4" s="6"/>
      <c r="D4" s="59"/>
      <c r="E4" s="59"/>
      <c r="F4" s="60"/>
    </row>
    <row r="6" spans="1:6" s="86" customFormat="1" ht="19.899999999999999" customHeight="1">
      <c r="B6" s="173" t="s">
        <v>6</v>
      </c>
      <c r="C6" s="173"/>
      <c r="D6" s="173"/>
      <c r="E6" s="173"/>
      <c r="F6" s="173"/>
    </row>
    <row r="7" spans="1:6" s="86" customFormat="1" ht="19.899999999999999" customHeight="1">
      <c r="B7" s="169" t="s">
        <v>1162</v>
      </c>
      <c r="C7" s="169"/>
      <c r="D7" s="169"/>
      <c r="E7" s="169"/>
      <c r="F7" s="169"/>
    </row>
    <row r="8" spans="1:6" s="86" customFormat="1" ht="19.899999999999999" customHeight="1">
      <c r="B8" s="169" t="s">
        <v>29</v>
      </c>
      <c r="C8" s="169"/>
      <c r="D8" s="169"/>
      <c r="E8" s="169"/>
      <c r="F8" s="169"/>
    </row>
    <row r="9" spans="1:6" s="86" customFormat="1" ht="19.899999999999999" customHeight="1">
      <c r="B9" s="2"/>
      <c r="C9" s="2"/>
      <c r="D9" s="2"/>
      <c r="E9" s="2"/>
      <c r="F9" s="2"/>
    </row>
    <row r="10" spans="1:6" ht="15.75">
      <c r="B10" s="39"/>
      <c r="C10" s="39"/>
      <c r="D10" s="39"/>
      <c r="E10" s="39"/>
      <c r="F10" s="39"/>
    </row>
    <row r="11" spans="1:6" ht="18">
      <c r="B11" s="62" t="s">
        <v>54</v>
      </c>
    </row>
    <row r="13" spans="1:6" ht="38.25">
      <c r="B13" s="109" t="s">
        <v>64</v>
      </c>
      <c r="C13" s="110" t="s">
        <v>47</v>
      </c>
      <c r="D13" s="110" t="s">
        <v>48</v>
      </c>
      <c r="E13" s="110" t="s">
        <v>49</v>
      </c>
      <c r="F13" s="110" t="s">
        <v>50</v>
      </c>
    </row>
    <row r="14" spans="1:6">
      <c r="B14" s="66" t="s">
        <v>1327</v>
      </c>
      <c r="C14" s="97">
        <v>3916</v>
      </c>
      <c r="D14" s="67">
        <v>8792.41</v>
      </c>
      <c r="E14" s="67">
        <v>58821.74</v>
      </c>
      <c r="F14" s="68">
        <f t="shared" ref="F14:F30" si="0">SUM(D14:E14)</f>
        <v>67614.149999999994</v>
      </c>
    </row>
    <row r="15" spans="1:6">
      <c r="B15" s="66" t="s">
        <v>1419</v>
      </c>
      <c r="C15" s="97">
        <v>497</v>
      </c>
      <c r="D15" s="67">
        <v>845</v>
      </c>
      <c r="E15" s="67">
        <v>9116.48</v>
      </c>
      <c r="F15" s="68">
        <f t="shared" si="0"/>
        <v>9961.48</v>
      </c>
    </row>
    <row r="16" spans="1:6">
      <c r="B16" s="66" t="s">
        <v>1413</v>
      </c>
      <c r="C16" s="97">
        <v>629</v>
      </c>
      <c r="D16" s="67">
        <v>3813.88</v>
      </c>
      <c r="E16" s="67">
        <v>4010.2</v>
      </c>
      <c r="F16" s="68">
        <f t="shared" si="0"/>
        <v>7824.08</v>
      </c>
    </row>
    <row r="17" spans="2:6">
      <c r="B17" s="66" t="s">
        <v>1410</v>
      </c>
      <c r="C17" s="97">
        <v>352</v>
      </c>
      <c r="D17" s="67">
        <v>1920</v>
      </c>
      <c r="E17" s="67">
        <v>3208.55</v>
      </c>
      <c r="F17" s="68">
        <f t="shared" si="0"/>
        <v>5128.55</v>
      </c>
    </row>
    <row r="18" spans="2:6">
      <c r="B18" s="66" t="s">
        <v>1416</v>
      </c>
      <c r="C18" s="97">
        <v>168</v>
      </c>
      <c r="D18" s="67">
        <v>960</v>
      </c>
      <c r="E18" s="67">
        <v>2703.54</v>
      </c>
      <c r="F18" s="68">
        <f t="shared" si="0"/>
        <v>3663.54</v>
      </c>
    </row>
    <row r="19" spans="2:6">
      <c r="B19" s="66" t="s">
        <v>1414</v>
      </c>
      <c r="C19" s="97">
        <v>200</v>
      </c>
      <c r="D19" s="67">
        <v>530</v>
      </c>
      <c r="E19" s="67">
        <v>2803.6</v>
      </c>
      <c r="F19" s="68">
        <f t="shared" si="0"/>
        <v>3333.6</v>
      </c>
    </row>
    <row r="20" spans="2:6">
      <c r="B20" s="66" t="s">
        <v>1332</v>
      </c>
      <c r="C20" s="97">
        <v>176</v>
      </c>
      <c r="D20" s="67">
        <v>740</v>
      </c>
      <c r="E20" s="67">
        <v>1883.66</v>
      </c>
      <c r="F20" s="68">
        <f t="shared" si="0"/>
        <v>2623.66</v>
      </c>
    </row>
    <row r="21" spans="2:6">
      <c r="B21" s="66" t="s">
        <v>1412</v>
      </c>
      <c r="C21" s="97">
        <v>137</v>
      </c>
      <c r="D21" s="67">
        <v>515</v>
      </c>
      <c r="E21" s="67">
        <v>1973.33</v>
      </c>
      <c r="F21" s="68">
        <f t="shared" si="0"/>
        <v>2488.33</v>
      </c>
    </row>
    <row r="22" spans="2:6">
      <c r="B22" s="66" t="s">
        <v>1411</v>
      </c>
      <c r="C22" s="97">
        <v>0</v>
      </c>
      <c r="D22" s="67">
        <v>1596</v>
      </c>
      <c r="E22" s="67">
        <v>0</v>
      </c>
      <c r="F22" s="68">
        <f t="shared" si="0"/>
        <v>1596</v>
      </c>
    </row>
    <row r="23" spans="2:6">
      <c r="B23" s="66" t="s">
        <v>1424</v>
      </c>
      <c r="C23" s="97">
        <v>98</v>
      </c>
      <c r="D23" s="67">
        <v>320.72000000000003</v>
      </c>
      <c r="E23" s="67">
        <v>1236.08</v>
      </c>
      <c r="F23" s="68">
        <f t="shared" si="0"/>
        <v>1556.8</v>
      </c>
    </row>
    <row r="24" spans="2:6">
      <c r="B24" s="66" t="s">
        <v>1418</v>
      </c>
      <c r="C24" s="97">
        <v>49</v>
      </c>
      <c r="D24" s="67">
        <v>0</v>
      </c>
      <c r="E24" s="67">
        <v>972.12</v>
      </c>
      <c r="F24" s="68">
        <f t="shared" si="0"/>
        <v>972.12</v>
      </c>
    </row>
    <row r="25" spans="2:6">
      <c r="B25" s="66" t="s">
        <v>1420</v>
      </c>
      <c r="C25" s="97">
        <v>28</v>
      </c>
      <c r="D25" s="67">
        <v>250</v>
      </c>
      <c r="E25" s="67">
        <v>289.2</v>
      </c>
      <c r="F25" s="68">
        <f t="shared" si="0"/>
        <v>539.20000000000005</v>
      </c>
    </row>
    <row r="26" spans="2:6">
      <c r="B26" s="66" t="s">
        <v>1415</v>
      </c>
      <c r="C26" s="97">
        <v>28</v>
      </c>
      <c r="D26" s="67">
        <v>100</v>
      </c>
      <c r="E26" s="67">
        <v>347.9</v>
      </c>
      <c r="F26" s="68">
        <f t="shared" si="0"/>
        <v>447.9</v>
      </c>
    </row>
    <row r="27" spans="2:6">
      <c r="B27" s="66" t="s">
        <v>1417</v>
      </c>
      <c r="C27" s="97">
        <v>28</v>
      </c>
      <c r="D27" s="67">
        <v>0</v>
      </c>
      <c r="E27" s="67">
        <v>444.8</v>
      </c>
      <c r="F27" s="68">
        <f t="shared" si="0"/>
        <v>444.8</v>
      </c>
    </row>
    <row r="28" spans="2:6">
      <c r="B28" s="66" t="s">
        <v>1421</v>
      </c>
      <c r="C28" s="97">
        <v>21</v>
      </c>
      <c r="D28" s="67">
        <v>100</v>
      </c>
      <c r="E28" s="67">
        <v>223.56</v>
      </c>
      <c r="F28" s="68">
        <f t="shared" si="0"/>
        <v>323.56</v>
      </c>
    </row>
    <row r="29" spans="2:6">
      <c r="B29" s="66" t="s">
        <v>1423</v>
      </c>
      <c r="C29" s="97">
        <v>14</v>
      </c>
      <c r="D29" s="67">
        <v>100</v>
      </c>
      <c r="E29" s="67">
        <v>130.82</v>
      </c>
      <c r="F29" s="68">
        <f t="shared" si="0"/>
        <v>230.82</v>
      </c>
    </row>
    <row r="30" spans="2:6">
      <c r="B30" s="66" t="s">
        <v>1422</v>
      </c>
      <c r="C30" s="97">
        <v>24</v>
      </c>
      <c r="D30" s="67">
        <v>0</v>
      </c>
      <c r="E30" s="67">
        <v>228.62</v>
      </c>
      <c r="F30" s="68">
        <f t="shared" si="0"/>
        <v>228.62</v>
      </c>
    </row>
    <row r="31" spans="2:6" ht="15" customHeight="1">
      <c r="B31" s="109" t="s">
        <v>55</v>
      </c>
      <c r="C31" s="112">
        <f>SUM(C14:C30)</f>
        <v>6365</v>
      </c>
      <c r="D31" s="113">
        <f>SUM(D14:D30)</f>
        <v>20583.010000000002</v>
      </c>
      <c r="E31" s="113">
        <f>SUM(E14:E30)</f>
        <v>88394.2</v>
      </c>
      <c r="F31" s="113">
        <f>SUM(F14:F30)</f>
        <v>108977.20999999999</v>
      </c>
    </row>
    <row r="32" spans="2:6">
      <c r="D32" s="43"/>
      <c r="E32" s="43"/>
      <c r="F32" s="43"/>
    </row>
    <row r="33" spans="2:10">
      <c r="B33" s="55" t="s">
        <v>36</v>
      </c>
    </row>
    <row r="34" spans="2:10">
      <c r="B34" s="55" t="s">
        <v>37</v>
      </c>
    </row>
    <row r="37" spans="2:10">
      <c r="D37" s="43"/>
      <c r="E37" s="43"/>
      <c r="F37" s="43"/>
    </row>
    <row r="41" spans="2:10">
      <c r="H41" s="65"/>
      <c r="I41" s="115"/>
      <c r="J41" s="115"/>
    </row>
    <row r="42" spans="2:10">
      <c r="H42" s="65"/>
      <c r="I42" s="115"/>
      <c r="J42" s="115"/>
    </row>
    <row r="43" spans="2:10">
      <c r="H43" s="65"/>
      <c r="I43" s="115"/>
      <c r="J43" s="115"/>
    </row>
  </sheetData>
  <sortState xmlns:xlrd2="http://schemas.microsoft.com/office/spreadsheetml/2017/richdata2" ref="B14:F30">
    <sortCondition descending="1" ref="F14:F30"/>
  </sortState>
  <mergeCells count="4">
    <mergeCell ref="D1:E3"/>
    <mergeCell ref="B6:F6"/>
    <mergeCell ref="B7:F7"/>
    <mergeCell ref="B8:F8"/>
  </mergeCells>
  <pageMargins left="0.118055555555556" right="0.118055555555556" top="0.196527777777778" bottom="0.98402777777777795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6"/>
  <sheetViews>
    <sheetView topLeftCell="A9" zoomScale="90" zoomScaleNormal="90" workbookViewId="0">
      <selection activeCell="B38" sqref="B38"/>
    </sheetView>
  </sheetViews>
  <sheetFormatPr baseColWidth="10" defaultColWidth="11.85546875" defaultRowHeight="15"/>
  <cols>
    <col min="1" max="1" width="5.7109375" customWidth="1"/>
    <col min="2" max="2" width="43.7109375" customWidth="1"/>
    <col min="7" max="7" width="7" customWidth="1"/>
    <col min="8" max="10" width="11" customWidth="1"/>
    <col min="11" max="11" width="37.85546875" customWidth="1"/>
    <col min="12" max="64" width="11" customWidth="1"/>
  </cols>
  <sheetData>
    <row r="1" spans="1:20" ht="12.75" customHeight="1">
      <c r="D1" s="171" t="s">
        <v>0</v>
      </c>
      <c r="E1" s="171"/>
      <c r="F1" s="4" t="s">
        <v>1</v>
      </c>
    </row>
    <row r="2" spans="1:20" ht="12.75" customHeight="1">
      <c r="C2" s="6"/>
      <c r="D2" s="171"/>
      <c r="E2" s="171"/>
      <c r="F2" s="7" t="s">
        <v>2</v>
      </c>
    </row>
    <row r="3" spans="1:20" ht="17.25" customHeight="1">
      <c r="C3" s="6"/>
      <c r="D3" s="171"/>
      <c r="E3" s="171"/>
      <c r="F3" s="57"/>
    </row>
    <row r="4" spans="1:20" ht="17.25" customHeight="1">
      <c r="C4" s="6"/>
      <c r="D4" s="3"/>
      <c r="E4" s="3"/>
      <c r="F4" s="57"/>
    </row>
    <row r="5" spans="1:20" ht="13.5" customHeight="1">
      <c r="A5" s="58"/>
      <c r="C5" s="6"/>
      <c r="D5" s="59"/>
      <c r="E5" s="59"/>
      <c r="F5" s="60"/>
    </row>
    <row r="6" spans="1:20" s="86" customFormat="1" ht="19.899999999999999" customHeight="1">
      <c r="B6" s="173" t="s">
        <v>6</v>
      </c>
      <c r="C6" s="173"/>
      <c r="D6" s="173"/>
      <c r="E6" s="173"/>
      <c r="F6" s="173"/>
      <c r="H6" s="87"/>
      <c r="I6" s="87"/>
      <c r="J6" s="87"/>
      <c r="K6" s="87"/>
    </row>
    <row r="7" spans="1:20" s="86" customFormat="1" ht="19.899999999999999" customHeight="1">
      <c r="B7" s="169" t="s">
        <v>1162</v>
      </c>
      <c r="C7" s="169"/>
      <c r="D7" s="169"/>
      <c r="E7" s="169"/>
      <c r="F7" s="169"/>
    </row>
    <row r="8" spans="1:20" s="86" customFormat="1" ht="19.899999999999999" customHeight="1">
      <c r="B8" s="169" t="s">
        <v>29</v>
      </c>
      <c r="C8" s="169"/>
      <c r="D8" s="169"/>
      <c r="E8" s="169"/>
      <c r="F8" s="169"/>
    </row>
    <row r="9" spans="1:20" ht="15.75">
      <c r="B9" s="2"/>
      <c r="C9" s="2"/>
      <c r="D9" s="2"/>
      <c r="E9" s="2"/>
      <c r="F9" s="2"/>
    </row>
    <row r="10" spans="1:20" ht="15.75">
      <c r="B10" s="39"/>
      <c r="C10" s="39"/>
      <c r="D10" s="39"/>
      <c r="E10" s="39"/>
      <c r="F10" s="39"/>
    </row>
    <row r="11" spans="1:20" ht="18">
      <c r="B11" s="62" t="s">
        <v>56</v>
      </c>
    </row>
    <row r="12" spans="1:20">
      <c r="I12" s="65"/>
      <c r="J12" s="116"/>
      <c r="K12" s="116"/>
    </row>
    <row r="13" spans="1:20" ht="38.25">
      <c r="B13" s="88" t="s">
        <v>64</v>
      </c>
      <c r="C13" s="88" t="s">
        <v>47</v>
      </c>
      <c r="D13" s="88" t="s">
        <v>48</v>
      </c>
      <c r="E13" s="88" t="s">
        <v>49</v>
      </c>
      <c r="F13" s="88" t="s">
        <v>50</v>
      </c>
      <c r="J13" s="116"/>
      <c r="K13" s="116"/>
    </row>
    <row r="14" spans="1:20">
      <c r="B14" s="66" t="s">
        <v>1425</v>
      </c>
      <c r="C14" s="66">
        <v>49</v>
      </c>
      <c r="D14" s="67">
        <v>1596</v>
      </c>
      <c r="E14" s="67">
        <v>1126.52</v>
      </c>
      <c r="F14" s="68">
        <f t="shared" ref="F14:F32" si="0">SUM(D14:E14)</f>
        <v>2722.52</v>
      </c>
      <c r="I14" s="117"/>
      <c r="S14" s="43"/>
      <c r="T14" s="43"/>
    </row>
    <row r="15" spans="1:20">
      <c r="B15" s="66" t="s">
        <v>1428</v>
      </c>
      <c r="C15" s="66">
        <v>112</v>
      </c>
      <c r="D15" s="67">
        <v>240</v>
      </c>
      <c r="E15" s="67">
        <v>1346.77</v>
      </c>
      <c r="F15" s="68">
        <f t="shared" si="0"/>
        <v>1586.77</v>
      </c>
      <c r="I15" s="117"/>
      <c r="S15" s="43"/>
      <c r="T15" s="43"/>
    </row>
    <row r="16" spans="1:20">
      <c r="B16" s="66" t="s">
        <v>1429</v>
      </c>
      <c r="C16" s="66">
        <v>77</v>
      </c>
      <c r="D16" s="67">
        <v>90</v>
      </c>
      <c r="E16" s="67">
        <v>1434.51</v>
      </c>
      <c r="F16" s="68">
        <f t="shared" si="0"/>
        <v>1524.51</v>
      </c>
      <c r="I16" s="117"/>
      <c r="S16" s="43"/>
      <c r="T16" s="43"/>
    </row>
    <row r="17" spans="2:20">
      <c r="B17" s="66" t="s">
        <v>1329</v>
      </c>
      <c r="C17" s="66">
        <v>51</v>
      </c>
      <c r="D17" s="67">
        <v>90</v>
      </c>
      <c r="E17" s="67">
        <v>967.42</v>
      </c>
      <c r="F17" s="68">
        <f t="shared" si="0"/>
        <v>1057.42</v>
      </c>
      <c r="I17" s="117"/>
      <c r="S17" s="43"/>
      <c r="T17" s="43"/>
    </row>
    <row r="18" spans="2:20">
      <c r="B18" s="66" t="s">
        <v>1400</v>
      </c>
      <c r="C18" s="66">
        <v>52</v>
      </c>
      <c r="D18" s="67">
        <v>490</v>
      </c>
      <c r="E18" s="67">
        <v>559.02</v>
      </c>
      <c r="F18" s="68">
        <f t="shared" si="0"/>
        <v>1049.02</v>
      </c>
      <c r="I18" s="117"/>
      <c r="S18" s="43"/>
      <c r="T18" s="43"/>
    </row>
    <row r="19" spans="2:20">
      <c r="B19" s="66" t="s">
        <v>1430</v>
      </c>
      <c r="C19" s="66">
        <v>49</v>
      </c>
      <c r="D19" s="67">
        <v>240</v>
      </c>
      <c r="E19" s="67">
        <v>689.08</v>
      </c>
      <c r="F19" s="68">
        <f t="shared" si="0"/>
        <v>929.08</v>
      </c>
      <c r="I19" s="117"/>
      <c r="S19" s="43"/>
      <c r="T19" s="43"/>
    </row>
    <row r="20" spans="2:20">
      <c r="B20" s="66" t="s">
        <v>1431</v>
      </c>
      <c r="C20" s="66">
        <v>35</v>
      </c>
      <c r="D20" s="67">
        <v>0</v>
      </c>
      <c r="E20" s="67">
        <v>890.71</v>
      </c>
      <c r="F20" s="68">
        <f t="shared" si="0"/>
        <v>890.71</v>
      </c>
      <c r="I20" s="117"/>
      <c r="S20" s="43"/>
      <c r="T20" s="43"/>
    </row>
    <row r="21" spans="2:20">
      <c r="B21" s="66" t="s">
        <v>1432</v>
      </c>
      <c r="C21" s="66">
        <v>28</v>
      </c>
      <c r="D21" s="67">
        <v>330</v>
      </c>
      <c r="E21" s="67">
        <v>469.2</v>
      </c>
      <c r="F21" s="68">
        <f t="shared" si="0"/>
        <v>799.2</v>
      </c>
      <c r="I21" s="117"/>
      <c r="S21" s="43"/>
      <c r="T21" s="43"/>
    </row>
    <row r="22" spans="2:20">
      <c r="B22" s="66" t="s">
        <v>1401</v>
      </c>
      <c r="C22" s="66">
        <v>28</v>
      </c>
      <c r="D22" s="67">
        <v>0</v>
      </c>
      <c r="E22" s="67">
        <v>514.46</v>
      </c>
      <c r="F22" s="68">
        <f t="shared" si="0"/>
        <v>514.46</v>
      </c>
      <c r="I22" s="117"/>
      <c r="S22" s="43"/>
      <c r="T22" s="43"/>
    </row>
    <row r="23" spans="2:20">
      <c r="B23" s="66" t="s">
        <v>1433</v>
      </c>
      <c r="C23" s="66">
        <v>21</v>
      </c>
      <c r="D23" s="67">
        <v>0</v>
      </c>
      <c r="E23" s="67">
        <v>409.98</v>
      </c>
      <c r="F23" s="68">
        <f t="shared" si="0"/>
        <v>409.98</v>
      </c>
      <c r="I23" s="117"/>
      <c r="S23" s="43"/>
      <c r="T23" s="43"/>
    </row>
    <row r="24" spans="2:20">
      <c r="B24" s="66" t="s">
        <v>1434</v>
      </c>
      <c r="C24" s="66">
        <v>28</v>
      </c>
      <c r="D24" s="67">
        <v>0</v>
      </c>
      <c r="E24" s="67">
        <v>399.4</v>
      </c>
      <c r="F24" s="68">
        <f t="shared" si="0"/>
        <v>399.4</v>
      </c>
      <c r="I24" s="117"/>
      <c r="S24" s="43"/>
      <c r="T24" s="43"/>
    </row>
    <row r="25" spans="2:20">
      <c r="B25" s="66" t="s">
        <v>1435</v>
      </c>
      <c r="C25" s="66">
        <v>28</v>
      </c>
      <c r="D25" s="67">
        <v>0</v>
      </c>
      <c r="E25" s="67">
        <v>363.69</v>
      </c>
      <c r="F25" s="68">
        <f t="shared" si="0"/>
        <v>363.69</v>
      </c>
      <c r="I25" s="117"/>
      <c r="S25" s="43"/>
      <c r="T25" s="43"/>
    </row>
    <row r="26" spans="2:20">
      <c r="B26" s="66" t="s">
        <v>1436</v>
      </c>
      <c r="C26" s="66">
        <v>21</v>
      </c>
      <c r="D26" s="67">
        <v>0</v>
      </c>
      <c r="E26" s="67">
        <v>356.16</v>
      </c>
      <c r="F26" s="68">
        <f t="shared" si="0"/>
        <v>356.16</v>
      </c>
      <c r="I26" s="117"/>
      <c r="S26" s="43"/>
      <c r="T26" s="43"/>
    </row>
    <row r="27" spans="2:20">
      <c r="B27" s="66" t="s">
        <v>1437</v>
      </c>
      <c r="C27" s="66">
        <v>28</v>
      </c>
      <c r="D27" s="67">
        <v>0</v>
      </c>
      <c r="E27" s="67">
        <v>340.38</v>
      </c>
      <c r="F27" s="68">
        <f t="shared" si="0"/>
        <v>340.38</v>
      </c>
      <c r="I27" s="117"/>
      <c r="S27" s="43"/>
      <c r="T27" s="43"/>
    </row>
    <row r="28" spans="2:20">
      <c r="B28" s="66" t="s">
        <v>1438</v>
      </c>
      <c r="C28" s="66">
        <v>21</v>
      </c>
      <c r="D28" s="67">
        <v>0</v>
      </c>
      <c r="E28" s="67">
        <v>294.60000000000002</v>
      </c>
      <c r="F28" s="68">
        <f t="shared" si="0"/>
        <v>294.60000000000002</v>
      </c>
      <c r="I28" s="117"/>
      <c r="S28" s="43"/>
      <c r="T28" s="43"/>
    </row>
    <row r="29" spans="2:20">
      <c r="B29" s="66" t="s">
        <v>1439</v>
      </c>
      <c r="C29" s="66">
        <v>21</v>
      </c>
      <c r="D29" s="67">
        <v>0</v>
      </c>
      <c r="E29" s="67">
        <v>236.94</v>
      </c>
      <c r="F29" s="68">
        <f t="shared" si="0"/>
        <v>236.94</v>
      </c>
      <c r="I29" s="117"/>
      <c r="S29" s="43"/>
      <c r="T29" s="43"/>
    </row>
    <row r="30" spans="2:20">
      <c r="B30" s="66" t="s">
        <v>1330</v>
      </c>
      <c r="C30" s="66">
        <v>14</v>
      </c>
      <c r="D30" s="67">
        <v>0</v>
      </c>
      <c r="E30" s="67">
        <v>229.21</v>
      </c>
      <c r="F30" s="68">
        <f t="shared" si="0"/>
        <v>229.21</v>
      </c>
      <c r="I30" s="117"/>
      <c r="S30" s="43"/>
      <c r="T30" s="43"/>
    </row>
    <row r="31" spans="2:20">
      <c r="B31" s="66" t="s">
        <v>1440</v>
      </c>
      <c r="C31" s="66">
        <v>21</v>
      </c>
      <c r="D31" s="67">
        <v>0</v>
      </c>
      <c r="E31" s="67">
        <v>168.9</v>
      </c>
      <c r="F31" s="68">
        <f t="shared" si="0"/>
        <v>168.9</v>
      </c>
      <c r="I31" s="117"/>
      <c r="S31" s="43"/>
      <c r="T31" s="43"/>
    </row>
    <row r="32" spans="2:20">
      <c r="B32" s="66" t="s">
        <v>1441</v>
      </c>
      <c r="C32" s="66">
        <v>7</v>
      </c>
      <c r="D32" s="67">
        <v>0</v>
      </c>
      <c r="E32" s="67">
        <v>60.96</v>
      </c>
      <c r="F32" s="68">
        <f t="shared" si="0"/>
        <v>60.96</v>
      </c>
      <c r="I32" s="117"/>
      <c r="S32" s="43"/>
      <c r="T32" s="43"/>
    </row>
    <row r="33" spans="2:6">
      <c r="B33" s="88" t="s">
        <v>57</v>
      </c>
      <c r="C33" s="89">
        <f>SUM(C14:C32)</f>
        <v>691</v>
      </c>
      <c r="D33" s="90">
        <f>SUM(D14:D32)</f>
        <v>3076</v>
      </c>
      <c r="E33" s="90">
        <f>SUM(E14:E32)</f>
        <v>10857.909999999998</v>
      </c>
      <c r="F33" s="90">
        <f>SUM(F14:F32)</f>
        <v>13933.909999999996</v>
      </c>
    </row>
    <row r="34" spans="2:6">
      <c r="D34" s="108"/>
      <c r="E34" s="108"/>
      <c r="F34" s="108"/>
    </row>
    <row r="35" spans="2:6" ht="18">
      <c r="B35" s="62" t="s">
        <v>58</v>
      </c>
    </row>
    <row r="37" spans="2:6" ht="38.25">
      <c r="B37" s="91" t="s">
        <v>64</v>
      </c>
      <c r="C37" s="91" t="s">
        <v>47</v>
      </c>
      <c r="D37" s="91" t="s">
        <v>48</v>
      </c>
      <c r="E37" s="91" t="s">
        <v>49</v>
      </c>
      <c r="F37" s="91" t="s">
        <v>50</v>
      </c>
    </row>
    <row r="38" spans="2:6">
      <c r="B38" s="66" t="s">
        <v>1426</v>
      </c>
      <c r="C38" s="66">
        <v>23</v>
      </c>
      <c r="D38" s="67">
        <v>0</v>
      </c>
      <c r="E38" s="67">
        <v>461.54</v>
      </c>
      <c r="F38" s="68">
        <f>SUM(D38:E38)</f>
        <v>461.54</v>
      </c>
    </row>
    <row r="39" spans="2:6">
      <c r="B39" s="66" t="s">
        <v>1427</v>
      </c>
      <c r="C39" s="66">
        <v>23</v>
      </c>
      <c r="D39" s="67">
        <v>0</v>
      </c>
      <c r="E39" s="67">
        <v>423.74</v>
      </c>
      <c r="F39" s="68">
        <f>SUM(D39:E39)</f>
        <v>423.74</v>
      </c>
    </row>
    <row r="40" spans="2:6">
      <c r="B40" s="66" t="s">
        <v>1329</v>
      </c>
      <c r="C40" s="66">
        <v>21</v>
      </c>
      <c r="D40" s="67">
        <v>0</v>
      </c>
      <c r="E40" s="67">
        <v>354.78</v>
      </c>
      <c r="F40" s="68">
        <f>SUM(D40:E40)</f>
        <v>354.78</v>
      </c>
    </row>
    <row r="41" spans="2:6">
      <c r="B41" s="66" t="s">
        <v>1400</v>
      </c>
      <c r="C41" s="66">
        <v>14</v>
      </c>
      <c r="D41" s="67">
        <v>0</v>
      </c>
      <c r="E41" s="67">
        <v>188</v>
      </c>
      <c r="F41" s="68">
        <f>SUM(D41:E41)</f>
        <v>188</v>
      </c>
    </row>
    <row r="42" spans="2:6">
      <c r="B42" s="66" t="s">
        <v>1425</v>
      </c>
      <c r="C42" s="66">
        <v>2</v>
      </c>
      <c r="D42" s="67">
        <v>0</v>
      </c>
      <c r="E42" s="67">
        <v>43.67</v>
      </c>
      <c r="F42" s="68">
        <f>SUM(D42:E42)</f>
        <v>43.67</v>
      </c>
    </row>
    <row r="43" spans="2:6">
      <c r="B43" s="118" t="s">
        <v>65</v>
      </c>
      <c r="C43" s="93">
        <f>SUM(C38:C42)</f>
        <v>83</v>
      </c>
      <c r="D43" s="94">
        <f>SUM(D38:D42)</f>
        <v>0</v>
      </c>
      <c r="E43" s="94">
        <f>SUM(E38:E42)</f>
        <v>1471.73</v>
      </c>
      <c r="F43" s="94">
        <f>SUM(F38:F42)</f>
        <v>1471.73</v>
      </c>
    </row>
    <row r="44" spans="2:6">
      <c r="B44" s="5"/>
      <c r="C44" s="5"/>
      <c r="D44" s="5"/>
      <c r="E44" s="5"/>
      <c r="F44" s="5"/>
    </row>
    <row r="45" spans="2:6">
      <c r="B45" s="55" t="s">
        <v>36</v>
      </c>
      <c r="C45" s="5"/>
      <c r="D45" s="5"/>
      <c r="E45" s="5"/>
      <c r="F45" s="5"/>
    </row>
    <row r="46" spans="2:6">
      <c r="B46" s="55" t="s">
        <v>37</v>
      </c>
      <c r="C46" s="5"/>
      <c r="D46" s="5"/>
      <c r="E46" s="5"/>
      <c r="F46" s="5"/>
    </row>
  </sheetData>
  <sortState xmlns:xlrd2="http://schemas.microsoft.com/office/spreadsheetml/2017/richdata2" ref="B38:F42">
    <sortCondition descending="1" ref="F38:F42"/>
  </sortState>
  <mergeCells count="4">
    <mergeCell ref="D1:E3"/>
    <mergeCell ref="B6:F6"/>
    <mergeCell ref="B7:F7"/>
    <mergeCell ref="B8:F8"/>
  </mergeCells>
  <pageMargins left="0.118055555555556" right="0.196527777777778" top="0.23611111111111099" bottom="0.124305555555556" header="0.196527777777778" footer="0.51180555555555496"/>
  <pageSetup paperSize="9" orientation="portrait" horizontalDpi="300" verticalDpi="300"/>
  <headerFooter>
    <oddHeader>&amp;R&amp;"Arial,Normal"&amp;10&amp;KffffffPágina &amp;P de &amp;N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7"/>
  <sheetViews>
    <sheetView zoomScale="90" zoomScaleNormal="90" workbookViewId="0">
      <selection activeCell="E82" sqref="E82"/>
    </sheetView>
  </sheetViews>
  <sheetFormatPr baseColWidth="10" defaultColWidth="11.85546875" defaultRowHeight="15" outlineLevelRow="2"/>
  <cols>
    <col min="1" max="1" width="17.7109375" customWidth="1"/>
    <col min="2" max="2" width="14" customWidth="1"/>
    <col min="3" max="3" width="17.7109375" customWidth="1"/>
    <col min="4" max="4" width="36" customWidth="1"/>
    <col min="5" max="6" width="8.7109375" customWidth="1"/>
    <col min="7" max="7" width="9.140625" customWidth="1"/>
    <col min="8" max="8" width="10.7109375" customWidth="1"/>
    <col min="10" max="10" width="10.28515625" customWidth="1"/>
    <col min="1023" max="1024" width="11.5703125" customWidth="1"/>
  </cols>
  <sheetData>
    <row r="1" spans="1:14" ht="18">
      <c r="F1" s="119"/>
      <c r="G1" s="119"/>
      <c r="H1" s="120"/>
    </row>
    <row r="2" spans="1:14" ht="18">
      <c r="A2" s="6"/>
      <c r="E2" s="121" t="s">
        <v>0</v>
      </c>
      <c r="F2" s="121"/>
      <c r="G2" s="119"/>
      <c r="H2" s="120"/>
      <c r="J2" s="122" t="s">
        <v>1</v>
      </c>
    </row>
    <row r="3" spans="1:14" ht="18">
      <c r="A3" s="6"/>
      <c r="E3" s="121"/>
      <c r="F3" s="121"/>
      <c r="G3" s="119"/>
      <c r="H3" s="120"/>
      <c r="J3" s="122" t="s">
        <v>66</v>
      </c>
    </row>
    <row r="4" spans="1:14" ht="10.35" customHeight="1">
      <c r="A4" s="6"/>
      <c r="F4" s="119"/>
      <c r="G4" s="119"/>
      <c r="H4" s="120"/>
      <c r="I4" s="122"/>
    </row>
    <row r="5" spans="1:14" ht="19.899999999999999" customHeight="1">
      <c r="A5" s="167" t="s">
        <v>6</v>
      </c>
      <c r="B5" s="167"/>
      <c r="C5" s="167"/>
      <c r="D5" s="167"/>
      <c r="E5" s="167"/>
      <c r="F5" s="167"/>
      <c r="G5" s="167"/>
      <c r="H5" s="167"/>
      <c r="I5" s="167"/>
      <c r="J5" s="167"/>
    </row>
    <row r="6" spans="1:14" ht="19.899999999999999" customHeight="1">
      <c r="A6" s="168" t="s">
        <v>1470</v>
      </c>
      <c r="B6" s="168"/>
      <c r="C6" s="168"/>
      <c r="D6" s="168"/>
      <c r="E6" s="168"/>
      <c r="F6" s="168"/>
      <c r="G6" s="168"/>
      <c r="H6" s="168"/>
      <c r="I6" s="168"/>
      <c r="J6" s="168"/>
    </row>
    <row r="7" spans="1:14" ht="19.899999999999999" customHeight="1">
      <c r="A7" s="168" t="s">
        <v>29</v>
      </c>
      <c r="B7" s="168"/>
      <c r="C7" s="168"/>
      <c r="D7" s="168"/>
      <c r="E7" s="168"/>
      <c r="F7" s="168"/>
      <c r="G7" s="168"/>
      <c r="H7" s="168"/>
      <c r="I7" s="168"/>
      <c r="J7" s="168"/>
    </row>
    <row r="8" spans="1:14" ht="19.899999999999999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</row>
    <row r="9" spans="1:14" ht="10.35" customHeight="1">
      <c r="A9" s="124"/>
      <c r="B9" s="124"/>
      <c r="C9" s="124"/>
      <c r="D9" s="124"/>
      <c r="E9" s="124"/>
      <c r="F9" s="124"/>
      <c r="G9" s="124"/>
      <c r="H9" s="124"/>
      <c r="I9" s="124"/>
      <c r="J9" s="124"/>
    </row>
    <row r="10" spans="1:14" ht="18">
      <c r="A10" s="62" t="s">
        <v>45</v>
      </c>
    </row>
    <row r="12" spans="1:14" ht="34.9" customHeight="1">
      <c r="A12" s="205" t="s">
        <v>67</v>
      </c>
      <c r="B12" s="205" t="s">
        <v>68</v>
      </c>
      <c r="C12" s="205" t="s">
        <v>46</v>
      </c>
      <c r="D12" s="205" t="s">
        <v>69</v>
      </c>
      <c r="E12" s="206" t="s">
        <v>70</v>
      </c>
      <c r="F12" s="206" t="s">
        <v>71</v>
      </c>
      <c r="G12" s="207" t="s">
        <v>72</v>
      </c>
      <c r="H12" s="207" t="s">
        <v>73</v>
      </c>
      <c r="I12" s="207" t="s">
        <v>74</v>
      </c>
      <c r="J12" s="207" t="s">
        <v>50</v>
      </c>
      <c r="N12" s="65"/>
    </row>
    <row r="13" spans="1:14" outlineLevel="2">
      <c r="A13" s="191" t="s">
        <v>1109</v>
      </c>
      <c r="B13" s="191" t="s">
        <v>1107</v>
      </c>
      <c r="C13" s="191" t="s">
        <v>1108</v>
      </c>
      <c r="D13" s="208" t="s">
        <v>1442</v>
      </c>
      <c r="E13" s="191" t="s">
        <v>1477</v>
      </c>
      <c r="F13" s="191" t="s">
        <v>1478</v>
      </c>
      <c r="G13" s="191">
        <v>14</v>
      </c>
      <c r="H13" s="192">
        <v>0</v>
      </c>
      <c r="I13" s="192">
        <v>282.45999999999998</v>
      </c>
      <c r="J13" s="192">
        <f>SUM(H13,I13)</f>
        <v>282.45999999999998</v>
      </c>
    </row>
    <row r="14" spans="1:14" outlineLevel="2">
      <c r="A14" s="191" t="s">
        <v>1109</v>
      </c>
      <c r="B14" s="191" t="s">
        <v>1107</v>
      </c>
      <c r="C14" s="191" t="s">
        <v>1108</v>
      </c>
      <c r="D14" s="208" t="s">
        <v>1443</v>
      </c>
      <c r="E14" s="191" t="s">
        <v>1479</v>
      </c>
      <c r="F14" s="191" t="s">
        <v>1479</v>
      </c>
      <c r="G14" s="191">
        <v>7</v>
      </c>
      <c r="H14" s="192">
        <v>0</v>
      </c>
      <c r="I14" s="192">
        <v>141.22999999999999</v>
      </c>
      <c r="J14" s="192">
        <f>SUM(H14,I14)</f>
        <v>141.22999999999999</v>
      </c>
      <c r="M14" s="128"/>
    </row>
    <row r="15" spans="1:14" outlineLevel="2">
      <c r="A15" s="191" t="s">
        <v>1109</v>
      </c>
      <c r="B15" s="191" t="s">
        <v>1107</v>
      </c>
      <c r="C15" s="191" t="s">
        <v>1108</v>
      </c>
      <c r="D15" s="208" t="s">
        <v>1444</v>
      </c>
      <c r="E15" s="191" t="s">
        <v>1480</v>
      </c>
      <c r="F15" s="191" t="s">
        <v>1480</v>
      </c>
      <c r="G15" s="191">
        <v>7</v>
      </c>
      <c r="H15" s="192">
        <v>90</v>
      </c>
      <c r="I15" s="192">
        <v>141.93</v>
      </c>
      <c r="J15" s="192">
        <f>SUM(H15,I15)</f>
        <v>231.93</v>
      </c>
      <c r="M15" s="128"/>
    </row>
    <row r="16" spans="1:14" outlineLevel="1">
      <c r="A16" s="193" t="s">
        <v>1471</v>
      </c>
      <c r="B16" s="194"/>
      <c r="C16" s="194"/>
      <c r="D16" s="193"/>
      <c r="E16" s="194"/>
      <c r="F16" s="194"/>
      <c r="G16" s="194">
        <f>SUBTOTAL(9,G13:G15)</f>
        <v>28</v>
      </c>
      <c r="H16" s="195">
        <f>SUBTOTAL(9,H13:H15)</f>
        <v>90</v>
      </c>
      <c r="I16" s="195">
        <f>SUBTOTAL(9,I13:I15)</f>
        <v>565.61999999999989</v>
      </c>
      <c r="J16" s="195">
        <f>SUBTOTAL(9,J13:J15)</f>
        <v>655.61999999999989</v>
      </c>
      <c r="M16" s="128"/>
    </row>
    <row r="17" spans="1:13" outlineLevel="2">
      <c r="A17" s="191" t="s">
        <v>75</v>
      </c>
      <c r="B17" s="191" t="s">
        <v>76</v>
      </c>
      <c r="C17" s="191" t="s">
        <v>77</v>
      </c>
      <c r="D17" s="208" t="s">
        <v>1445</v>
      </c>
      <c r="E17" s="191" t="s">
        <v>1481</v>
      </c>
      <c r="F17" s="191" t="s">
        <v>1481</v>
      </c>
      <c r="G17" s="191">
        <v>7</v>
      </c>
      <c r="H17" s="192">
        <v>0</v>
      </c>
      <c r="I17" s="192">
        <v>118</v>
      </c>
      <c r="J17" s="192">
        <f>SUM(H17,I17)</f>
        <v>118</v>
      </c>
      <c r="M17" s="128"/>
    </row>
    <row r="18" spans="1:13" outlineLevel="2">
      <c r="A18" s="191" t="s">
        <v>75</v>
      </c>
      <c r="B18" s="191" t="s">
        <v>76</v>
      </c>
      <c r="C18" s="191" t="s">
        <v>77</v>
      </c>
      <c r="D18" s="208" t="s">
        <v>1446</v>
      </c>
      <c r="E18" s="191" t="s">
        <v>1482</v>
      </c>
      <c r="F18" s="191" t="s">
        <v>1482</v>
      </c>
      <c r="G18" s="191">
        <v>7</v>
      </c>
      <c r="H18" s="192">
        <v>0</v>
      </c>
      <c r="I18" s="192">
        <v>118</v>
      </c>
      <c r="J18" s="192">
        <f>SUM(H18,I18)</f>
        <v>118</v>
      </c>
      <c r="M18" s="128"/>
    </row>
    <row r="19" spans="1:13" outlineLevel="2">
      <c r="A19" s="191" t="s">
        <v>75</v>
      </c>
      <c r="B19" s="191" t="s">
        <v>76</v>
      </c>
      <c r="C19" s="191" t="s">
        <v>77</v>
      </c>
      <c r="D19" s="208" t="s">
        <v>1446</v>
      </c>
      <c r="E19" s="191" t="s">
        <v>1483</v>
      </c>
      <c r="F19" s="191" t="s">
        <v>1483</v>
      </c>
      <c r="G19" s="191">
        <v>7</v>
      </c>
      <c r="H19" s="192">
        <v>0</v>
      </c>
      <c r="I19" s="192">
        <v>118</v>
      </c>
      <c r="J19" s="192">
        <f>SUM(H19,I19)</f>
        <v>118</v>
      </c>
      <c r="M19" s="128"/>
    </row>
    <row r="20" spans="1:13" outlineLevel="2">
      <c r="A20" s="191" t="s">
        <v>75</v>
      </c>
      <c r="B20" s="191" t="s">
        <v>76</v>
      </c>
      <c r="C20" s="191" t="s">
        <v>77</v>
      </c>
      <c r="D20" s="208" t="s">
        <v>1447</v>
      </c>
      <c r="E20" s="191" t="s">
        <v>1484</v>
      </c>
      <c r="F20" s="191" t="s">
        <v>1484</v>
      </c>
      <c r="G20" s="191">
        <v>3</v>
      </c>
      <c r="H20" s="192">
        <v>0</v>
      </c>
      <c r="I20" s="192">
        <v>50.57</v>
      </c>
      <c r="J20" s="192">
        <f>SUM(H20,I20)</f>
        <v>50.57</v>
      </c>
      <c r="M20" s="128"/>
    </row>
    <row r="21" spans="1:13" outlineLevel="2">
      <c r="A21" s="191" t="s">
        <v>75</v>
      </c>
      <c r="B21" s="191" t="s">
        <v>76</v>
      </c>
      <c r="C21" s="191" t="s">
        <v>77</v>
      </c>
      <c r="D21" s="208" t="s">
        <v>1447</v>
      </c>
      <c r="E21" s="191" t="s">
        <v>1485</v>
      </c>
      <c r="F21" s="191" t="s">
        <v>1485</v>
      </c>
      <c r="G21" s="191">
        <v>3</v>
      </c>
      <c r="H21" s="192">
        <v>0</v>
      </c>
      <c r="I21" s="192">
        <v>50.57</v>
      </c>
      <c r="J21" s="192">
        <f>SUM(H21,I21)</f>
        <v>50.57</v>
      </c>
    </row>
    <row r="22" spans="1:13" outlineLevel="2">
      <c r="A22" s="191" t="s">
        <v>75</v>
      </c>
      <c r="B22" s="191" t="s">
        <v>76</v>
      </c>
      <c r="C22" s="191" t="s">
        <v>77</v>
      </c>
      <c r="D22" s="208" t="s">
        <v>1446</v>
      </c>
      <c r="E22" s="191" t="s">
        <v>1486</v>
      </c>
      <c r="F22" s="191" t="s">
        <v>1486</v>
      </c>
      <c r="G22" s="191">
        <v>7</v>
      </c>
      <c r="H22" s="192">
        <v>0</v>
      </c>
      <c r="I22" s="192">
        <v>118</v>
      </c>
      <c r="J22" s="192">
        <f>SUM(H22,I22)</f>
        <v>118</v>
      </c>
    </row>
    <row r="23" spans="1:13" outlineLevel="2">
      <c r="A23" s="191" t="s">
        <v>75</v>
      </c>
      <c r="B23" s="191" t="s">
        <v>76</v>
      </c>
      <c r="C23" s="191" t="s">
        <v>77</v>
      </c>
      <c r="D23" s="208" t="s">
        <v>1446</v>
      </c>
      <c r="E23" s="191" t="s">
        <v>1487</v>
      </c>
      <c r="F23" s="191" t="s">
        <v>1487</v>
      </c>
      <c r="G23" s="191">
        <v>7</v>
      </c>
      <c r="H23" s="192">
        <v>0</v>
      </c>
      <c r="I23" s="192">
        <v>118</v>
      </c>
      <c r="J23" s="192">
        <f>SUM(H23,I23)</f>
        <v>118</v>
      </c>
    </row>
    <row r="24" spans="1:13" outlineLevel="2">
      <c r="A24" s="191" t="s">
        <v>75</v>
      </c>
      <c r="B24" s="191" t="s">
        <v>76</v>
      </c>
      <c r="C24" s="191" t="s">
        <v>77</v>
      </c>
      <c r="D24" s="208" t="s">
        <v>1446</v>
      </c>
      <c r="E24" s="191" t="s">
        <v>1488</v>
      </c>
      <c r="F24" s="191" t="s">
        <v>1488</v>
      </c>
      <c r="G24" s="191">
        <v>7</v>
      </c>
      <c r="H24" s="192">
        <v>0</v>
      </c>
      <c r="I24" s="192">
        <v>118</v>
      </c>
      <c r="J24" s="192">
        <f>SUM(H24,I24)</f>
        <v>118</v>
      </c>
    </row>
    <row r="25" spans="1:13" outlineLevel="1">
      <c r="A25" s="193" t="s">
        <v>1472</v>
      </c>
      <c r="B25" s="194"/>
      <c r="C25" s="194"/>
      <c r="D25" s="193"/>
      <c r="E25" s="194"/>
      <c r="F25" s="194"/>
      <c r="G25" s="194">
        <f>SUBTOTAL(9,G17:G24)</f>
        <v>48</v>
      </c>
      <c r="H25" s="195">
        <f>SUBTOTAL(9,H17:H24)</f>
        <v>0</v>
      </c>
      <c r="I25" s="195">
        <f>SUBTOTAL(9,I17:I24)</f>
        <v>809.14</v>
      </c>
      <c r="J25" s="195">
        <f>SUBTOTAL(9,J17:J24)</f>
        <v>809.14</v>
      </c>
    </row>
    <row r="26" spans="1:13" outlineLevel="2">
      <c r="A26" s="191" t="s">
        <v>1448</v>
      </c>
      <c r="B26" s="191" t="s">
        <v>355</v>
      </c>
      <c r="C26" s="191" t="s">
        <v>80</v>
      </c>
      <c r="D26" s="208" t="s">
        <v>1449</v>
      </c>
      <c r="E26" s="191" t="s">
        <v>1489</v>
      </c>
      <c r="F26" s="191" t="s">
        <v>1490</v>
      </c>
      <c r="G26" s="191">
        <v>14</v>
      </c>
      <c r="H26" s="192">
        <v>240</v>
      </c>
      <c r="I26" s="192">
        <v>264.16000000000003</v>
      </c>
      <c r="J26" s="192">
        <f>SUM(H26,I26)</f>
        <v>504.16</v>
      </c>
    </row>
    <row r="27" spans="1:13" outlineLevel="2">
      <c r="A27" s="191" t="s">
        <v>1450</v>
      </c>
      <c r="B27" s="191" t="s">
        <v>1143</v>
      </c>
      <c r="C27" s="191" t="s">
        <v>80</v>
      </c>
      <c r="D27" s="208" t="s">
        <v>1442</v>
      </c>
      <c r="E27" s="191" t="s">
        <v>1477</v>
      </c>
      <c r="F27" s="191" t="s">
        <v>1478</v>
      </c>
      <c r="G27" s="191">
        <v>14</v>
      </c>
      <c r="H27" s="192">
        <v>0</v>
      </c>
      <c r="I27" s="192">
        <v>282.24</v>
      </c>
      <c r="J27" s="192">
        <f>SUM(H27,I27)</f>
        <v>282.24</v>
      </c>
    </row>
    <row r="28" spans="1:13" outlineLevel="2">
      <c r="A28" s="191" t="s">
        <v>1450</v>
      </c>
      <c r="B28" s="191" t="s">
        <v>1143</v>
      </c>
      <c r="C28" s="191" t="s">
        <v>80</v>
      </c>
      <c r="D28" s="208" t="s">
        <v>1444</v>
      </c>
      <c r="E28" s="191" t="s">
        <v>1480</v>
      </c>
      <c r="F28" s="191" t="s">
        <v>1480</v>
      </c>
      <c r="G28" s="191">
        <v>7</v>
      </c>
      <c r="H28" s="192">
        <v>90</v>
      </c>
      <c r="I28" s="192">
        <v>141.81</v>
      </c>
      <c r="J28" s="192">
        <f>SUM(H28,I28)</f>
        <v>231.81</v>
      </c>
    </row>
    <row r="29" spans="1:13" outlineLevel="1">
      <c r="A29" s="193" t="s">
        <v>1473</v>
      </c>
      <c r="B29" s="194"/>
      <c r="C29" s="194"/>
      <c r="D29" s="193"/>
      <c r="E29" s="194"/>
      <c r="F29" s="194"/>
      <c r="G29" s="194">
        <f>SUBTOTAL(9,G26:G28)</f>
        <v>35</v>
      </c>
      <c r="H29" s="195">
        <f>SUBTOTAL(9,H26:H28)</f>
        <v>330</v>
      </c>
      <c r="I29" s="195">
        <f>SUBTOTAL(9,I26:I28)</f>
        <v>688.21</v>
      </c>
      <c r="J29" s="195">
        <f>SUBTOTAL(9,J26:J28)</f>
        <v>1018.21</v>
      </c>
    </row>
    <row r="30" spans="1:13" outlineLevel="2">
      <c r="A30" s="191" t="s">
        <v>83</v>
      </c>
      <c r="B30" s="191" t="s">
        <v>76</v>
      </c>
      <c r="C30" s="191" t="s">
        <v>82</v>
      </c>
      <c r="D30" s="208" t="s">
        <v>1451</v>
      </c>
      <c r="E30" s="191" t="s">
        <v>1491</v>
      </c>
      <c r="F30" s="191" t="s">
        <v>1491</v>
      </c>
      <c r="G30" s="191">
        <v>7</v>
      </c>
      <c r="H30" s="192">
        <v>0</v>
      </c>
      <c r="I30" s="192">
        <v>107</v>
      </c>
      <c r="J30" s="192">
        <f>SUM(H30,I30)</f>
        <v>107</v>
      </c>
    </row>
    <row r="31" spans="1:13" outlineLevel="2">
      <c r="A31" s="191" t="s">
        <v>1452</v>
      </c>
      <c r="B31" s="191" t="s">
        <v>79</v>
      </c>
      <c r="C31" s="191" t="s">
        <v>82</v>
      </c>
      <c r="D31" s="208" t="s">
        <v>1446</v>
      </c>
      <c r="E31" s="191" t="s">
        <v>1482</v>
      </c>
      <c r="F31" s="191" t="s">
        <v>1482</v>
      </c>
      <c r="G31" s="191">
        <v>7</v>
      </c>
      <c r="H31" s="192">
        <v>0</v>
      </c>
      <c r="I31" s="192">
        <v>90.29</v>
      </c>
      <c r="J31" s="192">
        <f>SUM(H31,I31)</f>
        <v>90.29</v>
      </c>
    </row>
    <row r="32" spans="1:13" outlineLevel="2">
      <c r="A32" s="191" t="s">
        <v>1452</v>
      </c>
      <c r="B32" s="191" t="s">
        <v>79</v>
      </c>
      <c r="C32" s="191" t="s">
        <v>82</v>
      </c>
      <c r="D32" s="208" t="s">
        <v>1446</v>
      </c>
      <c r="E32" s="191" t="s">
        <v>1483</v>
      </c>
      <c r="F32" s="191" t="s">
        <v>1483</v>
      </c>
      <c r="G32" s="191">
        <v>7</v>
      </c>
      <c r="H32" s="192">
        <v>0</v>
      </c>
      <c r="I32" s="192">
        <v>90.29</v>
      </c>
      <c r="J32" s="192">
        <f>SUM(H32,I32)</f>
        <v>90.29</v>
      </c>
    </row>
    <row r="33" spans="1:10" outlineLevel="2">
      <c r="A33" s="191" t="s">
        <v>1452</v>
      </c>
      <c r="B33" s="191" t="s">
        <v>79</v>
      </c>
      <c r="C33" s="191" t="s">
        <v>82</v>
      </c>
      <c r="D33" s="208" t="s">
        <v>1446</v>
      </c>
      <c r="E33" s="191" t="s">
        <v>1486</v>
      </c>
      <c r="F33" s="191" t="s">
        <v>1486</v>
      </c>
      <c r="G33" s="191">
        <v>7</v>
      </c>
      <c r="H33" s="192">
        <v>0</v>
      </c>
      <c r="I33" s="192">
        <v>90.29</v>
      </c>
      <c r="J33" s="192">
        <f>SUM(H33,I33)</f>
        <v>90.29</v>
      </c>
    </row>
    <row r="34" spans="1:10" outlineLevel="2">
      <c r="A34" s="191" t="s">
        <v>1453</v>
      </c>
      <c r="B34" s="191" t="s">
        <v>76</v>
      </c>
      <c r="C34" s="191" t="s">
        <v>82</v>
      </c>
      <c r="D34" s="208" t="s">
        <v>1454</v>
      </c>
      <c r="E34" s="191" t="s">
        <v>1481</v>
      </c>
      <c r="F34" s="191" t="s">
        <v>1481</v>
      </c>
      <c r="G34" s="191">
        <v>7</v>
      </c>
      <c r="H34" s="192">
        <v>0</v>
      </c>
      <c r="I34" s="192">
        <v>107</v>
      </c>
      <c r="J34" s="192">
        <f>SUM(H34,I34)</f>
        <v>107</v>
      </c>
    </row>
    <row r="35" spans="1:10" outlineLevel="2">
      <c r="A35" s="191" t="s">
        <v>1453</v>
      </c>
      <c r="B35" s="191" t="s">
        <v>76</v>
      </c>
      <c r="C35" s="191" t="s">
        <v>82</v>
      </c>
      <c r="D35" s="208" t="s">
        <v>1447</v>
      </c>
      <c r="E35" s="191" t="s">
        <v>1484</v>
      </c>
      <c r="F35" s="191" t="s">
        <v>1484</v>
      </c>
      <c r="G35" s="191">
        <v>3</v>
      </c>
      <c r="H35" s="192">
        <v>0</v>
      </c>
      <c r="I35" s="192">
        <v>45.86</v>
      </c>
      <c r="J35" s="192">
        <f>SUM(H35,I35)</f>
        <v>45.86</v>
      </c>
    </row>
    <row r="36" spans="1:10" outlineLevel="2">
      <c r="A36" s="191" t="s">
        <v>1453</v>
      </c>
      <c r="B36" s="191" t="s">
        <v>76</v>
      </c>
      <c r="C36" s="191" t="s">
        <v>82</v>
      </c>
      <c r="D36" s="208" t="s">
        <v>1447</v>
      </c>
      <c r="E36" s="191" t="s">
        <v>1485</v>
      </c>
      <c r="F36" s="191" t="s">
        <v>1485</v>
      </c>
      <c r="G36" s="191">
        <v>3</v>
      </c>
      <c r="H36" s="192">
        <v>0</v>
      </c>
      <c r="I36" s="192">
        <v>45.86</v>
      </c>
      <c r="J36" s="192">
        <f>SUM(H36,I36)</f>
        <v>45.86</v>
      </c>
    </row>
    <row r="37" spans="1:10" outlineLevel="2">
      <c r="A37" s="191" t="s">
        <v>1453</v>
      </c>
      <c r="B37" s="191" t="s">
        <v>76</v>
      </c>
      <c r="C37" s="191" t="s">
        <v>82</v>
      </c>
      <c r="D37" s="208" t="s">
        <v>1447</v>
      </c>
      <c r="E37" s="191" t="s">
        <v>1486</v>
      </c>
      <c r="F37" s="191" t="s">
        <v>1486</v>
      </c>
      <c r="G37" s="191">
        <v>3.5</v>
      </c>
      <c r="H37" s="192">
        <v>0</v>
      </c>
      <c r="I37" s="192">
        <v>53.5</v>
      </c>
      <c r="J37" s="192">
        <f>SUM(H37,I37)</f>
        <v>53.5</v>
      </c>
    </row>
    <row r="38" spans="1:10" outlineLevel="2">
      <c r="A38" s="191" t="s">
        <v>1453</v>
      </c>
      <c r="B38" s="191" t="s">
        <v>76</v>
      </c>
      <c r="C38" s="191" t="s">
        <v>82</v>
      </c>
      <c r="D38" s="208" t="s">
        <v>1455</v>
      </c>
      <c r="E38" s="191" t="s">
        <v>1492</v>
      </c>
      <c r="F38" s="191" t="s">
        <v>1492</v>
      </c>
      <c r="G38" s="191">
        <v>7</v>
      </c>
      <c r="H38" s="192">
        <v>0</v>
      </c>
      <c r="I38" s="192">
        <v>108.91</v>
      </c>
      <c r="J38" s="192">
        <f>SUM(H38,I38)</f>
        <v>108.91</v>
      </c>
    </row>
    <row r="39" spans="1:10" outlineLevel="2">
      <c r="A39" s="191" t="s">
        <v>84</v>
      </c>
      <c r="B39" s="191" t="s">
        <v>76</v>
      </c>
      <c r="C39" s="191" t="s">
        <v>82</v>
      </c>
      <c r="D39" s="208" t="s">
        <v>1447</v>
      </c>
      <c r="E39" s="191" t="s">
        <v>1484</v>
      </c>
      <c r="F39" s="191" t="s">
        <v>1484</v>
      </c>
      <c r="G39" s="191">
        <v>3</v>
      </c>
      <c r="H39" s="192">
        <v>0</v>
      </c>
      <c r="I39" s="192">
        <v>42.51</v>
      </c>
      <c r="J39" s="192">
        <f>SUM(H39,I39)</f>
        <v>42.51</v>
      </c>
    </row>
    <row r="40" spans="1:10" outlineLevel="2">
      <c r="A40" s="191" t="s">
        <v>84</v>
      </c>
      <c r="B40" s="191" t="s">
        <v>76</v>
      </c>
      <c r="C40" s="191" t="s">
        <v>82</v>
      </c>
      <c r="D40" s="208" t="s">
        <v>1447</v>
      </c>
      <c r="E40" s="191" t="s">
        <v>1485</v>
      </c>
      <c r="F40" s="191" t="s">
        <v>1485</v>
      </c>
      <c r="G40" s="191">
        <v>3</v>
      </c>
      <c r="H40" s="192">
        <v>0</v>
      </c>
      <c r="I40" s="192">
        <v>42.51</v>
      </c>
      <c r="J40" s="192">
        <f>SUM(H40,I40)</f>
        <v>42.51</v>
      </c>
    </row>
    <row r="41" spans="1:10" outlineLevel="2">
      <c r="A41" s="191" t="s">
        <v>84</v>
      </c>
      <c r="B41" s="191" t="s">
        <v>76</v>
      </c>
      <c r="C41" s="191" t="s">
        <v>82</v>
      </c>
      <c r="D41" s="208" t="s">
        <v>1447</v>
      </c>
      <c r="E41" s="191" t="s">
        <v>1486</v>
      </c>
      <c r="F41" s="191" t="s">
        <v>1486</v>
      </c>
      <c r="G41" s="191">
        <v>3</v>
      </c>
      <c r="H41" s="192">
        <v>0</v>
      </c>
      <c r="I41" s="192">
        <v>42.51</v>
      </c>
      <c r="J41" s="192">
        <f>SUM(H41,I41)</f>
        <v>42.51</v>
      </c>
    </row>
    <row r="42" spans="1:10" outlineLevel="2">
      <c r="A42" s="191" t="s">
        <v>84</v>
      </c>
      <c r="B42" s="191" t="s">
        <v>76</v>
      </c>
      <c r="C42" s="191" t="s">
        <v>82</v>
      </c>
      <c r="D42" s="208" t="s">
        <v>1456</v>
      </c>
      <c r="E42" s="191" t="s">
        <v>1493</v>
      </c>
      <c r="F42" s="191" t="s">
        <v>1493</v>
      </c>
      <c r="G42" s="191">
        <v>7</v>
      </c>
      <c r="H42" s="192">
        <v>0</v>
      </c>
      <c r="I42" s="192">
        <v>99.67</v>
      </c>
      <c r="J42" s="192">
        <f>SUM(H42,I42)</f>
        <v>99.67</v>
      </c>
    </row>
    <row r="43" spans="1:10" outlineLevel="2">
      <c r="A43" s="191" t="s">
        <v>84</v>
      </c>
      <c r="B43" s="191" t="s">
        <v>76</v>
      </c>
      <c r="C43" s="191" t="s">
        <v>82</v>
      </c>
      <c r="D43" s="208" t="s">
        <v>1457</v>
      </c>
      <c r="E43" s="191" t="s">
        <v>1494</v>
      </c>
      <c r="F43" s="191" t="s">
        <v>1480</v>
      </c>
      <c r="G43" s="191">
        <v>14</v>
      </c>
      <c r="H43" s="192">
        <v>0</v>
      </c>
      <c r="I43" s="192">
        <v>192.9</v>
      </c>
      <c r="J43" s="192">
        <f>SUM(H43,I43)</f>
        <v>192.9</v>
      </c>
    </row>
    <row r="44" spans="1:10" outlineLevel="2">
      <c r="A44" s="191" t="s">
        <v>85</v>
      </c>
      <c r="B44" s="191" t="s">
        <v>76</v>
      </c>
      <c r="C44" s="191" t="s">
        <v>82</v>
      </c>
      <c r="D44" s="208" t="s">
        <v>1458</v>
      </c>
      <c r="E44" s="191" t="s">
        <v>1481</v>
      </c>
      <c r="F44" s="191" t="s">
        <v>1481</v>
      </c>
      <c r="G44" s="191">
        <v>7</v>
      </c>
      <c r="H44" s="192">
        <v>0</v>
      </c>
      <c r="I44" s="192">
        <v>102.1</v>
      </c>
      <c r="J44" s="192">
        <f>SUM(H44,I44)</f>
        <v>102.1</v>
      </c>
    </row>
    <row r="45" spans="1:10" outlineLevel="2">
      <c r="A45" s="191" t="s">
        <v>78</v>
      </c>
      <c r="B45" s="191" t="s">
        <v>79</v>
      </c>
      <c r="C45" s="191" t="s">
        <v>82</v>
      </c>
      <c r="D45" s="208" t="s">
        <v>1447</v>
      </c>
      <c r="E45" s="191" t="s">
        <v>1484</v>
      </c>
      <c r="F45" s="191" t="s">
        <v>1484</v>
      </c>
      <c r="G45" s="191">
        <v>3</v>
      </c>
      <c r="H45" s="192">
        <v>0</v>
      </c>
      <c r="I45" s="192">
        <v>45.02</v>
      </c>
      <c r="J45" s="192">
        <f>SUM(H45,I45)</f>
        <v>45.02</v>
      </c>
    </row>
    <row r="46" spans="1:10" outlineLevel="2">
      <c r="A46" s="191" t="s">
        <v>78</v>
      </c>
      <c r="B46" s="191" t="s">
        <v>79</v>
      </c>
      <c r="C46" s="191" t="s">
        <v>82</v>
      </c>
      <c r="D46" s="208" t="s">
        <v>1447</v>
      </c>
      <c r="E46" s="191" t="s">
        <v>1485</v>
      </c>
      <c r="F46" s="191" t="s">
        <v>1485</v>
      </c>
      <c r="G46" s="191">
        <v>3</v>
      </c>
      <c r="H46" s="192">
        <v>0</v>
      </c>
      <c r="I46" s="192">
        <v>45.02</v>
      </c>
      <c r="J46" s="192">
        <f>SUM(H46,I46)</f>
        <v>45.02</v>
      </c>
    </row>
    <row r="47" spans="1:10" outlineLevel="2">
      <c r="A47" s="191" t="s">
        <v>78</v>
      </c>
      <c r="B47" s="191" t="s">
        <v>79</v>
      </c>
      <c r="C47" s="191" t="s">
        <v>82</v>
      </c>
      <c r="D47" s="208" t="s">
        <v>1447</v>
      </c>
      <c r="E47" s="191" t="s">
        <v>1486</v>
      </c>
      <c r="F47" s="191" t="s">
        <v>1486</v>
      </c>
      <c r="G47" s="191">
        <v>3</v>
      </c>
      <c r="H47" s="192">
        <v>0</v>
      </c>
      <c r="I47" s="192">
        <v>45.02</v>
      </c>
      <c r="J47" s="192">
        <f>SUM(H47,I47)</f>
        <v>45.02</v>
      </c>
    </row>
    <row r="48" spans="1:10" outlineLevel="2">
      <c r="A48" s="191" t="s">
        <v>78</v>
      </c>
      <c r="B48" s="191" t="s">
        <v>79</v>
      </c>
      <c r="C48" s="191" t="s">
        <v>82</v>
      </c>
      <c r="D48" s="208" t="s">
        <v>1459</v>
      </c>
      <c r="E48" s="191" t="s">
        <v>1494</v>
      </c>
      <c r="F48" s="191" t="s">
        <v>1480</v>
      </c>
      <c r="G48" s="191">
        <v>14</v>
      </c>
      <c r="H48" s="192">
        <v>0</v>
      </c>
      <c r="I48" s="192">
        <v>211.14</v>
      </c>
      <c r="J48" s="192">
        <f>SUM(H48,I48)</f>
        <v>211.14</v>
      </c>
    </row>
    <row r="49" spans="1:10" outlineLevel="2">
      <c r="A49" s="191" t="s">
        <v>86</v>
      </c>
      <c r="B49" s="191" t="s">
        <v>76</v>
      </c>
      <c r="C49" s="191" t="s">
        <v>82</v>
      </c>
      <c r="D49" s="208" t="s">
        <v>1445</v>
      </c>
      <c r="E49" s="191" t="s">
        <v>1481</v>
      </c>
      <c r="F49" s="191" t="s">
        <v>1481</v>
      </c>
      <c r="G49" s="191">
        <v>7</v>
      </c>
      <c r="H49" s="192">
        <v>0</v>
      </c>
      <c r="I49" s="192">
        <v>92.24</v>
      </c>
      <c r="J49" s="192">
        <f>SUM(H49,I49)</f>
        <v>92.24</v>
      </c>
    </row>
    <row r="50" spans="1:10" outlineLevel="2">
      <c r="A50" s="191" t="s">
        <v>1460</v>
      </c>
      <c r="B50" s="191" t="s">
        <v>76</v>
      </c>
      <c r="C50" s="191" t="s">
        <v>82</v>
      </c>
      <c r="D50" s="208" t="s">
        <v>1446</v>
      </c>
      <c r="E50" s="191" t="s">
        <v>1482</v>
      </c>
      <c r="F50" s="191" t="s">
        <v>1482</v>
      </c>
      <c r="G50" s="191">
        <v>7</v>
      </c>
      <c r="H50" s="192">
        <v>0</v>
      </c>
      <c r="I50" s="192">
        <v>83.99</v>
      </c>
      <c r="J50" s="192">
        <f>SUM(H50,I50)</f>
        <v>83.99</v>
      </c>
    </row>
    <row r="51" spans="1:10" outlineLevel="2">
      <c r="A51" s="191" t="s">
        <v>1460</v>
      </c>
      <c r="B51" s="191" t="s">
        <v>76</v>
      </c>
      <c r="C51" s="191" t="s">
        <v>82</v>
      </c>
      <c r="D51" s="208" t="s">
        <v>1446</v>
      </c>
      <c r="E51" s="191" t="s">
        <v>1483</v>
      </c>
      <c r="F51" s="191" t="s">
        <v>1483</v>
      </c>
      <c r="G51" s="191">
        <v>7</v>
      </c>
      <c r="H51" s="192">
        <v>0</v>
      </c>
      <c r="I51" s="192">
        <v>83.99</v>
      </c>
      <c r="J51" s="192">
        <f>SUM(H51,I51)</f>
        <v>83.99</v>
      </c>
    </row>
    <row r="52" spans="1:10" outlineLevel="2">
      <c r="A52" s="191" t="s">
        <v>1460</v>
      </c>
      <c r="B52" s="191" t="s">
        <v>76</v>
      </c>
      <c r="C52" s="191" t="s">
        <v>82</v>
      </c>
      <c r="D52" s="208" t="s">
        <v>1446</v>
      </c>
      <c r="E52" s="191" t="s">
        <v>1486</v>
      </c>
      <c r="F52" s="191" t="s">
        <v>1486</v>
      </c>
      <c r="G52" s="191">
        <v>7</v>
      </c>
      <c r="H52" s="192">
        <v>0</v>
      </c>
      <c r="I52" s="192">
        <v>83.99</v>
      </c>
      <c r="J52" s="192">
        <f>SUM(H52,I52)</f>
        <v>83.99</v>
      </c>
    </row>
    <row r="53" spans="1:10" outlineLevel="2">
      <c r="A53" s="191" t="s">
        <v>1460</v>
      </c>
      <c r="B53" s="191" t="s">
        <v>76</v>
      </c>
      <c r="C53" s="191" t="s">
        <v>82</v>
      </c>
      <c r="D53" s="208" t="s">
        <v>1446</v>
      </c>
      <c r="E53" s="191" t="s">
        <v>1487</v>
      </c>
      <c r="F53" s="191" t="s">
        <v>1487</v>
      </c>
      <c r="G53" s="191">
        <v>7</v>
      </c>
      <c r="H53" s="192">
        <v>0</v>
      </c>
      <c r="I53" s="192">
        <v>83.99</v>
      </c>
      <c r="J53" s="192">
        <f>SUM(H53,I53)</f>
        <v>83.99</v>
      </c>
    </row>
    <row r="54" spans="1:10" outlineLevel="2">
      <c r="A54" s="191" t="s">
        <v>1460</v>
      </c>
      <c r="B54" s="191" t="s">
        <v>76</v>
      </c>
      <c r="C54" s="191" t="s">
        <v>82</v>
      </c>
      <c r="D54" s="208" t="s">
        <v>1446</v>
      </c>
      <c r="E54" s="191" t="s">
        <v>1488</v>
      </c>
      <c r="F54" s="191" t="s">
        <v>1488</v>
      </c>
      <c r="G54" s="191">
        <v>7</v>
      </c>
      <c r="H54" s="192">
        <v>0</v>
      </c>
      <c r="I54" s="192">
        <v>83.99</v>
      </c>
      <c r="J54" s="192">
        <f>SUM(H54,I54)</f>
        <v>83.99</v>
      </c>
    </row>
    <row r="55" spans="1:10" outlineLevel="1">
      <c r="A55" s="193" t="s">
        <v>1474</v>
      </c>
      <c r="B55" s="194"/>
      <c r="C55" s="194"/>
      <c r="D55" s="193"/>
      <c r="E55" s="194"/>
      <c r="F55" s="194"/>
      <c r="G55" s="194">
        <f>SUBTOTAL(9,G30:G54)</f>
        <v>153.5</v>
      </c>
      <c r="H55" s="195">
        <f>SUBTOTAL(9,H30:H54)</f>
        <v>0</v>
      </c>
      <c r="I55" s="195">
        <f>SUBTOTAL(9,I30:I54)</f>
        <v>2119.5899999999997</v>
      </c>
      <c r="J55" s="195">
        <f>SUBTOTAL(9,J30:J54)</f>
        <v>2119.5899999999997</v>
      </c>
    </row>
    <row r="56" spans="1:10" outlineLevel="2">
      <c r="A56" s="191" t="s">
        <v>1461</v>
      </c>
      <c r="B56" s="191" t="s">
        <v>284</v>
      </c>
      <c r="C56" s="191" t="s">
        <v>867</v>
      </c>
      <c r="D56" s="208" t="s">
        <v>1462</v>
      </c>
      <c r="E56" s="191" t="s">
        <v>1495</v>
      </c>
      <c r="F56" s="191" t="s">
        <v>1496</v>
      </c>
      <c r="G56" s="191">
        <v>14</v>
      </c>
      <c r="H56" s="192">
        <v>0</v>
      </c>
      <c r="I56" s="192">
        <v>211.76</v>
      </c>
      <c r="J56" s="192">
        <f>SUM(H56,I56)</f>
        <v>211.76</v>
      </c>
    </row>
    <row r="57" spans="1:10" outlineLevel="2">
      <c r="A57" s="191" t="s">
        <v>1461</v>
      </c>
      <c r="B57" s="191" t="s">
        <v>284</v>
      </c>
      <c r="C57" s="191" t="s">
        <v>867</v>
      </c>
      <c r="D57" s="208" t="s">
        <v>1463</v>
      </c>
      <c r="E57" s="191" t="s">
        <v>1497</v>
      </c>
      <c r="F57" s="191" t="s">
        <v>1498</v>
      </c>
      <c r="G57" s="191">
        <v>28</v>
      </c>
      <c r="H57" s="192">
        <v>0</v>
      </c>
      <c r="I57" s="192">
        <v>423.52</v>
      </c>
      <c r="J57" s="192">
        <f>SUM(H57,I57)</f>
        <v>423.52</v>
      </c>
    </row>
    <row r="58" spans="1:10" outlineLevel="2">
      <c r="A58" s="191" t="s">
        <v>1063</v>
      </c>
      <c r="B58" s="191" t="s">
        <v>871</v>
      </c>
      <c r="C58" s="191" t="s">
        <v>867</v>
      </c>
      <c r="D58" s="208" t="s">
        <v>1464</v>
      </c>
      <c r="E58" s="191" t="s">
        <v>1499</v>
      </c>
      <c r="F58" s="191" t="s">
        <v>1500</v>
      </c>
      <c r="G58" s="191">
        <v>14</v>
      </c>
      <c r="H58" s="192">
        <v>0</v>
      </c>
      <c r="I58" s="192">
        <v>222.4</v>
      </c>
      <c r="J58" s="192">
        <f>SUM(H58,I58)</f>
        <v>222.4</v>
      </c>
    </row>
    <row r="59" spans="1:10" outlineLevel="2">
      <c r="A59" s="191" t="s">
        <v>1465</v>
      </c>
      <c r="B59" s="191" t="s">
        <v>967</v>
      </c>
      <c r="C59" s="191" t="s">
        <v>867</v>
      </c>
      <c r="D59" s="208" t="s">
        <v>1466</v>
      </c>
      <c r="E59" s="191" t="s">
        <v>1501</v>
      </c>
      <c r="F59" s="191" t="s">
        <v>1502</v>
      </c>
      <c r="G59" s="191">
        <v>21</v>
      </c>
      <c r="H59" s="192">
        <v>0</v>
      </c>
      <c r="I59" s="192">
        <v>217.98</v>
      </c>
      <c r="J59" s="192">
        <f>SUM(H59,I59)</f>
        <v>217.98</v>
      </c>
    </row>
    <row r="60" spans="1:10" outlineLevel="1">
      <c r="A60" s="193" t="s">
        <v>1475</v>
      </c>
      <c r="B60" s="194"/>
      <c r="C60" s="194"/>
      <c r="D60" s="193"/>
      <c r="E60" s="194"/>
      <c r="F60" s="194"/>
      <c r="G60" s="194">
        <f>SUBTOTAL(9,G56:G59)</f>
        <v>77</v>
      </c>
      <c r="H60" s="195">
        <f>SUBTOTAL(9,H56:H59)</f>
        <v>0</v>
      </c>
      <c r="I60" s="195">
        <f>SUBTOTAL(9,I56:I59)</f>
        <v>1075.6599999999999</v>
      </c>
      <c r="J60" s="195">
        <f>SUBTOTAL(9,J56:J59)</f>
        <v>1075.6599999999999</v>
      </c>
    </row>
    <row r="61" spans="1:10" outlineLevel="2">
      <c r="A61" s="191" t="s">
        <v>1467</v>
      </c>
      <c r="B61" s="191" t="s">
        <v>1468</v>
      </c>
      <c r="C61" s="191" t="s">
        <v>88</v>
      </c>
      <c r="D61" s="208" t="s">
        <v>1469</v>
      </c>
      <c r="E61" s="191" t="s">
        <v>1503</v>
      </c>
      <c r="F61" s="191" t="s">
        <v>1504</v>
      </c>
      <c r="G61" s="191">
        <v>21</v>
      </c>
      <c r="H61" s="192">
        <v>0</v>
      </c>
      <c r="I61" s="192">
        <v>664.83</v>
      </c>
      <c r="J61" s="192">
        <f>SUM(H61,I61)</f>
        <v>664.83</v>
      </c>
    </row>
    <row r="62" spans="1:10" outlineLevel="1">
      <c r="A62" s="193" t="s">
        <v>1476</v>
      </c>
      <c r="B62" s="194"/>
      <c r="C62" s="194"/>
      <c r="D62" s="193"/>
      <c r="E62" s="194"/>
      <c r="F62" s="194"/>
      <c r="G62" s="194">
        <f>SUBTOTAL(9,G61:G61)</f>
        <v>21</v>
      </c>
      <c r="H62" s="195">
        <f>SUBTOTAL(9,H61:H61)</f>
        <v>0</v>
      </c>
      <c r="I62" s="195">
        <f>SUBTOTAL(9,I61:I61)</f>
        <v>664.83</v>
      </c>
      <c r="J62" s="195">
        <f>SUBTOTAL(9,J61:J61)</f>
        <v>664.83</v>
      </c>
    </row>
    <row r="63" spans="1:10" ht="24.95" customHeight="1">
      <c r="A63" s="209" t="s">
        <v>51</v>
      </c>
      <c r="B63" s="209"/>
      <c r="C63" s="210"/>
      <c r="D63" s="210"/>
      <c r="E63" s="210"/>
      <c r="F63" s="210"/>
      <c r="G63" s="210">
        <f>SUBTOTAL(9,G13:G61)</f>
        <v>362.5</v>
      </c>
      <c r="H63" s="211">
        <f>SUBTOTAL(9,H13:H61)</f>
        <v>420</v>
      </c>
      <c r="I63" s="211">
        <f>SUBTOTAL(9,I13:I61)</f>
        <v>5923.0499999999993</v>
      </c>
      <c r="J63" s="211">
        <f>SUBTOTAL(9,J13:J61)</f>
        <v>6343.0499999999993</v>
      </c>
    </row>
    <row r="66" spans="1:1">
      <c r="A66" s="55" t="s">
        <v>36</v>
      </c>
    </row>
    <row r="67" spans="1:1">
      <c r="A67" s="55" t="s">
        <v>37</v>
      </c>
    </row>
  </sheetData>
  <autoFilter ref="A12:J62" xr:uid="{00000000-0009-0000-0000-00000A000000}"/>
  <sortState xmlns:xlrd2="http://schemas.microsoft.com/office/spreadsheetml/2017/richdata2" ref="A13:J61">
    <sortCondition ref="C13:C61"/>
  </sortState>
  <mergeCells count="4">
    <mergeCell ref="A63:B63"/>
    <mergeCell ref="A5:J5"/>
    <mergeCell ref="A6:J6"/>
    <mergeCell ref="A7:J7"/>
  </mergeCells>
  <pageMargins left="0.27569444444444402" right="0.12986111111111101" top="0.17708333333333301" bottom="0.17361111111111099" header="0.51180555555555496" footer="0.51180555555555496"/>
  <pageSetup paperSize="9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69"/>
  <sheetViews>
    <sheetView zoomScale="85" zoomScaleNormal="85" workbookViewId="0">
      <selection activeCell="I10" sqref="I10"/>
    </sheetView>
  </sheetViews>
  <sheetFormatPr baseColWidth="10" defaultColWidth="11.85546875" defaultRowHeight="15" outlineLevelRow="2"/>
  <cols>
    <col min="1" max="1" width="17.7109375" customWidth="1"/>
    <col min="2" max="3" width="13.140625" style="65" customWidth="1"/>
    <col min="4" max="4" width="37" style="65" customWidth="1"/>
    <col min="5" max="6" width="8.7109375" style="65" customWidth="1"/>
    <col min="7" max="7" width="9" style="128" customWidth="1"/>
    <col min="8" max="8" width="10.42578125" style="65" customWidth="1"/>
    <col min="9" max="9" width="11.5703125" style="65" customWidth="1"/>
    <col min="10" max="10" width="12.28515625" style="65" customWidth="1"/>
    <col min="11" max="11" width="8.28515625" customWidth="1"/>
  </cols>
  <sheetData>
    <row r="1" spans="1:17" ht="18">
      <c r="F1" s="119"/>
      <c r="G1" s="119"/>
      <c r="H1" s="119"/>
      <c r="I1" s="120"/>
    </row>
    <row r="2" spans="1:17" ht="18">
      <c r="B2" s="6"/>
      <c r="E2" s="121" t="s">
        <v>0</v>
      </c>
      <c r="F2" s="121"/>
      <c r="G2" s="121"/>
      <c r="H2" s="119"/>
      <c r="I2" s="120"/>
      <c r="J2" s="122" t="s">
        <v>1</v>
      </c>
    </row>
    <row r="3" spans="1:17" ht="18">
      <c r="B3" s="6"/>
      <c r="E3" s="121"/>
      <c r="F3" s="121"/>
      <c r="G3" s="121"/>
      <c r="H3" s="119"/>
      <c r="I3" s="120"/>
      <c r="J3" s="122" t="s">
        <v>66</v>
      </c>
    </row>
    <row r="4" spans="1:17" ht="18">
      <c r="B4" s="6"/>
      <c r="E4" s="121"/>
      <c r="F4" s="121"/>
      <c r="G4" s="121"/>
      <c r="H4" s="119"/>
      <c r="I4" s="120"/>
      <c r="J4" s="122"/>
    </row>
    <row r="5" spans="1:17" ht="18">
      <c r="B5" s="6"/>
      <c r="F5" s="119"/>
      <c r="G5" s="119"/>
      <c r="H5" s="119"/>
      <c r="I5" s="120"/>
      <c r="J5"/>
    </row>
    <row r="6" spans="1:17" ht="19.899999999999999" customHeight="1">
      <c r="A6" s="167" t="s">
        <v>6</v>
      </c>
      <c r="B6" s="167"/>
      <c r="C6" s="167"/>
      <c r="D6" s="167"/>
      <c r="E6" s="167"/>
      <c r="F6" s="167"/>
      <c r="G6" s="167"/>
      <c r="H6" s="167"/>
      <c r="I6" s="167"/>
      <c r="J6" s="167"/>
    </row>
    <row r="7" spans="1:17" ht="19.899999999999999" customHeight="1">
      <c r="A7" s="168" t="s">
        <v>1470</v>
      </c>
      <c r="B7" s="168"/>
      <c r="C7" s="168"/>
      <c r="D7" s="168"/>
      <c r="E7" s="168"/>
      <c r="F7" s="168"/>
      <c r="G7" s="168"/>
      <c r="H7" s="168"/>
      <c r="I7" s="168"/>
      <c r="J7" s="168"/>
    </row>
    <row r="8" spans="1:17" ht="19.899999999999999" customHeight="1">
      <c r="A8" s="168" t="s">
        <v>29</v>
      </c>
      <c r="B8" s="168"/>
      <c r="C8" s="168"/>
      <c r="D8" s="168"/>
      <c r="E8" s="168"/>
      <c r="F8" s="168"/>
      <c r="G8" s="168"/>
      <c r="H8" s="168"/>
      <c r="I8" s="168"/>
      <c r="J8" s="168"/>
    </row>
    <row r="9" spans="1:17" ht="19.899999999999999" customHeight="1">
      <c r="A9" s="123"/>
      <c r="B9" s="123"/>
      <c r="C9" s="123"/>
      <c r="D9" s="123"/>
      <c r="E9" s="123"/>
      <c r="F9" s="123"/>
      <c r="G9" s="123"/>
      <c r="H9" s="123"/>
      <c r="I9" s="123"/>
      <c r="J9" s="123"/>
    </row>
    <row r="10" spans="1:17" ht="15.75">
      <c r="A10" s="124"/>
      <c r="C10" s="129"/>
      <c r="D10" s="129"/>
      <c r="E10" s="129"/>
      <c r="F10" s="129"/>
      <c r="G10" s="129"/>
      <c r="H10" s="129"/>
      <c r="I10" s="129"/>
    </row>
    <row r="11" spans="1:17" ht="18">
      <c r="A11" s="183" t="s">
        <v>52</v>
      </c>
      <c r="B11" s="183"/>
      <c r="M11" s="55"/>
    </row>
    <row r="12" spans="1:17">
      <c r="M12" s="55"/>
    </row>
    <row r="13" spans="1:17" ht="34.9" customHeight="1">
      <c r="A13" s="212" t="s">
        <v>67</v>
      </c>
      <c r="B13" s="212" t="s">
        <v>68</v>
      </c>
      <c r="C13" s="212" t="s">
        <v>89</v>
      </c>
      <c r="D13" s="212" t="s">
        <v>90</v>
      </c>
      <c r="E13" s="213" t="s">
        <v>91</v>
      </c>
      <c r="F13" s="213" t="s">
        <v>92</v>
      </c>
      <c r="G13" s="212" t="s">
        <v>47</v>
      </c>
      <c r="H13" s="214" t="s">
        <v>48</v>
      </c>
      <c r="I13" s="214" t="s">
        <v>49</v>
      </c>
      <c r="J13" s="215" t="s">
        <v>50</v>
      </c>
      <c r="N13" s="65"/>
      <c r="O13" s="65"/>
      <c r="P13" s="65"/>
      <c r="Q13" s="65"/>
    </row>
    <row r="14" spans="1:17" outlineLevel="2">
      <c r="A14" s="191" t="s">
        <v>2767</v>
      </c>
      <c r="B14" s="191" t="s">
        <v>87</v>
      </c>
      <c r="C14" s="191" t="s">
        <v>94</v>
      </c>
      <c r="D14" s="191" t="s">
        <v>1505</v>
      </c>
      <c r="E14" s="191" t="s">
        <v>2585</v>
      </c>
      <c r="F14" s="191" t="s">
        <v>2586</v>
      </c>
      <c r="G14" s="191">
        <v>14</v>
      </c>
      <c r="H14" s="192">
        <v>0</v>
      </c>
      <c r="I14" s="192">
        <v>143.97999999999999</v>
      </c>
      <c r="J14" s="192">
        <f>SUM(H14:I14)</f>
        <v>143.97999999999999</v>
      </c>
    </row>
    <row r="15" spans="1:17" outlineLevel="2">
      <c r="A15" s="191" t="s">
        <v>93</v>
      </c>
      <c r="B15" s="191" t="s">
        <v>2768</v>
      </c>
      <c r="C15" s="191" t="s">
        <v>94</v>
      </c>
      <c r="D15" s="191" t="s">
        <v>95</v>
      </c>
      <c r="E15" s="191" t="s">
        <v>2587</v>
      </c>
      <c r="F15" s="191" t="s">
        <v>2587</v>
      </c>
      <c r="G15" s="191">
        <v>7</v>
      </c>
      <c r="H15" s="192">
        <v>100</v>
      </c>
      <c r="I15" s="192">
        <v>133.18</v>
      </c>
      <c r="J15" s="192">
        <f>SUM(H15:I15)</f>
        <v>233.18</v>
      </c>
    </row>
    <row r="16" spans="1:17" outlineLevel="2">
      <c r="A16" s="191" t="s">
        <v>93</v>
      </c>
      <c r="B16" s="191" t="s">
        <v>2768</v>
      </c>
      <c r="C16" s="191" t="s">
        <v>94</v>
      </c>
      <c r="D16" s="191" t="s">
        <v>95</v>
      </c>
      <c r="E16" s="191" t="s">
        <v>2588</v>
      </c>
      <c r="F16" s="191" t="s">
        <v>2588</v>
      </c>
      <c r="G16" s="191">
        <v>7</v>
      </c>
      <c r="H16" s="192">
        <v>100</v>
      </c>
      <c r="I16" s="192">
        <v>128.88</v>
      </c>
      <c r="J16" s="192">
        <f>SUM(H16:I16)</f>
        <v>228.88</v>
      </c>
    </row>
    <row r="17" spans="1:10" outlineLevel="2">
      <c r="A17" s="191" t="s">
        <v>93</v>
      </c>
      <c r="B17" s="191" t="s">
        <v>2768</v>
      </c>
      <c r="C17" s="191" t="s">
        <v>94</v>
      </c>
      <c r="D17" s="191" t="s">
        <v>95</v>
      </c>
      <c r="E17" s="191" t="s">
        <v>1482</v>
      </c>
      <c r="F17" s="191" t="s">
        <v>1482</v>
      </c>
      <c r="G17" s="191">
        <v>7</v>
      </c>
      <c r="H17" s="192">
        <v>100</v>
      </c>
      <c r="I17" s="192">
        <v>133.18</v>
      </c>
      <c r="J17" s="192">
        <f>SUM(H17:I17)</f>
        <v>233.18</v>
      </c>
    </row>
    <row r="18" spans="1:10" outlineLevel="2">
      <c r="A18" s="191" t="s">
        <v>93</v>
      </c>
      <c r="B18" s="191" t="s">
        <v>2768</v>
      </c>
      <c r="C18" s="191" t="s">
        <v>94</v>
      </c>
      <c r="D18" s="191" t="s">
        <v>95</v>
      </c>
      <c r="E18" s="191" t="s">
        <v>2589</v>
      </c>
      <c r="F18" s="191" t="s">
        <v>2589</v>
      </c>
      <c r="G18" s="191">
        <v>7</v>
      </c>
      <c r="H18" s="192">
        <v>0</v>
      </c>
      <c r="I18" s="192">
        <v>128.30000000000001</v>
      </c>
      <c r="J18" s="192">
        <f>SUM(H18:I18)</f>
        <v>128.30000000000001</v>
      </c>
    </row>
    <row r="19" spans="1:10" outlineLevel="2">
      <c r="A19" s="191" t="s">
        <v>93</v>
      </c>
      <c r="B19" s="191" t="s">
        <v>2768</v>
      </c>
      <c r="C19" s="191" t="s">
        <v>94</v>
      </c>
      <c r="D19" s="191" t="s">
        <v>95</v>
      </c>
      <c r="E19" s="191" t="s">
        <v>1487</v>
      </c>
      <c r="F19" s="191" t="s">
        <v>1487</v>
      </c>
      <c r="G19" s="191">
        <v>7</v>
      </c>
      <c r="H19" s="192">
        <v>0</v>
      </c>
      <c r="I19" s="192">
        <v>133.18</v>
      </c>
      <c r="J19" s="192">
        <f>SUM(H19:I19)</f>
        <v>133.18</v>
      </c>
    </row>
    <row r="20" spans="1:10" outlineLevel="2">
      <c r="A20" s="191" t="s">
        <v>93</v>
      </c>
      <c r="B20" s="191" t="s">
        <v>2768</v>
      </c>
      <c r="C20" s="191" t="s">
        <v>94</v>
      </c>
      <c r="D20" s="191" t="s">
        <v>1506</v>
      </c>
      <c r="E20" s="191" t="s">
        <v>2590</v>
      </c>
      <c r="F20" s="191" t="s">
        <v>2590</v>
      </c>
      <c r="G20" s="191">
        <v>7</v>
      </c>
      <c r="H20" s="192">
        <v>0</v>
      </c>
      <c r="I20" s="192">
        <v>133.83000000000001</v>
      </c>
      <c r="J20" s="192">
        <f>SUM(H20:I20)</f>
        <v>133.83000000000001</v>
      </c>
    </row>
    <row r="21" spans="1:10" outlineLevel="2">
      <c r="A21" s="191" t="s">
        <v>93</v>
      </c>
      <c r="B21" s="191" t="s">
        <v>2768</v>
      </c>
      <c r="C21" s="191" t="s">
        <v>94</v>
      </c>
      <c r="D21" s="191" t="s">
        <v>95</v>
      </c>
      <c r="E21" s="191" t="s">
        <v>2591</v>
      </c>
      <c r="F21" s="191" t="s">
        <v>1486</v>
      </c>
      <c r="G21" s="191">
        <v>14</v>
      </c>
      <c r="H21" s="192">
        <v>0</v>
      </c>
      <c r="I21" s="192">
        <v>266.36</v>
      </c>
      <c r="J21" s="192">
        <f>SUM(H21:I21)</f>
        <v>266.36</v>
      </c>
    </row>
    <row r="22" spans="1:10" outlineLevel="2">
      <c r="A22" s="191" t="s">
        <v>2769</v>
      </c>
      <c r="B22" s="191" t="s">
        <v>165</v>
      </c>
      <c r="C22" s="191" t="s">
        <v>94</v>
      </c>
      <c r="D22" s="191" t="s">
        <v>1507</v>
      </c>
      <c r="E22" s="191" t="s">
        <v>2592</v>
      </c>
      <c r="F22" s="191" t="s">
        <v>2592</v>
      </c>
      <c r="G22" s="191">
        <v>7</v>
      </c>
      <c r="H22" s="192">
        <v>0</v>
      </c>
      <c r="I22" s="192">
        <v>138.97</v>
      </c>
      <c r="J22" s="192">
        <f>SUM(H22:I22)</f>
        <v>138.97</v>
      </c>
    </row>
    <row r="23" spans="1:10" outlineLevel="2">
      <c r="A23" s="191" t="s">
        <v>96</v>
      </c>
      <c r="B23" s="191" t="s">
        <v>2768</v>
      </c>
      <c r="C23" s="191" t="s">
        <v>94</v>
      </c>
      <c r="D23" s="191" t="s">
        <v>95</v>
      </c>
      <c r="E23" s="191" t="s">
        <v>2587</v>
      </c>
      <c r="F23" s="191" t="s">
        <v>2587</v>
      </c>
      <c r="G23" s="191">
        <v>7</v>
      </c>
      <c r="H23" s="192">
        <v>100</v>
      </c>
      <c r="I23" s="192">
        <v>133.18</v>
      </c>
      <c r="J23" s="192">
        <f>SUM(H23:I23)</f>
        <v>233.18</v>
      </c>
    </row>
    <row r="24" spans="1:10" outlineLevel="2">
      <c r="A24" s="191" t="s">
        <v>96</v>
      </c>
      <c r="B24" s="191" t="s">
        <v>2768</v>
      </c>
      <c r="C24" s="191" t="s">
        <v>94</v>
      </c>
      <c r="D24" s="191" t="s">
        <v>1508</v>
      </c>
      <c r="E24" s="191" t="s">
        <v>2588</v>
      </c>
      <c r="F24" s="191" t="s">
        <v>2588</v>
      </c>
      <c r="G24" s="191">
        <v>7</v>
      </c>
      <c r="H24" s="192">
        <v>100</v>
      </c>
      <c r="I24" s="192">
        <v>133.18</v>
      </c>
      <c r="J24" s="192">
        <f>SUM(H24:I24)</f>
        <v>233.18</v>
      </c>
    </row>
    <row r="25" spans="1:10" outlineLevel="2">
      <c r="A25" s="191" t="s">
        <v>96</v>
      </c>
      <c r="B25" s="191" t="s">
        <v>2768</v>
      </c>
      <c r="C25" s="191" t="s">
        <v>94</v>
      </c>
      <c r="D25" s="191" t="s">
        <v>95</v>
      </c>
      <c r="E25" s="191" t="s">
        <v>1482</v>
      </c>
      <c r="F25" s="191" t="s">
        <v>1482</v>
      </c>
      <c r="G25" s="191">
        <v>7</v>
      </c>
      <c r="H25" s="192">
        <v>100</v>
      </c>
      <c r="I25" s="192">
        <v>133.18</v>
      </c>
      <c r="J25" s="192">
        <f>SUM(H25:I25)</f>
        <v>233.18</v>
      </c>
    </row>
    <row r="26" spans="1:10" outlineLevel="2">
      <c r="A26" s="191" t="s">
        <v>96</v>
      </c>
      <c r="B26" s="191" t="s">
        <v>2768</v>
      </c>
      <c r="C26" s="191" t="s">
        <v>94</v>
      </c>
      <c r="D26" s="191" t="s">
        <v>95</v>
      </c>
      <c r="E26" s="191" t="s">
        <v>2589</v>
      </c>
      <c r="F26" s="191" t="s">
        <v>2589</v>
      </c>
      <c r="G26" s="191">
        <v>7</v>
      </c>
      <c r="H26" s="192">
        <v>0</v>
      </c>
      <c r="I26" s="192">
        <v>133.18</v>
      </c>
      <c r="J26" s="192">
        <f>SUM(H26:I26)</f>
        <v>133.18</v>
      </c>
    </row>
    <row r="27" spans="1:10" outlineLevel="2">
      <c r="A27" s="191" t="s">
        <v>96</v>
      </c>
      <c r="B27" s="191" t="s">
        <v>2768</v>
      </c>
      <c r="C27" s="191" t="s">
        <v>94</v>
      </c>
      <c r="D27" s="191" t="s">
        <v>95</v>
      </c>
      <c r="E27" s="191" t="s">
        <v>1487</v>
      </c>
      <c r="F27" s="191" t="s">
        <v>1487</v>
      </c>
      <c r="G27" s="191">
        <v>7</v>
      </c>
      <c r="H27" s="192">
        <v>0</v>
      </c>
      <c r="I27" s="192">
        <v>139.99</v>
      </c>
      <c r="J27" s="192">
        <f>SUM(H27:I27)</f>
        <v>139.99</v>
      </c>
    </row>
    <row r="28" spans="1:10" outlineLevel="2">
      <c r="A28" s="191" t="s">
        <v>96</v>
      </c>
      <c r="B28" s="191" t="s">
        <v>2768</v>
      </c>
      <c r="C28" s="191" t="s">
        <v>94</v>
      </c>
      <c r="D28" s="191" t="s">
        <v>1509</v>
      </c>
      <c r="E28" s="191" t="s">
        <v>2590</v>
      </c>
      <c r="F28" s="191" t="s">
        <v>2590</v>
      </c>
      <c r="G28" s="191">
        <v>7</v>
      </c>
      <c r="H28" s="192">
        <v>0</v>
      </c>
      <c r="I28" s="192">
        <v>135.54</v>
      </c>
      <c r="J28" s="192">
        <f>SUM(H28:I28)</f>
        <v>135.54</v>
      </c>
    </row>
    <row r="29" spans="1:10" outlineLevel="2">
      <c r="A29" s="191" t="s">
        <v>96</v>
      </c>
      <c r="B29" s="191" t="s">
        <v>2768</v>
      </c>
      <c r="C29" s="191" t="s">
        <v>94</v>
      </c>
      <c r="D29" s="191" t="s">
        <v>95</v>
      </c>
      <c r="E29" s="191" t="s">
        <v>2591</v>
      </c>
      <c r="F29" s="191" t="s">
        <v>1486</v>
      </c>
      <c r="G29" s="191">
        <v>14</v>
      </c>
      <c r="H29" s="192">
        <v>0</v>
      </c>
      <c r="I29" s="192">
        <v>266.36</v>
      </c>
      <c r="J29" s="192">
        <f>SUM(H29:I29)</f>
        <v>266.36</v>
      </c>
    </row>
    <row r="30" spans="1:10" outlineLevel="2">
      <c r="A30" s="191" t="s">
        <v>97</v>
      </c>
      <c r="B30" s="191" t="s">
        <v>2768</v>
      </c>
      <c r="C30" s="191" t="s">
        <v>94</v>
      </c>
      <c r="D30" s="191" t="s">
        <v>1510</v>
      </c>
      <c r="E30" s="191" t="s">
        <v>2593</v>
      </c>
      <c r="F30" s="191" t="s">
        <v>1487</v>
      </c>
      <c r="G30" s="191">
        <v>14</v>
      </c>
      <c r="H30" s="192">
        <v>0</v>
      </c>
      <c r="I30" s="192">
        <v>388.2</v>
      </c>
      <c r="J30" s="192">
        <f>SUM(H30:I30)</f>
        <v>388.2</v>
      </c>
    </row>
    <row r="31" spans="1:10" outlineLevel="2">
      <c r="A31" s="191" t="s">
        <v>97</v>
      </c>
      <c r="B31" s="191" t="s">
        <v>2768</v>
      </c>
      <c r="C31" s="191" t="s">
        <v>94</v>
      </c>
      <c r="D31" s="191" t="s">
        <v>1511</v>
      </c>
      <c r="E31" s="191" t="s">
        <v>1503</v>
      </c>
      <c r="F31" s="191" t="s">
        <v>1504</v>
      </c>
      <c r="G31" s="191">
        <v>21</v>
      </c>
      <c r="H31" s="192">
        <v>0</v>
      </c>
      <c r="I31" s="192">
        <v>582.29999999999995</v>
      </c>
      <c r="J31" s="192">
        <f>SUM(H31:I31)</f>
        <v>582.29999999999995</v>
      </c>
    </row>
    <row r="32" spans="1:10" outlineLevel="2">
      <c r="A32" s="191" t="s">
        <v>2770</v>
      </c>
      <c r="B32" s="191" t="s">
        <v>2768</v>
      </c>
      <c r="C32" s="191" t="s">
        <v>94</v>
      </c>
      <c r="D32" s="191" t="s">
        <v>1510</v>
      </c>
      <c r="E32" s="191" t="s">
        <v>2594</v>
      </c>
      <c r="F32" s="191" t="s">
        <v>2588</v>
      </c>
      <c r="G32" s="191">
        <v>14</v>
      </c>
      <c r="H32" s="192">
        <v>100</v>
      </c>
      <c r="I32" s="192">
        <v>573.1</v>
      </c>
      <c r="J32" s="192">
        <f>SUM(H32:I32)</f>
        <v>673.1</v>
      </c>
    </row>
    <row r="33" spans="1:10" outlineLevel="2">
      <c r="A33" s="191" t="s">
        <v>2770</v>
      </c>
      <c r="B33" s="191" t="s">
        <v>2768</v>
      </c>
      <c r="C33" s="191" t="s">
        <v>94</v>
      </c>
      <c r="D33" s="191" t="s">
        <v>1511</v>
      </c>
      <c r="E33" s="191" t="s">
        <v>1503</v>
      </c>
      <c r="F33" s="191" t="s">
        <v>1504</v>
      </c>
      <c r="G33" s="191">
        <v>21</v>
      </c>
      <c r="H33" s="192">
        <v>0</v>
      </c>
      <c r="I33" s="192">
        <v>588.24</v>
      </c>
      <c r="J33" s="192">
        <f>SUM(H33:I33)</f>
        <v>588.24</v>
      </c>
    </row>
    <row r="34" spans="1:10" outlineLevel="2">
      <c r="A34" s="191" t="s">
        <v>2771</v>
      </c>
      <c r="B34" s="191" t="s">
        <v>87</v>
      </c>
      <c r="C34" s="191" t="s">
        <v>94</v>
      </c>
      <c r="D34" s="191" t="s">
        <v>1512</v>
      </c>
      <c r="E34" s="191" t="s">
        <v>2585</v>
      </c>
      <c r="F34" s="191" t="s">
        <v>2586</v>
      </c>
      <c r="G34" s="191">
        <v>14</v>
      </c>
      <c r="H34" s="192">
        <v>0</v>
      </c>
      <c r="I34" s="192">
        <v>133.47999999999999</v>
      </c>
      <c r="J34" s="192">
        <f>SUM(H34:I34)</f>
        <v>133.47999999999999</v>
      </c>
    </row>
    <row r="35" spans="1:10" outlineLevel="1">
      <c r="A35" s="193" t="s">
        <v>2983</v>
      </c>
      <c r="B35" s="194"/>
      <c r="C35" s="194"/>
      <c r="D35" s="194"/>
      <c r="E35" s="194"/>
      <c r="F35" s="194"/>
      <c r="G35" s="194">
        <f>SUBTOTAL(9,G14:G34)</f>
        <v>217</v>
      </c>
      <c r="H35" s="195">
        <f>SUBTOTAL(9,H14:H34)</f>
        <v>700</v>
      </c>
      <c r="I35" s="195">
        <f>SUBTOTAL(9,I14:I34)</f>
        <v>4679.79</v>
      </c>
      <c r="J35" s="195">
        <f>SUBTOTAL(9,J14:J34)</f>
        <v>5379.7899999999991</v>
      </c>
    </row>
    <row r="36" spans="1:10" outlineLevel="2">
      <c r="A36" s="191" t="s">
        <v>2772</v>
      </c>
      <c r="B36" s="191" t="s">
        <v>287</v>
      </c>
      <c r="C36" s="191" t="s">
        <v>885</v>
      </c>
      <c r="D36" s="191" t="s">
        <v>1513</v>
      </c>
      <c r="E36" s="191" t="s">
        <v>2595</v>
      </c>
      <c r="F36" s="191" t="s">
        <v>2596</v>
      </c>
      <c r="G36" s="191">
        <v>14</v>
      </c>
      <c r="H36" s="192">
        <v>0</v>
      </c>
      <c r="I36" s="192">
        <v>359.2</v>
      </c>
      <c r="J36" s="192">
        <f>SUM(H36:I36)</f>
        <v>359.2</v>
      </c>
    </row>
    <row r="37" spans="1:10" outlineLevel="1">
      <c r="A37" s="193" t="s">
        <v>2984</v>
      </c>
      <c r="B37" s="194"/>
      <c r="C37" s="194"/>
      <c r="D37" s="194"/>
      <c r="E37" s="194"/>
      <c r="F37" s="194"/>
      <c r="G37" s="194">
        <f>SUBTOTAL(9,G36:G36)</f>
        <v>14</v>
      </c>
      <c r="H37" s="195">
        <f>SUBTOTAL(9,H36:H36)</f>
        <v>0</v>
      </c>
      <c r="I37" s="195">
        <f>SUBTOTAL(9,I36:I36)</f>
        <v>359.2</v>
      </c>
      <c r="J37" s="195">
        <f>SUBTOTAL(9,J36:J36)</f>
        <v>359.2</v>
      </c>
    </row>
    <row r="38" spans="1:10" outlineLevel="2">
      <c r="A38" s="191" t="s">
        <v>99</v>
      </c>
      <c r="B38" s="191" t="s">
        <v>100</v>
      </c>
      <c r="C38" s="191" t="s">
        <v>101</v>
      </c>
      <c r="D38" s="191" t="s">
        <v>1514</v>
      </c>
      <c r="E38" s="191" t="s">
        <v>1492</v>
      </c>
      <c r="F38" s="191" t="s">
        <v>2590</v>
      </c>
      <c r="G38" s="191">
        <v>21</v>
      </c>
      <c r="H38" s="192">
        <v>0</v>
      </c>
      <c r="I38" s="192">
        <v>505.32</v>
      </c>
      <c r="J38" s="192">
        <f>SUM(H38:I38)</f>
        <v>505.32</v>
      </c>
    </row>
    <row r="39" spans="1:10" outlineLevel="1">
      <c r="A39" s="193" t="s">
        <v>2985</v>
      </c>
      <c r="B39" s="194"/>
      <c r="C39" s="194"/>
      <c r="D39" s="194"/>
      <c r="E39" s="194"/>
      <c r="F39" s="194"/>
      <c r="G39" s="194">
        <f>SUBTOTAL(9,G38:G38)</f>
        <v>21</v>
      </c>
      <c r="H39" s="195">
        <f>SUBTOTAL(9,H38:H38)</f>
        <v>0</v>
      </c>
      <c r="I39" s="195">
        <f>SUBTOTAL(9,I38:I38)</f>
        <v>505.32</v>
      </c>
      <c r="J39" s="195">
        <f>SUBTOTAL(9,J38:J38)</f>
        <v>505.32</v>
      </c>
    </row>
    <row r="40" spans="1:10" outlineLevel="2">
      <c r="A40" s="191" t="s">
        <v>102</v>
      </c>
      <c r="B40" s="191" t="s">
        <v>103</v>
      </c>
      <c r="C40" s="191" t="s">
        <v>104</v>
      </c>
      <c r="D40" s="191" t="s">
        <v>1515</v>
      </c>
      <c r="E40" s="191" t="s">
        <v>1495</v>
      </c>
      <c r="F40" s="191" t="s">
        <v>1496</v>
      </c>
      <c r="G40" s="191">
        <v>14</v>
      </c>
      <c r="H40" s="192">
        <v>0</v>
      </c>
      <c r="I40" s="192">
        <v>371.16</v>
      </c>
      <c r="J40" s="192">
        <f>SUM(H40:I40)</f>
        <v>371.16</v>
      </c>
    </row>
    <row r="41" spans="1:10" outlineLevel="2">
      <c r="A41" s="191" t="s">
        <v>102</v>
      </c>
      <c r="B41" s="191" t="s">
        <v>103</v>
      </c>
      <c r="C41" s="191" t="s">
        <v>104</v>
      </c>
      <c r="D41" s="191" t="s">
        <v>1510</v>
      </c>
      <c r="E41" s="191" t="s">
        <v>2597</v>
      </c>
      <c r="F41" s="191" t="s">
        <v>2598</v>
      </c>
      <c r="G41" s="191">
        <v>14</v>
      </c>
      <c r="H41" s="192">
        <v>332</v>
      </c>
      <c r="I41" s="192">
        <v>376.4</v>
      </c>
      <c r="J41" s="192">
        <f>SUM(H41:I41)</f>
        <v>708.4</v>
      </c>
    </row>
    <row r="42" spans="1:10" outlineLevel="1">
      <c r="A42" s="193" t="s">
        <v>2986</v>
      </c>
      <c r="B42" s="194"/>
      <c r="C42" s="194"/>
      <c r="D42" s="194"/>
      <c r="E42" s="194"/>
      <c r="F42" s="194"/>
      <c r="G42" s="194">
        <f>SUBTOTAL(9,G40:G41)</f>
        <v>28</v>
      </c>
      <c r="H42" s="195">
        <f>SUBTOTAL(9,H40:H41)</f>
        <v>332</v>
      </c>
      <c r="I42" s="195">
        <f>SUBTOTAL(9,I40:I41)</f>
        <v>747.56</v>
      </c>
      <c r="J42" s="195">
        <f>SUBTOTAL(9,J40:J41)</f>
        <v>1079.56</v>
      </c>
    </row>
    <row r="43" spans="1:10" outlineLevel="2">
      <c r="A43" s="191" t="s">
        <v>2773</v>
      </c>
      <c r="B43" s="191" t="s">
        <v>106</v>
      </c>
      <c r="C43" s="191" t="s">
        <v>77</v>
      </c>
      <c r="D43" s="191" t="s">
        <v>1459</v>
      </c>
      <c r="E43" s="191" t="s">
        <v>1494</v>
      </c>
      <c r="F43" s="191" t="s">
        <v>1494</v>
      </c>
      <c r="G43" s="191">
        <v>7</v>
      </c>
      <c r="H43" s="192">
        <v>0</v>
      </c>
      <c r="I43" s="192">
        <v>183.46</v>
      </c>
      <c r="J43" s="192">
        <f>SUM(H43:I43)</f>
        <v>183.46</v>
      </c>
    </row>
    <row r="44" spans="1:10" outlineLevel="2">
      <c r="A44" s="191" t="s">
        <v>2773</v>
      </c>
      <c r="B44" s="191" t="s">
        <v>106</v>
      </c>
      <c r="C44" s="191" t="s">
        <v>77</v>
      </c>
      <c r="D44" s="191" t="s">
        <v>1516</v>
      </c>
      <c r="E44" s="191" t="s">
        <v>2599</v>
      </c>
      <c r="F44" s="191" t="s">
        <v>2600</v>
      </c>
      <c r="G44" s="191">
        <v>14</v>
      </c>
      <c r="H44" s="192">
        <v>0</v>
      </c>
      <c r="I44" s="192">
        <v>361.76</v>
      </c>
      <c r="J44" s="192">
        <f>SUM(H44:I44)</f>
        <v>361.76</v>
      </c>
    </row>
    <row r="45" spans="1:10" outlineLevel="2">
      <c r="A45" s="191" t="s">
        <v>2773</v>
      </c>
      <c r="B45" s="191" t="s">
        <v>106</v>
      </c>
      <c r="C45" s="191" t="s">
        <v>77</v>
      </c>
      <c r="D45" s="191" t="s">
        <v>1517</v>
      </c>
      <c r="E45" s="191" t="s">
        <v>2601</v>
      </c>
      <c r="F45" s="191" t="s">
        <v>2590</v>
      </c>
      <c r="G45" s="191">
        <v>14</v>
      </c>
      <c r="H45" s="192">
        <v>0</v>
      </c>
      <c r="I45" s="192">
        <v>366.92</v>
      </c>
      <c r="J45" s="192">
        <f>SUM(H45:I45)</f>
        <v>366.92</v>
      </c>
    </row>
    <row r="46" spans="1:10" outlineLevel="2">
      <c r="A46" s="191" t="s">
        <v>2773</v>
      </c>
      <c r="B46" s="191" t="s">
        <v>106</v>
      </c>
      <c r="C46" s="191" t="s">
        <v>77</v>
      </c>
      <c r="D46" s="191" t="s">
        <v>1518</v>
      </c>
      <c r="E46" s="191" t="s">
        <v>2602</v>
      </c>
      <c r="F46" s="191" t="s">
        <v>2603</v>
      </c>
      <c r="G46" s="191">
        <v>21</v>
      </c>
      <c r="H46" s="192">
        <v>0</v>
      </c>
      <c r="I46" s="192">
        <v>550.38</v>
      </c>
      <c r="J46" s="192">
        <f>SUM(H46:I46)</f>
        <v>550.38</v>
      </c>
    </row>
    <row r="47" spans="1:10" outlineLevel="2">
      <c r="A47" s="191" t="s">
        <v>2774</v>
      </c>
      <c r="B47" s="191" t="s">
        <v>106</v>
      </c>
      <c r="C47" s="191" t="s">
        <v>77</v>
      </c>
      <c r="D47" s="191" t="s">
        <v>1518</v>
      </c>
      <c r="E47" s="191" t="s">
        <v>2602</v>
      </c>
      <c r="F47" s="191" t="s">
        <v>2603</v>
      </c>
      <c r="G47" s="191">
        <v>21</v>
      </c>
      <c r="H47" s="192">
        <v>0</v>
      </c>
      <c r="I47" s="192">
        <v>387.12</v>
      </c>
      <c r="J47" s="192">
        <f>SUM(H47:I47)</f>
        <v>387.12</v>
      </c>
    </row>
    <row r="48" spans="1:10" outlineLevel="2">
      <c r="A48" s="191" t="s">
        <v>105</v>
      </c>
      <c r="B48" s="191" t="s">
        <v>106</v>
      </c>
      <c r="C48" s="191" t="s">
        <v>77</v>
      </c>
      <c r="D48" s="191" t="s">
        <v>1519</v>
      </c>
      <c r="E48" s="191" t="s">
        <v>2604</v>
      </c>
      <c r="F48" s="191" t="s">
        <v>2605</v>
      </c>
      <c r="G48" s="191">
        <v>14</v>
      </c>
      <c r="H48" s="192">
        <v>0</v>
      </c>
      <c r="I48" s="192">
        <v>359.2</v>
      </c>
      <c r="J48" s="192">
        <f>SUM(H48:I48)</f>
        <v>359.2</v>
      </c>
    </row>
    <row r="49" spans="1:10" outlineLevel="2">
      <c r="A49" s="191" t="s">
        <v>105</v>
      </c>
      <c r="B49" s="191" t="s">
        <v>106</v>
      </c>
      <c r="C49" s="191" t="s">
        <v>77</v>
      </c>
      <c r="D49" s="191" t="s">
        <v>1520</v>
      </c>
      <c r="E49" s="191" t="s">
        <v>2606</v>
      </c>
      <c r="F49" s="191" t="s">
        <v>1487</v>
      </c>
      <c r="G49" s="191">
        <v>21</v>
      </c>
      <c r="H49" s="192">
        <v>0</v>
      </c>
      <c r="I49" s="192">
        <v>538.79999999999995</v>
      </c>
      <c r="J49" s="192">
        <f>SUM(H49:I49)</f>
        <v>538.79999999999995</v>
      </c>
    </row>
    <row r="50" spans="1:10" outlineLevel="2">
      <c r="A50" s="191" t="s">
        <v>105</v>
      </c>
      <c r="B50" s="191" t="s">
        <v>106</v>
      </c>
      <c r="C50" s="191" t="s">
        <v>77</v>
      </c>
      <c r="D50" s="191" t="s">
        <v>732</v>
      </c>
      <c r="E50" s="191" t="s">
        <v>2607</v>
      </c>
      <c r="F50" s="191" t="s">
        <v>1500</v>
      </c>
      <c r="G50" s="191">
        <v>21</v>
      </c>
      <c r="H50" s="192">
        <v>0</v>
      </c>
      <c r="I50" s="192">
        <v>546.57000000000005</v>
      </c>
      <c r="J50" s="192">
        <f>SUM(H50:I50)</f>
        <v>546.57000000000005</v>
      </c>
    </row>
    <row r="51" spans="1:10" outlineLevel="2">
      <c r="A51" s="191" t="s">
        <v>107</v>
      </c>
      <c r="B51" s="191" t="s">
        <v>108</v>
      </c>
      <c r="C51" s="191" t="s">
        <v>77</v>
      </c>
      <c r="D51" s="191" t="s">
        <v>1521</v>
      </c>
      <c r="E51" s="191" t="s">
        <v>2608</v>
      </c>
      <c r="F51" s="191" t="s">
        <v>2608</v>
      </c>
      <c r="G51" s="191">
        <v>7</v>
      </c>
      <c r="H51" s="192">
        <v>0</v>
      </c>
      <c r="I51" s="192">
        <v>218.25</v>
      </c>
      <c r="J51" s="192">
        <f>SUM(H51:I51)</f>
        <v>218.25</v>
      </c>
    </row>
    <row r="52" spans="1:10" outlineLevel="2">
      <c r="A52" s="191" t="s">
        <v>107</v>
      </c>
      <c r="B52" s="191" t="s">
        <v>108</v>
      </c>
      <c r="C52" s="191" t="s">
        <v>77</v>
      </c>
      <c r="D52" s="191" t="s">
        <v>1522</v>
      </c>
      <c r="E52" s="191" t="s">
        <v>2609</v>
      </c>
      <c r="F52" s="191" t="s">
        <v>2609</v>
      </c>
      <c r="G52" s="191">
        <v>7</v>
      </c>
      <c r="H52" s="192">
        <v>0</v>
      </c>
      <c r="I52" s="192">
        <v>219.32</v>
      </c>
      <c r="J52" s="192">
        <f>SUM(H52:I52)</f>
        <v>219.32</v>
      </c>
    </row>
    <row r="53" spans="1:10" outlineLevel="2">
      <c r="A53" s="191" t="s">
        <v>107</v>
      </c>
      <c r="B53" s="191" t="s">
        <v>108</v>
      </c>
      <c r="C53" s="191" t="s">
        <v>77</v>
      </c>
      <c r="D53" s="191" t="s">
        <v>1522</v>
      </c>
      <c r="E53" s="191" t="s">
        <v>2610</v>
      </c>
      <c r="F53" s="191" t="s">
        <v>2610</v>
      </c>
      <c r="G53" s="191">
        <v>7</v>
      </c>
      <c r="H53" s="192">
        <v>0</v>
      </c>
      <c r="I53" s="192">
        <v>219.32</v>
      </c>
      <c r="J53" s="192">
        <f>SUM(H53:I53)</f>
        <v>219.32</v>
      </c>
    </row>
    <row r="54" spans="1:10" outlineLevel="2">
      <c r="A54" s="191" t="s">
        <v>107</v>
      </c>
      <c r="B54" s="191" t="s">
        <v>108</v>
      </c>
      <c r="C54" s="191" t="s">
        <v>77</v>
      </c>
      <c r="D54" s="191" t="s">
        <v>1523</v>
      </c>
      <c r="E54" s="191" t="s">
        <v>2611</v>
      </c>
      <c r="F54" s="191" t="s">
        <v>2612</v>
      </c>
      <c r="G54" s="191">
        <v>14</v>
      </c>
      <c r="H54" s="192">
        <v>0</v>
      </c>
      <c r="I54" s="192">
        <v>436.5</v>
      </c>
      <c r="J54" s="192">
        <f>SUM(H54:I54)</f>
        <v>436.5</v>
      </c>
    </row>
    <row r="55" spans="1:10" outlineLevel="2">
      <c r="A55" s="191" t="s">
        <v>107</v>
      </c>
      <c r="B55" s="191" t="s">
        <v>108</v>
      </c>
      <c r="C55" s="191" t="s">
        <v>77</v>
      </c>
      <c r="D55" s="191" t="s">
        <v>1524</v>
      </c>
      <c r="E55" s="191" t="s">
        <v>2613</v>
      </c>
      <c r="F55" s="191" t="s">
        <v>2614</v>
      </c>
      <c r="G55" s="191">
        <v>21</v>
      </c>
      <c r="H55" s="192">
        <v>0</v>
      </c>
      <c r="I55" s="192">
        <v>654.75</v>
      </c>
      <c r="J55" s="192">
        <f>SUM(H55:I55)</f>
        <v>654.75</v>
      </c>
    </row>
    <row r="56" spans="1:10" outlineLevel="2">
      <c r="A56" s="191" t="s">
        <v>109</v>
      </c>
      <c r="B56" s="191" t="s">
        <v>106</v>
      </c>
      <c r="C56" s="191" t="s">
        <v>77</v>
      </c>
      <c r="D56" s="191" t="s">
        <v>1522</v>
      </c>
      <c r="E56" s="191" t="s">
        <v>2609</v>
      </c>
      <c r="F56" s="191" t="s">
        <v>2609</v>
      </c>
      <c r="G56" s="191">
        <v>7</v>
      </c>
      <c r="H56" s="192">
        <v>0</v>
      </c>
      <c r="I56" s="192">
        <v>180.48</v>
      </c>
      <c r="J56" s="192">
        <f>SUM(H56:I56)</f>
        <v>180.48</v>
      </c>
    </row>
    <row r="57" spans="1:10" outlineLevel="2">
      <c r="A57" s="191" t="s">
        <v>109</v>
      </c>
      <c r="B57" s="191" t="s">
        <v>106</v>
      </c>
      <c r="C57" s="191" t="s">
        <v>77</v>
      </c>
      <c r="D57" s="191" t="s">
        <v>1522</v>
      </c>
      <c r="E57" s="191" t="s">
        <v>2610</v>
      </c>
      <c r="F57" s="191" t="s">
        <v>2615</v>
      </c>
      <c r="G57" s="191">
        <v>14</v>
      </c>
      <c r="H57" s="192">
        <v>0</v>
      </c>
      <c r="I57" s="192">
        <v>360.96</v>
      </c>
      <c r="J57" s="192">
        <f>SUM(H57:I57)</f>
        <v>360.96</v>
      </c>
    </row>
    <row r="58" spans="1:10" outlineLevel="2">
      <c r="A58" s="191" t="s">
        <v>109</v>
      </c>
      <c r="B58" s="191" t="s">
        <v>106</v>
      </c>
      <c r="C58" s="191" t="s">
        <v>77</v>
      </c>
      <c r="D58" s="191" t="s">
        <v>1525</v>
      </c>
      <c r="E58" s="191" t="s">
        <v>2606</v>
      </c>
      <c r="F58" s="191" t="s">
        <v>1487</v>
      </c>
      <c r="G58" s="191">
        <v>21</v>
      </c>
      <c r="H58" s="192">
        <v>0</v>
      </c>
      <c r="I58" s="192">
        <v>521.42999999999995</v>
      </c>
      <c r="J58" s="192">
        <f>SUM(H58:I58)</f>
        <v>521.42999999999995</v>
      </c>
    </row>
    <row r="59" spans="1:10" outlineLevel="2">
      <c r="A59" s="191" t="s">
        <v>110</v>
      </c>
      <c r="B59" s="191" t="s">
        <v>111</v>
      </c>
      <c r="C59" s="191" t="s">
        <v>77</v>
      </c>
      <c r="D59" s="191" t="s">
        <v>1526</v>
      </c>
      <c r="E59" s="191" t="s">
        <v>2616</v>
      </c>
      <c r="F59" s="191" t="s">
        <v>2616</v>
      </c>
      <c r="G59" s="191">
        <v>7</v>
      </c>
      <c r="H59" s="192">
        <v>0</v>
      </c>
      <c r="I59" s="192">
        <v>168.53</v>
      </c>
      <c r="J59" s="192">
        <f>SUM(H59:I59)</f>
        <v>168.53</v>
      </c>
    </row>
    <row r="60" spans="1:10" outlineLevel="2">
      <c r="A60" s="191" t="s">
        <v>110</v>
      </c>
      <c r="B60" s="191" t="s">
        <v>111</v>
      </c>
      <c r="C60" s="191" t="s">
        <v>77</v>
      </c>
      <c r="D60" s="191" t="s">
        <v>1527</v>
      </c>
      <c r="E60" s="191" t="s">
        <v>1481</v>
      </c>
      <c r="F60" s="191" t="s">
        <v>1481</v>
      </c>
      <c r="G60" s="191">
        <v>7</v>
      </c>
      <c r="H60" s="192">
        <v>0</v>
      </c>
      <c r="I60" s="192">
        <v>168.53</v>
      </c>
      <c r="J60" s="192">
        <f>SUM(H60:I60)</f>
        <v>168.53</v>
      </c>
    </row>
    <row r="61" spans="1:10" outlineLevel="2">
      <c r="A61" s="191" t="s">
        <v>110</v>
      </c>
      <c r="B61" s="191" t="s">
        <v>111</v>
      </c>
      <c r="C61" s="191" t="s">
        <v>77</v>
      </c>
      <c r="D61" s="191" t="s">
        <v>1528</v>
      </c>
      <c r="E61" s="191" t="s">
        <v>2617</v>
      </c>
      <c r="F61" s="191" t="s">
        <v>2617</v>
      </c>
      <c r="G61" s="191">
        <v>7</v>
      </c>
      <c r="H61" s="192">
        <v>0</v>
      </c>
      <c r="I61" s="192">
        <v>163.9</v>
      </c>
      <c r="J61" s="192">
        <f>SUM(H61:I61)</f>
        <v>163.9</v>
      </c>
    </row>
    <row r="62" spans="1:10" outlineLevel="2">
      <c r="A62" s="191" t="s">
        <v>110</v>
      </c>
      <c r="B62" s="191" t="s">
        <v>111</v>
      </c>
      <c r="C62" s="191" t="s">
        <v>77</v>
      </c>
      <c r="D62" s="191" t="s">
        <v>1529</v>
      </c>
      <c r="E62" s="191" t="s">
        <v>2593</v>
      </c>
      <c r="F62" s="191" t="s">
        <v>1487</v>
      </c>
      <c r="G62" s="191">
        <v>14</v>
      </c>
      <c r="H62" s="192">
        <v>100</v>
      </c>
      <c r="I62" s="192">
        <v>337.06</v>
      </c>
      <c r="J62" s="192">
        <f>SUM(H62:I62)</f>
        <v>437.06</v>
      </c>
    </row>
    <row r="63" spans="1:10" outlineLevel="2">
      <c r="A63" s="191" t="s">
        <v>110</v>
      </c>
      <c r="B63" s="191" t="s">
        <v>111</v>
      </c>
      <c r="C63" s="191" t="s">
        <v>77</v>
      </c>
      <c r="D63" s="191" t="s">
        <v>1530</v>
      </c>
      <c r="E63" s="191" t="s">
        <v>1489</v>
      </c>
      <c r="F63" s="191" t="s">
        <v>1490</v>
      </c>
      <c r="G63" s="191">
        <v>14</v>
      </c>
      <c r="H63" s="192">
        <v>0</v>
      </c>
      <c r="I63" s="192">
        <v>340.4</v>
      </c>
      <c r="J63" s="192">
        <f>SUM(H63:I63)</f>
        <v>340.4</v>
      </c>
    </row>
    <row r="64" spans="1:10" outlineLevel="1">
      <c r="A64" s="193" t="s">
        <v>1472</v>
      </c>
      <c r="B64" s="194"/>
      <c r="C64" s="194"/>
      <c r="D64" s="194"/>
      <c r="E64" s="194"/>
      <c r="F64" s="194"/>
      <c r="G64" s="194">
        <f>SUBTOTAL(9,G43:G63)</f>
        <v>280</v>
      </c>
      <c r="H64" s="195">
        <f>SUBTOTAL(9,H43:H63)</f>
        <v>100</v>
      </c>
      <c r="I64" s="195">
        <f>SUBTOTAL(9,I43:I63)</f>
        <v>7283.6399999999994</v>
      </c>
      <c r="J64" s="195">
        <f>SUBTOTAL(9,J43:J63)</f>
        <v>7383.6399999999994</v>
      </c>
    </row>
    <row r="65" spans="1:10" outlineLevel="2">
      <c r="A65" s="191" t="s">
        <v>114</v>
      </c>
      <c r="B65" s="191" t="s">
        <v>117</v>
      </c>
      <c r="C65" s="191" t="s">
        <v>113</v>
      </c>
      <c r="D65" s="191" t="s">
        <v>1531</v>
      </c>
      <c r="E65" s="191" t="s">
        <v>2618</v>
      </c>
      <c r="F65" s="191" t="s">
        <v>2618</v>
      </c>
      <c r="G65" s="191">
        <v>7</v>
      </c>
      <c r="H65" s="192">
        <v>0</v>
      </c>
      <c r="I65" s="192">
        <v>199.09</v>
      </c>
      <c r="J65" s="192">
        <f>SUM(H65:I65)</f>
        <v>199.09</v>
      </c>
    </row>
    <row r="66" spans="1:10" outlineLevel="2">
      <c r="A66" s="191" t="s">
        <v>114</v>
      </c>
      <c r="B66" s="191" t="s">
        <v>117</v>
      </c>
      <c r="C66" s="191" t="s">
        <v>113</v>
      </c>
      <c r="D66" s="191" t="s">
        <v>1532</v>
      </c>
      <c r="E66" s="191" t="s">
        <v>1495</v>
      </c>
      <c r="F66" s="191" t="s">
        <v>1496</v>
      </c>
      <c r="G66" s="191">
        <v>14</v>
      </c>
      <c r="H66" s="192">
        <v>0</v>
      </c>
      <c r="I66" s="192">
        <v>398.18</v>
      </c>
      <c r="J66" s="192">
        <f>SUM(H66:I66)</f>
        <v>398.18</v>
      </c>
    </row>
    <row r="67" spans="1:10" outlineLevel="2">
      <c r="A67" s="191" t="s">
        <v>114</v>
      </c>
      <c r="B67" s="191" t="s">
        <v>117</v>
      </c>
      <c r="C67" s="191" t="s">
        <v>113</v>
      </c>
      <c r="D67" s="191" t="s">
        <v>1533</v>
      </c>
      <c r="E67" s="191" t="s">
        <v>1501</v>
      </c>
      <c r="F67" s="191" t="s">
        <v>1502</v>
      </c>
      <c r="G67" s="191">
        <v>21</v>
      </c>
      <c r="H67" s="192">
        <v>0</v>
      </c>
      <c r="I67" s="192">
        <v>605.30999999999995</v>
      </c>
      <c r="J67" s="192">
        <f>SUM(H67:I67)</f>
        <v>605.30999999999995</v>
      </c>
    </row>
    <row r="68" spans="1:10" outlineLevel="2">
      <c r="A68" s="191" t="s">
        <v>118</v>
      </c>
      <c r="B68" s="191" t="s">
        <v>115</v>
      </c>
      <c r="C68" s="191" t="s">
        <v>113</v>
      </c>
      <c r="D68" s="191" t="s">
        <v>1531</v>
      </c>
      <c r="E68" s="191" t="s">
        <v>2618</v>
      </c>
      <c r="F68" s="191" t="s">
        <v>2618</v>
      </c>
      <c r="G68" s="191">
        <v>7</v>
      </c>
      <c r="H68" s="192">
        <v>0</v>
      </c>
      <c r="I68" s="192">
        <v>133.18</v>
      </c>
      <c r="J68" s="192">
        <f>SUM(H68:I68)</f>
        <v>133.18</v>
      </c>
    </row>
    <row r="69" spans="1:10" outlineLevel="1">
      <c r="A69" s="193" t="s">
        <v>2987</v>
      </c>
      <c r="B69" s="194"/>
      <c r="C69" s="194"/>
      <c r="D69" s="194"/>
      <c r="E69" s="194"/>
      <c r="F69" s="194"/>
      <c r="G69" s="194">
        <f>SUBTOTAL(9,G65:G68)</f>
        <v>49</v>
      </c>
      <c r="H69" s="195">
        <f>SUBTOTAL(9,H65:H68)</f>
        <v>0</v>
      </c>
      <c r="I69" s="195">
        <f>SUBTOTAL(9,I65:I68)</f>
        <v>1335.76</v>
      </c>
      <c r="J69" s="195">
        <f>SUBTOTAL(9,J65:J68)</f>
        <v>1335.76</v>
      </c>
    </row>
    <row r="70" spans="1:10" outlineLevel="2">
      <c r="A70" s="191" t="s">
        <v>119</v>
      </c>
      <c r="B70" s="191" t="s">
        <v>2775</v>
      </c>
      <c r="C70" s="191" t="s">
        <v>121</v>
      </c>
      <c r="D70" s="191" t="s">
        <v>1534</v>
      </c>
      <c r="E70" s="191" t="s">
        <v>2590</v>
      </c>
      <c r="F70" s="191" t="s">
        <v>2590</v>
      </c>
      <c r="G70" s="191">
        <v>7</v>
      </c>
      <c r="H70" s="192">
        <v>100</v>
      </c>
      <c r="I70" s="192">
        <v>54.53</v>
      </c>
      <c r="J70" s="192">
        <f>SUM(H70:I70)</f>
        <v>154.53</v>
      </c>
    </row>
    <row r="71" spans="1:10" outlineLevel="2">
      <c r="A71" s="191" t="s">
        <v>119</v>
      </c>
      <c r="B71" s="191" t="s">
        <v>2775</v>
      </c>
      <c r="C71" s="191" t="s">
        <v>121</v>
      </c>
      <c r="D71" s="191" t="s">
        <v>1535</v>
      </c>
      <c r="E71" s="191" t="s">
        <v>2619</v>
      </c>
      <c r="F71" s="191" t="s">
        <v>1495</v>
      </c>
      <c r="G71" s="191">
        <v>21</v>
      </c>
      <c r="H71" s="192">
        <v>0</v>
      </c>
      <c r="I71" s="192">
        <v>160.68</v>
      </c>
      <c r="J71" s="192">
        <f>SUM(H71:I71)</f>
        <v>160.68</v>
      </c>
    </row>
    <row r="72" spans="1:10" outlineLevel="2">
      <c r="A72" s="191" t="s">
        <v>2776</v>
      </c>
      <c r="B72" s="191" t="s">
        <v>120</v>
      </c>
      <c r="C72" s="191" t="s">
        <v>121</v>
      </c>
      <c r="D72" s="191" t="s">
        <v>1536</v>
      </c>
      <c r="E72" s="191" t="s">
        <v>2620</v>
      </c>
      <c r="F72" s="191" t="s">
        <v>2621</v>
      </c>
      <c r="G72" s="191">
        <v>0</v>
      </c>
      <c r="H72" s="192">
        <v>639.5</v>
      </c>
      <c r="I72" s="192">
        <v>0</v>
      </c>
      <c r="J72" s="192">
        <f>SUM(H72:I72)</f>
        <v>639.5</v>
      </c>
    </row>
    <row r="73" spans="1:10" outlineLevel="2">
      <c r="A73" s="191" t="s">
        <v>122</v>
      </c>
      <c r="B73" s="191" t="s">
        <v>2775</v>
      </c>
      <c r="C73" s="191" t="s">
        <v>121</v>
      </c>
      <c r="D73" s="191" t="s">
        <v>1537</v>
      </c>
      <c r="E73" s="191" t="s">
        <v>2622</v>
      </c>
      <c r="F73" s="191" t="s">
        <v>2623</v>
      </c>
      <c r="G73" s="191">
        <v>0</v>
      </c>
      <c r="H73" s="192">
        <v>100</v>
      </c>
      <c r="I73" s="192">
        <v>0</v>
      </c>
      <c r="J73" s="192">
        <f>SUM(H73:I73)</f>
        <v>100</v>
      </c>
    </row>
    <row r="74" spans="1:10" outlineLevel="2">
      <c r="A74" s="191" t="s">
        <v>122</v>
      </c>
      <c r="B74" s="191" t="s">
        <v>2777</v>
      </c>
      <c r="C74" s="191" t="s">
        <v>121</v>
      </c>
      <c r="D74" s="191" t="s">
        <v>1538</v>
      </c>
      <c r="E74" s="191" t="s">
        <v>2624</v>
      </c>
      <c r="F74" s="191" t="s">
        <v>1496</v>
      </c>
      <c r="G74" s="191">
        <v>21</v>
      </c>
      <c r="H74" s="192">
        <v>0</v>
      </c>
      <c r="I74" s="192">
        <v>166.32</v>
      </c>
      <c r="J74" s="192">
        <f>SUM(H74:I74)</f>
        <v>166.32</v>
      </c>
    </row>
    <row r="75" spans="1:10" outlineLevel="2">
      <c r="A75" s="191" t="s">
        <v>2778</v>
      </c>
      <c r="B75" s="191" t="s">
        <v>739</v>
      </c>
      <c r="C75" s="191" t="s">
        <v>121</v>
      </c>
      <c r="D75" s="191" t="s">
        <v>1539</v>
      </c>
      <c r="E75" s="191" t="s">
        <v>2625</v>
      </c>
      <c r="F75" s="191" t="s">
        <v>2626</v>
      </c>
      <c r="G75" s="191">
        <v>28</v>
      </c>
      <c r="H75" s="192">
        <v>0</v>
      </c>
      <c r="I75" s="192">
        <v>549</v>
      </c>
      <c r="J75" s="192">
        <f>SUM(H75:I75)</f>
        <v>549</v>
      </c>
    </row>
    <row r="76" spans="1:10" outlineLevel="2">
      <c r="A76" s="191" t="s">
        <v>2779</v>
      </c>
      <c r="B76" s="191" t="s">
        <v>739</v>
      </c>
      <c r="C76" s="191" t="s">
        <v>121</v>
      </c>
      <c r="D76" s="191" t="s">
        <v>1535</v>
      </c>
      <c r="E76" s="191" t="s">
        <v>2624</v>
      </c>
      <c r="F76" s="191" t="s">
        <v>2624</v>
      </c>
      <c r="G76" s="191">
        <v>7</v>
      </c>
      <c r="H76" s="192">
        <v>0</v>
      </c>
      <c r="I76" s="192">
        <v>136.59</v>
      </c>
      <c r="J76" s="192">
        <f>SUM(H76:I76)</f>
        <v>136.59</v>
      </c>
    </row>
    <row r="77" spans="1:10" outlineLevel="2">
      <c r="A77" s="191" t="s">
        <v>2779</v>
      </c>
      <c r="B77" s="191" t="s">
        <v>739</v>
      </c>
      <c r="C77" s="191" t="s">
        <v>121</v>
      </c>
      <c r="D77" s="191" t="s">
        <v>1534</v>
      </c>
      <c r="E77" s="191" t="s">
        <v>2601</v>
      </c>
      <c r="F77" s="191" t="s">
        <v>2590</v>
      </c>
      <c r="G77" s="191">
        <v>14</v>
      </c>
      <c r="H77" s="192">
        <v>0</v>
      </c>
      <c r="I77" s="192">
        <v>274.5</v>
      </c>
      <c r="J77" s="192">
        <f>SUM(H77:I77)</f>
        <v>274.5</v>
      </c>
    </row>
    <row r="78" spans="1:10" outlineLevel="2">
      <c r="A78" s="191" t="s">
        <v>2779</v>
      </c>
      <c r="B78" s="191" t="s">
        <v>739</v>
      </c>
      <c r="C78" s="191" t="s">
        <v>121</v>
      </c>
      <c r="D78" s="191" t="s">
        <v>1540</v>
      </c>
      <c r="E78" s="191" t="s">
        <v>2623</v>
      </c>
      <c r="F78" s="191" t="s">
        <v>2627</v>
      </c>
      <c r="G78" s="191">
        <v>21</v>
      </c>
      <c r="H78" s="192">
        <v>0</v>
      </c>
      <c r="I78" s="192">
        <v>409.77</v>
      </c>
      <c r="J78" s="192">
        <f>SUM(H78:I78)</f>
        <v>409.77</v>
      </c>
    </row>
    <row r="79" spans="1:10" outlineLevel="2">
      <c r="A79" s="191" t="s">
        <v>2780</v>
      </c>
      <c r="B79" s="191" t="s">
        <v>739</v>
      </c>
      <c r="C79" s="191" t="s">
        <v>121</v>
      </c>
      <c r="D79" s="191" t="s">
        <v>1538</v>
      </c>
      <c r="E79" s="191" t="s">
        <v>2624</v>
      </c>
      <c r="F79" s="191" t="s">
        <v>1496</v>
      </c>
      <c r="G79" s="191">
        <v>21</v>
      </c>
      <c r="H79" s="192">
        <v>0</v>
      </c>
      <c r="I79" s="192">
        <v>500.49</v>
      </c>
      <c r="J79" s="192">
        <f>SUM(H79:I79)</f>
        <v>500.49</v>
      </c>
    </row>
    <row r="80" spans="1:10" outlineLevel="1">
      <c r="A80" s="193" t="s">
        <v>2988</v>
      </c>
      <c r="B80" s="194"/>
      <c r="C80" s="194"/>
      <c r="D80" s="194"/>
      <c r="E80" s="194"/>
      <c r="F80" s="194"/>
      <c r="G80" s="194">
        <f>SUBTOTAL(9,G70:G79)</f>
        <v>140</v>
      </c>
      <c r="H80" s="195">
        <f>SUBTOTAL(9,H70:H79)</f>
        <v>839.5</v>
      </c>
      <c r="I80" s="195">
        <f>SUBTOTAL(9,I70:I79)</f>
        <v>2251.88</v>
      </c>
      <c r="J80" s="195">
        <f>SUBTOTAL(9,J70:J79)</f>
        <v>3091.38</v>
      </c>
    </row>
    <row r="81" spans="1:10" outlineLevel="2">
      <c r="A81" s="191" t="s">
        <v>123</v>
      </c>
      <c r="B81" s="191" t="s">
        <v>124</v>
      </c>
      <c r="C81" s="191" t="s">
        <v>125</v>
      </c>
      <c r="D81" s="191" t="s">
        <v>1541</v>
      </c>
      <c r="E81" s="191" t="s">
        <v>2628</v>
      </c>
      <c r="F81" s="191" t="s">
        <v>2628</v>
      </c>
      <c r="G81" s="191">
        <v>7</v>
      </c>
      <c r="H81" s="192">
        <v>0</v>
      </c>
      <c r="I81" s="192">
        <v>152.35</v>
      </c>
      <c r="J81" s="192">
        <f>SUM(H81:I81)</f>
        <v>152.35</v>
      </c>
    </row>
    <row r="82" spans="1:10" outlineLevel="2">
      <c r="A82" s="191" t="s">
        <v>123</v>
      </c>
      <c r="B82" s="191" t="s">
        <v>124</v>
      </c>
      <c r="C82" s="191" t="s">
        <v>125</v>
      </c>
      <c r="D82" s="191" t="s">
        <v>1542</v>
      </c>
      <c r="E82" s="191" t="s">
        <v>2600</v>
      </c>
      <c r="F82" s="191" t="s">
        <v>2600</v>
      </c>
      <c r="G82" s="191">
        <v>7</v>
      </c>
      <c r="H82" s="192">
        <v>0</v>
      </c>
      <c r="I82" s="192">
        <v>168.68</v>
      </c>
      <c r="J82" s="192">
        <f>SUM(H82:I82)</f>
        <v>168.68</v>
      </c>
    </row>
    <row r="83" spans="1:10" outlineLevel="2">
      <c r="A83" s="191" t="s">
        <v>123</v>
      </c>
      <c r="B83" s="191" t="s">
        <v>124</v>
      </c>
      <c r="C83" s="191" t="s">
        <v>125</v>
      </c>
      <c r="D83" s="191" t="s">
        <v>1543</v>
      </c>
      <c r="E83" s="191" t="s">
        <v>2586</v>
      </c>
      <c r="F83" s="191" t="s">
        <v>2586</v>
      </c>
      <c r="G83" s="191">
        <v>7</v>
      </c>
      <c r="H83" s="192">
        <v>0</v>
      </c>
      <c r="I83" s="192">
        <v>152.35</v>
      </c>
      <c r="J83" s="192">
        <f>SUM(H83:I83)</f>
        <v>152.35</v>
      </c>
    </row>
    <row r="84" spans="1:10" outlineLevel="2">
      <c r="A84" s="191" t="s">
        <v>123</v>
      </c>
      <c r="B84" s="191" t="s">
        <v>124</v>
      </c>
      <c r="C84" s="191" t="s">
        <v>125</v>
      </c>
      <c r="D84" s="191" t="s">
        <v>1543</v>
      </c>
      <c r="E84" s="191" t="s">
        <v>2629</v>
      </c>
      <c r="F84" s="191" t="s">
        <v>2629</v>
      </c>
      <c r="G84" s="191">
        <v>7</v>
      </c>
      <c r="H84" s="192">
        <v>0</v>
      </c>
      <c r="I84" s="192">
        <v>152.35</v>
      </c>
      <c r="J84" s="192">
        <f>SUM(H84:I84)</f>
        <v>152.35</v>
      </c>
    </row>
    <row r="85" spans="1:10" outlineLevel="2">
      <c r="A85" s="191" t="s">
        <v>123</v>
      </c>
      <c r="B85" s="191" t="s">
        <v>124</v>
      </c>
      <c r="C85" s="191" t="s">
        <v>125</v>
      </c>
      <c r="D85" s="191" t="s">
        <v>1544</v>
      </c>
      <c r="E85" s="191" t="s">
        <v>1480</v>
      </c>
      <c r="F85" s="191" t="s">
        <v>1480</v>
      </c>
      <c r="G85" s="191">
        <v>7</v>
      </c>
      <c r="H85" s="192">
        <v>0</v>
      </c>
      <c r="I85" s="192">
        <v>153.09</v>
      </c>
      <c r="J85" s="192">
        <f>SUM(H85:I85)</f>
        <v>153.09</v>
      </c>
    </row>
    <row r="86" spans="1:10" outlineLevel="2">
      <c r="A86" s="191" t="s">
        <v>123</v>
      </c>
      <c r="B86" s="191" t="s">
        <v>124</v>
      </c>
      <c r="C86" s="191" t="s">
        <v>125</v>
      </c>
      <c r="D86" s="191" t="s">
        <v>1545</v>
      </c>
      <c r="E86" s="191" t="s">
        <v>2630</v>
      </c>
      <c r="F86" s="191" t="s">
        <v>2617</v>
      </c>
      <c r="G86" s="191">
        <v>14</v>
      </c>
      <c r="H86" s="192">
        <v>0</v>
      </c>
      <c r="I86" s="192">
        <v>306.18</v>
      </c>
      <c r="J86" s="192">
        <f>SUM(H86:I86)</f>
        <v>306.18</v>
      </c>
    </row>
    <row r="87" spans="1:10" outlineLevel="2">
      <c r="A87" s="191" t="s">
        <v>2781</v>
      </c>
      <c r="B87" s="191" t="s">
        <v>124</v>
      </c>
      <c r="C87" s="191" t="s">
        <v>125</v>
      </c>
      <c r="D87" s="191" t="s">
        <v>1546</v>
      </c>
      <c r="E87" s="191" t="s">
        <v>2597</v>
      </c>
      <c r="F87" s="191" t="s">
        <v>2598</v>
      </c>
      <c r="G87" s="191">
        <v>14</v>
      </c>
      <c r="H87" s="192">
        <v>0</v>
      </c>
      <c r="I87" s="192">
        <v>271.08</v>
      </c>
      <c r="J87" s="192">
        <f>SUM(H87:I87)</f>
        <v>271.08</v>
      </c>
    </row>
    <row r="88" spans="1:10" outlineLevel="2">
      <c r="A88" s="191" t="s">
        <v>2781</v>
      </c>
      <c r="B88" s="191" t="s">
        <v>124</v>
      </c>
      <c r="C88" s="191" t="s">
        <v>125</v>
      </c>
      <c r="D88" s="191" t="s">
        <v>1545</v>
      </c>
      <c r="E88" s="191" t="s">
        <v>2631</v>
      </c>
      <c r="F88" s="191" t="s">
        <v>2617</v>
      </c>
      <c r="G88" s="191">
        <v>21</v>
      </c>
      <c r="H88" s="192">
        <v>0</v>
      </c>
      <c r="I88" s="192">
        <v>406.62</v>
      </c>
      <c r="J88" s="192">
        <f>SUM(H88:I88)</f>
        <v>406.62</v>
      </c>
    </row>
    <row r="89" spans="1:10" outlineLevel="2">
      <c r="A89" s="191" t="s">
        <v>126</v>
      </c>
      <c r="B89" s="191" t="s">
        <v>124</v>
      </c>
      <c r="C89" s="191" t="s">
        <v>125</v>
      </c>
      <c r="D89" s="191" t="s">
        <v>1547</v>
      </c>
      <c r="E89" s="191" t="s">
        <v>2596</v>
      </c>
      <c r="F89" s="191" t="s">
        <v>2596</v>
      </c>
      <c r="G89" s="191">
        <v>7</v>
      </c>
      <c r="H89" s="192">
        <v>0</v>
      </c>
      <c r="I89" s="192">
        <v>168.53</v>
      </c>
      <c r="J89" s="192">
        <f>SUM(H89:I89)</f>
        <v>168.53</v>
      </c>
    </row>
    <row r="90" spans="1:10" outlineLevel="2">
      <c r="A90" s="191" t="s">
        <v>126</v>
      </c>
      <c r="B90" s="191" t="s">
        <v>124</v>
      </c>
      <c r="C90" s="191" t="s">
        <v>125</v>
      </c>
      <c r="D90" s="191" t="s">
        <v>1543</v>
      </c>
      <c r="E90" s="191" t="s">
        <v>2629</v>
      </c>
      <c r="F90" s="191" t="s">
        <v>2629</v>
      </c>
      <c r="G90" s="191">
        <v>7</v>
      </c>
      <c r="H90" s="192">
        <v>0</v>
      </c>
      <c r="I90" s="192">
        <v>168.53</v>
      </c>
      <c r="J90" s="192">
        <f>SUM(H90:I90)</f>
        <v>168.53</v>
      </c>
    </row>
    <row r="91" spans="1:10" outlineLevel="2">
      <c r="A91" s="191" t="s">
        <v>126</v>
      </c>
      <c r="B91" s="191" t="s">
        <v>124</v>
      </c>
      <c r="C91" s="191" t="s">
        <v>125</v>
      </c>
      <c r="D91" s="191" t="s">
        <v>1548</v>
      </c>
      <c r="E91" s="191" t="s">
        <v>1480</v>
      </c>
      <c r="F91" s="191" t="s">
        <v>1480</v>
      </c>
      <c r="G91" s="191">
        <v>7</v>
      </c>
      <c r="H91" s="192">
        <v>0</v>
      </c>
      <c r="I91" s="192">
        <v>169.36</v>
      </c>
      <c r="J91" s="192">
        <f>SUM(H91:I91)</f>
        <v>169.36</v>
      </c>
    </row>
    <row r="92" spans="1:10" outlineLevel="2">
      <c r="A92" s="191" t="s">
        <v>126</v>
      </c>
      <c r="B92" s="191" t="s">
        <v>124</v>
      </c>
      <c r="C92" s="191" t="s">
        <v>125</v>
      </c>
      <c r="D92" s="191" t="s">
        <v>1549</v>
      </c>
      <c r="E92" s="191" t="s">
        <v>2631</v>
      </c>
      <c r="F92" s="191" t="s">
        <v>2617</v>
      </c>
      <c r="G92" s="191">
        <v>21</v>
      </c>
      <c r="H92" s="192">
        <v>0</v>
      </c>
      <c r="I92" s="192">
        <v>508.08</v>
      </c>
      <c r="J92" s="192">
        <f>SUM(H92:I92)</f>
        <v>508.08</v>
      </c>
    </row>
    <row r="93" spans="1:10" outlineLevel="2">
      <c r="A93" s="191" t="s">
        <v>2782</v>
      </c>
      <c r="B93" s="191" t="s">
        <v>124</v>
      </c>
      <c r="C93" s="191" t="s">
        <v>125</v>
      </c>
      <c r="D93" s="191" t="s">
        <v>1550</v>
      </c>
      <c r="E93" s="191" t="s">
        <v>2597</v>
      </c>
      <c r="F93" s="191" t="s">
        <v>2598</v>
      </c>
      <c r="G93" s="191">
        <v>14</v>
      </c>
      <c r="H93" s="192">
        <v>0</v>
      </c>
      <c r="I93" s="192">
        <v>271.08</v>
      </c>
      <c r="J93" s="192">
        <f>SUM(H93:I93)</f>
        <v>271.08</v>
      </c>
    </row>
    <row r="94" spans="1:10" outlineLevel="2">
      <c r="A94" s="191" t="s">
        <v>2782</v>
      </c>
      <c r="B94" s="191" t="s">
        <v>124</v>
      </c>
      <c r="C94" s="191" t="s">
        <v>125</v>
      </c>
      <c r="D94" s="191" t="s">
        <v>1551</v>
      </c>
      <c r="E94" s="191" t="s">
        <v>1489</v>
      </c>
      <c r="F94" s="191" t="s">
        <v>1490</v>
      </c>
      <c r="G94" s="191">
        <v>14</v>
      </c>
      <c r="H94" s="192">
        <v>0</v>
      </c>
      <c r="I94" s="192">
        <v>271.08</v>
      </c>
      <c r="J94" s="192">
        <f>SUM(H94:I94)</f>
        <v>271.08</v>
      </c>
    </row>
    <row r="95" spans="1:10" outlineLevel="2">
      <c r="A95" s="191" t="s">
        <v>128</v>
      </c>
      <c r="B95" s="191" t="s">
        <v>124</v>
      </c>
      <c r="C95" s="191" t="s">
        <v>125</v>
      </c>
      <c r="D95" s="191" t="s">
        <v>1552</v>
      </c>
      <c r="E95" s="191" t="s">
        <v>2632</v>
      </c>
      <c r="F95" s="191" t="s">
        <v>2632</v>
      </c>
      <c r="G95" s="191">
        <v>7</v>
      </c>
      <c r="H95" s="192">
        <v>0</v>
      </c>
      <c r="I95" s="192">
        <v>102.61</v>
      </c>
      <c r="J95" s="192">
        <f>SUM(H95:I95)</f>
        <v>102.61</v>
      </c>
    </row>
    <row r="96" spans="1:10" outlineLevel="2">
      <c r="A96" s="191" t="s">
        <v>128</v>
      </c>
      <c r="B96" s="191" t="s">
        <v>124</v>
      </c>
      <c r="C96" s="191" t="s">
        <v>125</v>
      </c>
      <c r="D96" s="191" t="s">
        <v>1552</v>
      </c>
      <c r="E96" s="191" t="s">
        <v>1484</v>
      </c>
      <c r="F96" s="191" t="s">
        <v>1484</v>
      </c>
      <c r="G96" s="191">
        <v>7</v>
      </c>
      <c r="H96" s="192">
        <v>0</v>
      </c>
      <c r="I96" s="192">
        <v>102.61</v>
      </c>
      <c r="J96" s="192">
        <f>SUM(H96:I96)</f>
        <v>102.61</v>
      </c>
    </row>
    <row r="97" spans="1:10" outlineLevel="2">
      <c r="A97" s="191" t="s">
        <v>129</v>
      </c>
      <c r="B97" s="191" t="s">
        <v>124</v>
      </c>
      <c r="C97" s="191" t="s">
        <v>125</v>
      </c>
      <c r="D97" s="191" t="s">
        <v>127</v>
      </c>
      <c r="E97" s="191" t="s">
        <v>2596</v>
      </c>
      <c r="F97" s="191" t="s">
        <v>2596</v>
      </c>
      <c r="G97" s="191">
        <v>7</v>
      </c>
      <c r="H97" s="192">
        <v>0</v>
      </c>
      <c r="I97" s="192">
        <v>138.29</v>
      </c>
      <c r="J97" s="192">
        <f>SUM(H97:I97)</f>
        <v>138.29</v>
      </c>
    </row>
    <row r="98" spans="1:10" outlineLevel="2">
      <c r="A98" s="191" t="s">
        <v>129</v>
      </c>
      <c r="B98" s="191" t="s">
        <v>124</v>
      </c>
      <c r="C98" s="191" t="s">
        <v>125</v>
      </c>
      <c r="D98" s="191" t="s">
        <v>1549</v>
      </c>
      <c r="E98" s="191" t="s">
        <v>2631</v>
      </c>
      <c r="F98" s="191" t="s">
        <v>2617</v>
      </c>
      <c r="G98" s="191">
        <v>21</v>
      </c>
      <c r="H98" s="192">
        <v>0</v>
      </c>
      <c r="I98" s="192">
        <v>448.53</v>
      </c>
      <c r="J98" s="192">
        <f>SUM(H98:I98)</f>
        <v>448.53</v>
      </c>
    </row>
    <row r="99" spans="1:10" outlineLevel="2">
      <c r="A99" s="191" t="s">
        <v>130</v>
      </c>
      <c r="B99" s="191" t="s">
        <v>124</v>
      </c>
      <c r="C99" s="191" t="s">
        <v>125</v>
      </c>
      <c r="D99" s="191" t="s">
        <v>127</v>
      </c>
      <c r="E99" s="191" t="s">
        <v>2596</v>
      </c>
      <c r="F99" s="191" t="s">
        <v>2596</v>
      </c>
      <c r="G99" s="191">
        <v>7</v>
      </c>
      <c r="H99" s="192">
        <v>0</v>
      </c>
      <c r="I99" s="192">
        <v>168.22</v>
      </c>
      <c r="J99" s="192">
        <f>SUM(H99:I99)</f>
        <v>168.22</v>
      </c>
    </row>
    <row r="100" spans="1:10" outlineLevel="2">
      <c r="A100" s="191" t="s">
        <v>130</v>
      </c>
      <c r="B100" s="191" t="s">
        <v>124</v>
      </c>
      <c r="C100" s="191" t="s">
        <v>125</v>
      </c>
      <c r="D100" s="191" t="s">
        <v>1553</v>
      </c>
      <c r="E100" s="191" t="s">
        <v>1486</v>
      </c>
      <c r="F100" s="191" t="s">
        <v>1486</v>
      </c>
      <c r="G100" s="191">
        <v>7</v>
      </c>
      <c r="H100" s="192">
        <v>0</v>
      </c>
      <c r="I100" s="192">
        <v>168.22</v>
      </c>
      <c r="J100" s="192">
        <f>SUM(H100:I100)</f>
        <v>168.22</v>
      </c>
    </row>
    <row r="101" spans="1:10" outlineLevel="2">
      <c r="A101" s="191" t="s">
        <v>130</v>
      </c>
      <c r="B101" s="191" t="s">
        <v>124</v>
      </c>
      <c r="C101" s="191" t="s">
        <v>125</v>
      </c>
      <c r="D101" s="191" t="s">
        <v>1554</v>
      </c>
      <c r="E101" s="191" t="s">
        <v>1480</v>
      </c>
      <c r="F101" s="191" t="s">
        <v>1480</v>
      </c>
      <c r="G101" s="191">
        <v>7</v>
      </c>
      <c r="H101" s="192">
        <v>0</v>
      </c>
      <c r="I101" s="192">
        <v>169.05</v>
      </c>
      <c r="J101" s="192">
        <f>SUM(H101:I101)</f>
        <v>169.05</v>
      </c>
    </row>
    <row r="102" spans="1:10" outlineLevel="2">
      <c r="A102" s="191" t="s">
        <v>130</v>
      </c>
      <c r="B102" s="191" t="s">
        <v>124</v>
      </c>
      <c r="C102" s="191" t="s">
        <v>125</v>
      </c>
      <c r="D102" s="191" t="s">
        <v>1549</v>
      </c>
      <c r="E102" s="191" t="s">
        <v>2631</v>
      </c>
      <c r="F102" s="191" t="s">
        <v>2617</v>
      </c>
      <c r="G102" s="191">
        <v>21</v>
      </c>
      <c r="H102" s="192">
        <v>0</v>
      </c>
      <c r="I102" s="192">
        <v>507.15</v>
      </c>
      <c r="J102" s="192">
        <f>SUM(H102:I102)</f>
        <v>507.15</v>
      </c>
    </row>
    <row r="103" spans="1:10" outlineLevel="2">
      <c r="A103" s="191" t="s">
        <v>131</v>
      </c>
      <c r="B103" s="191" t="s">
        <v>132</v>
      </c>
      <c r="C103" s="191" t="s">
        <v>125</v>
      </c>
      <c r="D103" s="191" t="s">
        <v>1555</v>
      </c>
      <c r="E103" s="191" t="s">
        <v>1481</v>
      </c>
      <c r="F103" s="191" t="s">
        <v>1481</v>
      </c>
      <c r="G103" s="191">
        <v>7</v>
      </c>
      <c r="H103" s="192">
        <v>0</v>
      </c>
      <c r="I103" s="192">
        <v>214.84</v>
      </c>
      <c r="J103" s="192">
        <f>SUM(H103:I103)</f>
        <v>214.84</v>
      </c>
    </row>
    <row r="104" spans="1:10" outlineLevel="2">
      <c r="A104" s="191" t="s">
        <v>131</v>
      </c>
      <c r="B104" s="191" t="s">
        <v>132</v>
      </c>
      <c r="C104" s="191" t="s">
        <v>125</v>
      </c>
      <c r="D104" s="191" t="s">
        <v>127</v>
      </c>
      <c r="E104" s="191" t="s">
        <v>2596</v>
      </c>
      <c r="F104" s="191" t="s">
        <v>2596</v>
      </c>
      <c r="G104" s="191">
        <v>7</v>
      </c>
      <c r="H104" s="192">
        <v>0</v>
      </c>
      <c r="I104" s="192">
        <v>214.84</v>
      </c>
      <c r="J104" s="192">
        <f>SUM(H104:I104)</f>
        <v>214.84</v>
      </c>
    </row>
    <row r="105" spans="1:10" outlineLevel="2">
      <c r="A105" s="191" t="s">
        <v>131</v>
      </c>
      <c r="B105" s="191" t="s">
        <v>132</v>
      </c>
      <c r="C105" s="191" t="s">
        <v>125</v>
      </c>
      <c r="D105" s="191" t="s">
        <v>1549</v>
      </c>
      <c r="E105" s="191" t="s">
        <v>2631</v>
      </c>
      <c r="F105" s="191" t="s">
        <v>2617</v>
      </c>
      <c r="G105" s="191">
        <v>21</v>
      </c>
      <c r="H105" s="192">
        <v>0</v>
      </c>
      <c r="I105" s="192">
        <v>647.70000000000005</v>
      </c>
      <c r="J105" s="192">
        <f>SUM(H105:I105)</f>
        <v>647.70000000000005</v>
      </c>
    </row>
    <row r="106" spans="1:10" outlineLevel="1">
      <c r="A106" s="193" t="s">
        <v>2989</v>
      </c>
      <c r="B106" s="194"/>
      <c r="C106" s="194"/>
      <c r="D106" s="194"/>
      <c r="E106" s="194"/>
      <c r="F106" s="194"/>
      <c r="G106" s="194">
        <f>SUBTOTAL(9,G81:G105)</f>
        <v>273</v>
      </c>
      <c r="H106" s="195">
        <f>SUBTOTAL(9,H81:H105)</f>
        <v>0</v>
      </c>
      <c r="I106" s="195">
        <f>SUBTOTAL(9,I81:I105)</f>
        <v>6201.42</v>
      </c>
      <c r="J106" s="195">
        <f>SUBTOTAL(9,J81:J105)</f>
        <v>6201.42</v>
      </c>
    </row>
    <row r="107" spans="1:10" outlineLevel="2">
      <c r="A107" s="191" t="s">
        <v>2783</v>
      </c>
      <c r="B107" s="191" t="s">
        <v>2784</v>
      </c>
      <c r="C107" s="191" t="s">
        <v>2761</v>
      </c>
      <c r="D107" s="191" t="s">
        <v>1556</v>
      </c>
      <c r="E107" s="191" t="s">
        <v>2633</v>
      </c>
      <c r="F107" s="191" t="s">
        <v>2633</v>
      </c>
      <c r="G107" s="191">
        <v>7</v>
      </c>
      <c r="H107" s="192">
        <v>0</v>
      </c>
      <c r="I107" s="192">
        <v>133.83000000000001</v>
      </c>
      <c r="J107" s="192">
        <f>SUM(H107:I107)</f>
        <v>133.83000000000001</v>
      </c>
    </row>
    <row r="108" spans="1:10" outlineLevel="1">
      <c r="A108" s="193" t="s">
        <v>2990</v>
      </c>
      <c r="B108" s="194"/>
      <c r="C108" s="194"/>
      <c r="D108" s="194"/>
      <c r="E108" s="194"/>
      <c r="F108" s="194"/>
      <c r="G108" s="194">
        <f>SUBTOTAL(9,G107:G107)</f>
        <v>7</v>
      </c>
      <c r="H108" s="195">
        <f>SUBTOTAL(9,H107:H107)</f>
        <v>0</v>
      </c>
      <c r="I108" s="195">
        <f>SUBTOTAL(9,I107:I107)</f>
        <v>133.83000000000001</v>
      </c>
      <c r="J108" s="195">
        <f>SUBTOTAL(9,J107:J107)</f>
        <v>133.83000000000001</v>
      </c>
    </row>
    <row r="109" spans="1:10" outlineLevel="2">
      <c r="A109" s="191" t="s">
        <v>2785</v>
      </c>
      <c r="B109" s="191" t="s">
        <v>2786</v>
      </c>
      <c r="C109" s="191" t="s">
        <v>135</v>
      </c>
      <c r="D109" s="191" t="s">
        <v>1557</v>
      </c>
      <c r="E109" s="191" t="s">
        <v>2633</v>
      </c>
      <c r="F109" s="191" t="s">
        <v>2633</v>
      </c>
      <c r="G109" s="191">
        <v>7</v>
      </c>
      <c r="H109" s="192">
        <v>0</v>
      </c>
      <c r="I109" s="192">
        <v>137.25</v>
      </c>
      <c r="J109" s="192">
        <f>SUM(H109:I109)</f>
        <v>137.25</v>
      </c>
    </row>
    <row r="110" spans="1:10" outlineLevel="2">
      <c r="A110" s="191" t="s">
        <v>2785</v>
      </c>
      <c r="B110" s="191" t="s">
        <v>2786</v>
      </c>
      <c r="C110" s="191" t="s">
        <v>135</v>
      </c>
      <c r="D110" s="191" t="s">
        <v>1558</v>
      </c>
      <c r="E110" s="191" t="s">
        <v>2634</v>
      </c>
      <c r="F110" s="191" t="s">
        <v>2626</v>
      </c>
      <c r="G110" s="191">
        <v>14</v>
      </c>
      <c r="H110" s="192">
        <v>0</v>
      </c>
      <c r="I110" s="192">
        <v>274.5</v>
      </c>
      <c r="J110" s="192">
        <f>SUM(H110:I110)</f>
        <v>274.5</v>
      </c>
    </row>
    <row r="111" spans="1:10" outlineLevel="2">
      <c r="A111" s="191" t="s">
        <v>2785</v>
      </c>
      <c r="B111" s="191" t="s">
        <v>2786</v>
      </c>
      <c r="C111" s="191" t="s">
        <v>135</v>
      </c>
      <c r="D111" s="191" t="s">
        <v>1559</v>
      </c>
      <c r="E111" s="191" t="s">
        <v>2635</v>
      </c>
      <c r="F111" s="191" t="s">
        <v>2636</v>
      </c>
      <c r="G111" s="191">
        <v>21</v>
      </c>
      <c r="H111" s="192">
        <v>0</v>
      </c>
      <c r="I111" s="192">
        <v>411.75</v>
      </c>
      <c r="J111" s="192">
        <f>SUM(H111:I111)</f>
        <v>411.75</v>
      </c>
    </row>
    <row r="112" spans="1:10" outlineLevel="2">
      <c r="A112" s="191" t="s">
        <v>2787</v>
      </c>
      <c r="B112" s="191" t="s">
        <v>2786</v>
      </c>
      <c r="C112" s="191" t="s">
        <v>135</v>
      </c>
      <c r="D112" s="191" t="s">
        <v>1560</v>
      </c>
      <c r="E112" s="191" t="s">
        <v>2637</v>
      </c>
      <c r="F112" s="191" t="s">
        <v>2608</v>
      </c>
      <c r="G112" s="191">
        <v>28</v>
      </c>
      <c r="H112" s="192">
        <v>100</v>
      </c>
      <c r="I112" s="192">
        <v>674.12</v>
      </c>
      <c r="J112" s="192">
        <f>SUM(H112:I112)</f>
        <v>774.12</v>
      </c>
    </row>
    <row r="113" spans="1:10" outlineLevel="2">
      <c r="A113" s="191" t="s">
        <v>133</v>
      </c>
      <c r="B113" s="191" t="s">
        <v>2786</v>
      </c>
      <c r="C113" s="191" t="s">
        <v>135</v>
      </c>
      <c r="D113" s="191" t="s">
        <v>1561</v>
      </c>
      <c r="E113" s="191" t="s">
        <v>2589</v>
      </c>
      <c r="F113" s="191" t="s">
        <v>2589</v>
      </c>
      <c r="G113" s="191">
        <v>7</v>
      </c>
      <c r="H113" s="192">
        <v>0</v>
      </c>
      <c r="I113" s="192">
        <v>170.23</v>
      </c>
      <c r="J113" s="192">
        <f>SUM(H113:I113)</f>
        <v>170.23</v>
      </c>
    </row>
    <row r="114" spans="1:10" outlineLevel="2">
      <c r="A114" s="191" t="s">
        <v>133</v>
      </c>
      <c r="B114" s="191" t="s">
        <v>2786</v>
      </c>
      <c r="C114" s="191" t="s">
        <v>135</v>
      </c>
      <c r="D114" s="191" t="s">
        <v>1562</v>
      </c>
      <c r="E114" s="191" t="s">
        <v>2638</v>
      </c>
      <c r="F114" s="191" t="s">
        <v>2630</v>
      </c>
      <c r="G114" s="191">
        <v>21</v>
      </c>
      <c r="H114" s="192">
        <v>0</v>
      </c>
      <c r="I114" s="192">
        <v>513.21</v>
      </c>
      <c r="J114" s="192">
        <f>SUM(H114:I114)</f>
        <v>513.21</v>
      </c>
    </row>
    <row r="115" spans="1:10" outlineLevel="2">
      <c r="A115" s="191" t="s">
        <v>133</v>
      </c>
      <c r="B115" s="191" t="s">
        <v>2786</v>
      </c>
      <c r="C115" s="191" t="s">
        <v>135</v>
      </c>
      <c r="D115" s="191" t="s">
        <v>1560</v>
      </c>
      <c r="E115" s="191" t="s">
        <v>2637</v>
      </c>
      <c r="F115" s="191" t="s">
        <v>2608</v>
      </c>
      <c r="G115" s="191">
        <v>28</v>
      </c>
      <c r="H115" s="192">
        <v>100</v>
      </c>
      <c r="I115" s="192">
        <v>680.92</v>
      </c>
      <c r="J115" s="192">
        <f>SUM(H115:I115)</f>
        <v>780.92</v>
      </c>
    </row>
    <row r="116" spans="1:10" outlineLevel="2">
      <c r="A116" s="191" t="s">
        <v>136</v>
      </c>
      <c r="B116" s="191" t="s">
        <v>2786</v>
      </c>
      <c r="C116" s="191" t="s">
        <v>135</v>
      </c>
      <c r="D116" s="191" t="s">
        <v>1563</v>
      </c>
      <c r="E116" s="191" t="s">
        <v>2638</v>
      </c>
      <c r="F116" s="191" t="s">
        <v>2630</v>
      </c>
      <c r="G116" s="191">
        <v>21</v>
      </c>
      <c r="H116" s="192">
        <v>0</v>
      </c>
      <c r="I116" s="192">
        <v>406.62</v>
      </c>
      <c r="J116" s="192">
        <f>SUM(H116:I116)</f>
        <v>406.62</v>
      </c>
    </row>
    <row r="117" spans="1:10" outlineLevel="2">
      <c r="A117" s="191" t="s">
        <v>136</v>
      </c>
      <c r="B117" s="191" t="s">
        <v>134</v>
      </c>
      <c r="C117" s="191" t="s">
        <v>135</v>
      </c>
      <c r="D117" s="191" t="s">
        <v>1564</v>
      </c>
      <c r="E117" s="191" t="s">
        <v>2605</v>
      </c>
      <c r="F117" s="191" t="s">
        <v>1483</v>
      </c>
      <c r="G117" s="191">
        <v>28</v>
      </c>
      <c r="H117" s="192">
        <v>100</v>
      </c>
      <c r="I117" s="192">
        <v>539.52</v>
      </c>
      <c r="J117" s="192">
        <f>SUM(H117:I117)</f>
        <v>639.52</v>
      </c>
    </row>
    <row r="118" spans="1:10" outlineLevel="2">
      <c r="A118" s="191" t="s">
        <v>137</v>
      </c>
      <c r="B118" s="191" t="s">
        <v>116</v>
      </c>
      <c r="C118" s="191" t="s">
        <v>135</v>
      </c>
      <c r="D118" s="191" t="s">
        <v>1565</v>
      </c>
      <c r="E118" s="191" t="s">
        <v>2637</v>
      </c>
      <c r="F118" s="191" t="s">
        <v>2608</v>
      </c>
      <c r="G118" s="191">
        <v>28</v>
      </c>
      <c r="H118" s="192">
        <v>100</v>
      </c>
      <c r="I118" s="192">
        <v>252.44</v>
      </c>
      <c r="J118" s="192">
        <f>SUM(H118:I118)</f>
        <v>352.44</v>
      </c>
    </row>
    <row r="119" spans="1:10" outlineLevel="2">
      <c r="A119" s="191" t="s">
        <v>138</v>
      </c>
      <c r="B119" s="191" t="s">
        <v>112</v>
      </c>
      <c r="C119" s="191" t="s">
        <v>135</v>
      </c>
      <c r="D119" s="191" t="s">
        <v>1566</v>
      </c>
      <c r="E119" s="191" t="s">
        <v>2637</v>
      </c>
      <c r="F119" s="191" t="s">
        <v>2639</v>
      </c>
      <c r="G119" s="191">
        <v>21</v>
      </c>
      <c r="H119" s="192">
        <v>100</v>
      </c>
      <c r="I119" s="192">
        <v>176.07</v>
      </c>
      <c r="J119" s="192">
        <f>SUM(H119:I119)</f>
        <v>276.07</v>
      </c>
    </row>
    <row r="120" spans="1:10" outlineLevel="2">
      <c r="A120" s="191" t="s">
        <v>2788</v>
      </c>
      <c r="B120" s="191" t="s">
        <v>2786</v>
      </c>
      <c r="C120" s="191" t="s">
        <v>135</v>
      </c>
      <c r="D120" s="191" t="s">
        <v>1567</v>
      </c>
      <c r="E120" s="191" t="s">
        <v>1490</v>
      </c>
      <c r="F120" s="191" t="s">
        <v>1490</v>
      </c>
      <c r="G120" s="191">
        <v>7</v>
      </c>
      <c r="H120" s="192">
        <v>0</v>
      </c>
      <c r="I120" s="192">
        <v>172.78</v>
      </c>
      <c r="J120" s="192">
        <f>SUM(H120:I120)</f>
        <v>172.78</v>
      </c>
    </row>
    <row r="121" spans="1:10" outlineLevel="2">
      <c r="A121" s="191" t="s">
        <v>139</v>
      </c>
      <c r="B121" s="191" t="s">
        <v>2786</v>
      </c>
      <c r="C121" s="191" t="s">
        <v>135</v>
      </c>
      <c r="D121" s="191" t="s">
        <v>1568</v>
      </c>
      <c r="E121" s="191" t="s">
        <v>2640</v>
      </c>
      <c r="F121" s="191" t="s">
        <v>2640</v>
      </c>
      <c r="G121" s="191">
        <v>7</v>
      </c>
      <c r="H121" s="192">
        <v>0</v>
      </c>
      <c r="I121" s="192">
        <v>45.67</v>
      </c>
      <c r="J121" s="192">
        <f>SUM(H121:I121)</f>
        <v>45.67</v>
      </c>
    </row>
    <row r="122" spans="1:10" outlineLevel="2">
      <c r="A122" s="191" t="s">
        <v>139</v>
      </c>
      <c r="B122" s="191" t="s">
        <v>2786</v>
      </c>
      <c r="C122" s="191" t="s">
        <v>135</v>
      </c>
      <c r="D122" s="191" t="s">
        <v>1560</v>
      </c>
      <c r="E122" s="191" t="s">
        <v>2637</v>
      </c>
      <c r="F122" s="191" t="s">
        <v>2608</v>
      </c>
      <c r="G122" s="191">
        <v>28</v>
      </c>
      <c r="H122" s="192">
        <v>100</v>
      </c>
      <c r="I122" s="192">
        <v>674.12</v>
      </c>
      <c r="J122" s="192">
        <f>SUM(H122:I122)</f>
        <v>774.12</v>
      </c>
    </row>
    <row r="123" spans="1:10" outlineLevel="2">
      <c r="A123" s="191" t="s">
        <v>140</v>
      </c>
      <c r="B123" s="191" t="s">
        <v>2786</v>
      </c>
      <c r="C123" s="191" t="s">
        <v>135</v>
      </c>
      <c r="D123" s="191" t="s">
        <v>1569</v>
      </c>
      <c r="E123" s="191" t="s">
        <v>1490</v>
      </c>
      <c r="F123" s="191" t="s">
        <v>1490</v>
      </c>
      <c r="G123" s="191">
        <v>7</v>
      </c>
      <c r="H123" s="192">
        <v>0</v>
      </c>
      <c r="I123" s="192">
        <v>153.09</v>
      </c>
      <c r="J123" s="192">
        <f>SUM(H123:I123)</f>
        <v>153.09</v>
      </c>
    </row>
    <row r="124" spans="1:10" outlineLevel="2">
      <c r="A124" s="191" t="s">
        <v>140</v>
      </c>
      <c r="B124" s="191" t="s">
        <v>2786</v>
      </c>
      <c r="C124" s="191" t="s">
        <v>135</v>
      </c>
      <c r="D124" s="191" t="s">
        <v>1560</v>
      </c>
      <c r="E124" s="191" t="s">
        <v>2637</v>
      </c>
      <c r="F124" s="191" t="s">
        <v>2608</v>
      </c>
      <c r="G124" s="191">
        <v>28</v>
      </c>
      <c r="H124" s="192">
        <v>0</v>
      </c>
      <c r="I124" s="192">
        <v>609.4</v>
      </c>
      <c r="J124" s="192">
        <f>SUM(H124:I124)</f>
        <v>609.4</v>
      </c>
    </row>
    <row r="125" spans="1:10" outlineLevel="1">
      <c r="A125" s="193" t="s">
        <v>2991</v>
      </c>
      <c r="B125" s="194"/>
      <c r="C125" s="194"/>
      <c r="D125" s="194"/>
      <c r="E125" s="194"/>
      <c r="F125" s="194"/>
      <c r="G125" s="194">
        <f>SUBTOTAL(9,G109:G124)</f>
        <v>301</v>
      </c>
      <c r="H125" s="195">
        <f>SUBTOTAL(9,H109:H124)</f>
        <v>600</v>
      </c>
      <c r="I125" s="195">
        <f>SUBTOTAL(9,I109:I124)</f>
        <v>5891.69</v>
      </c>
      <c r="J125" s="195">
        <f>SUBTOTAL(9,J109:J124)</f>
        <v>6491.6899999999987</v>
      </c>
    </row>
    <row r="126" spans="1:10" outlineLevel="2">
      <c r="A126" s="191" t="s">
        <v>142</v>
      </c>
      <c r="B126" s="191" t="s">
        <v>143</v>
      </c>
      <c r="C126" s="191" t="s">
        <v>144</v>
      </c>
      <c r="D126" s="191" t="s">
        <v>1570</v>
      </c>
      <c r="E126" s="191" t="s">
        <v>1495</v>
      </c>
      <c r="F126" s="191" t="s">
        <v>1496</v>
      </c>
      <c r="G126" s="191">
        <v>14</v>
      </c>
      <c r="H126" s="192">
        <v>0</v>
      </c>
      <c r="I126" s="192">
        <v>297.88</v>
      </c>
      <c r="J126" s="192">
        <f>SUM(H126:I126)</f>
        <v>297.88</v>
      </c>
    </row>
    <row r="127" spans="1:10" outlineLevel="2">
      <c r="A127" s="191" t="s">
        <v>145</v>
      </c>
      <c r="B127" s="191" t="s">
        <v>143</v>
      </c>
      <c r="C127" s="191" t="s">
        <v>144</v>
      </c>
      <c r="D127" s="191" t="s">
        <v>1571</v>
      </c>
      <c r="E127" s="191" t="s">
        <v>2641</v>
      </c>
      <c r="F127" s="191" t="s">
        <v>2613</v>
      </c>
      <c r="G127" s="191">
        <v>0</v>
      </c>
      <c r="H127" s="192">
        <v>100</v>
      </c>
      <c r="I127" s="192">
        <v>0</v>
      </c>
      <c r="J127" s="192">
        <f>SUM(H127:I127)</f>
        <v>100</v>
      </c>
    </row>
    <row r="128" spans="1:10" outlineLevel="2">
      <c r="A128" s="191" t="s">
        <v>145</v>
      </c>
      <c r="B128" s="191" t="s">
        <v>143</v>
      </c>
      <c r="C128" s="191" t="s">
        <v>144</v>
      </c>
      <c r="D128" s="191" t="s">
        <v>1571</v>
      </c>
      <c r="E128" s="191" t="s">
        <v>1477</v>
      </c>
      <c r="F128" s="191" t="s">
        <v>2588</v>
      </c>
      <c r="G128" s="191">
        <v>35</v>
      </c>
      <c r="H128" s="192">
        <v>100</v>
      </c>
      <c r="I128" s="192">
        <v>682.95</v>
      </c>
      <c r="J128" s="192">
        <f>SUM(H128:I128)</f>
        <v>782.95</v>
      </c>
    </row>
    <row r="129" spans="1:10" outlineLevel="2">
      <c r="A129" s="191" t="s">
        <v>148</v>
      </c>
      <c r="B129" s="191" t="s">
        <v>112</v>
      </c>
      <c r="C129" s="191" t="s">
        <v>144</v>
      </c>
      <c r="D129" s="191" t="s">
        <v>1572</v>
      </c>
      <c r="E129" s="191" t="s">
        <v>2639</v>
      </c>
      <c r="F129" s="191" t="s">
        <v>2608</v>
      </c>
      <c r="G129" s="191">
        <v>14</v>
      </c>
      <c r="H129" s="192">
        <v>0</v>
      </c>
      <c r="I129" s="192">
        <v>117.38</v>
      </c>
      <c r="J129" s="192">
        <f>SUM(H129:I129)</f>
        <v>117.38</v>
      </c>
    </row>
    <row r="130" spans="1:10" outlineLevel="2">
      <c r="A130" s="191" t="s">
        <v>149</v>
      </c>
      <c r="B130" s="191" t="s">
        <v>143</v>
      </c>
      <c r="C130" s="191" t="s">
        <v>144</v>
      </c>
      <c r="D130" s="191" t="s">
        <v>1573</v>
      </c>
      <c r="E130" s="191" t="s">
        <v>2593</v>
      </c>
      <c r="F130" s="191" t="s">
        <v>1487</v>
      </c>
      <c r="G130" s="191">
        <v>14</v>
      </c>
      <c r="H130" s="192">
        <v>100</v>
      </c>
      <c r="I130" s="192">
        <v>273.18</v>
      </c>
      <c r="J130" s="192">
        <f>SUM(H130:I130)</f>
        <v>373.18</v>
      </c>
    </row>
    <row r="131" spans="1:10" outlineLevel="2">
      <c r="A131" s="191" t="s">
        <v>2789</v>
      </c>
      <c r="B131" s="191" t="s">
        <v>116</v>
      </c>
      <c r="C131" s="191" t="s">
        <v>144</v>
      </c>
      <c r="D131" s="191" t="s">
        <v>1574</v>
      </c>
      <c r="E131" s="191" t="s">
        <v>2638</v>
      </c>
      <c r="F131" s="191" t="s">
        <v>2617</v>
      </c>
      <c r="G131" s="191">
        <v>28</v>
      </c>
      <c r="H131" s="192">
        <v>0</v>
      </c>
      <c r="I131" s="192">
        <v>253.68</v>
      </c>
      <c r="J131" s="192">
        <f>SUM(H131:I131)</f>
        <v>253.68</v>
      </c>
    </row>
    <row r="132" spans="1:10" outlineLevel="2">
      <c r="A132" s="191" t="s">
        <v>2790</v>
      </c>
      <c r="B132" s="191" t="s">
        <v>147</v>
      </c>
      <c r="C132" s="191" t="s">
        <v>144</v>
      </c>
      <c r="D132" s="191" t="s">
        <v>1575</v>
      </c>
      <c r="E132" s="191" t="s">
        <v>2593</v>
      </c>
      <c r="F132" s="191" t="s">
        <v>1487</v>
      </c>
      <c r="G132" s="191">
        <v>14</v>
      </c>
      <c r="H132" s="192">
        <v>0</v>
      </c>
      <c r="I132" s="192">
        <v>108.52</v>
      </c>
      <c r="J132" s="192">
        <f>SUM(H132:I132)</f>
        <v>108.52</v>
      </c>
    </row>
    <row r="133" spans="1:10" outlineLevel="2">
      <c r="A133" s="191" t="s">
        <v>2791</v>
      </c>
      <c r="B133" s="191" t="s">
        <v>147</v>
      </c>
      <c r="C133" s="191" t="s">
        <v>144</v>
      </c>
      <c r="D133" s="191" t="s">
        <v>1576</v>
      </c>
      <c r="E133" s="191" t="s">
        <v>2612</v>
      </c>
      <c r="F133" s="191" t="s">
        <v>2612</v>
      </c>
      <c r="G133" s="191" t="s">
        <v>2760</v>
      </c>
      <c r="H133" s="192">
        <v>0</v>
      </c>
      <c r="I133" s="192">
        <v>0</v>
      </c>
      <c r="J133" s="192">
        <f>SUM(H133:I133)</f>
        <v>0</v>
      </c>
    </row>
    <row r="134" spans="1:10" outlineLevel="2">
      <c r="A134" s="191" t="s">
        <v>150</v>
      </c>
      <c r="B134" s="191" t="s">
        <v>143</v>
      </c>
      <c r="C134" s="191" t="s">
        <v>144</v>
      </c>
      <c r="D134" s="191" t="s">
        <v>1577</v>
      </c>
      <c r="E134" s="191" t="s">
        <v>1481</v>
      </c>
      <c r="F134" s="191" t="s">
        <v>1481</v>
      </c>
      <c r="G134" s="191">
        <v>7</v>
      </c>
      <c r="H134" s="192">
        <v>0</v>
      </c>
      <c r="I134" s="192">
        <v>158.74</v>
      </c>
      <c r="J134" s="192">
        <f>SUM(H134:I134)</f>
        <v>158.74</v>
      </c>
    </row>
    <row r="135" spans="1:10" outlineLevel="2">
      <c r="A135" s="191" t="s">
        <v>150</v>
      </c>
      <c r="B135" s="191" t="s">
        <v>143</v>
      </c>
      <c r="C135" s="191" t="s">
        <v>144</v>
      </c>
      <c r="D135" s="191" t="s">
        <v>1578</v>
      </c>
      <c r="E135" s="191" t="s">
        <v>2594</v>
      </c>
      <c r="F135" s="191" t="s">
        <v>2588</v>
      </c>
      <c r="G135" s="191">
        <v>14</v>
      </c>
      <c r="H135" s="192">
        <v>0</v>
      </c>
      <c r="I135" s="192">
        <v>317.48</v>
      </c>
      <c r="J135" s="192">
        <f>SUM(H135:I135)</f>
        <v>317.48</v>
      </c>
    </row>
    <row r="136" spans="1:10" outlineLevel="2">
      <c r="A136" s="191" t="s">
        <v>150</v>
      </c>
      <c r="B136" s="191" t="s">
        <v>143</v>
      </c>
      <c r="C136" s="191" t="s">
        <v>144</v>
      </c>
      <c r="D136" s="191" t="s">
        <v>1579</v>
      </c>
      <c r="E136" s="191" t="s">
        <v>2611</v>
      </c>
      <c r="F136" s="191" t="s">
        <v>2612</v>
      </c>
      <c r="G136" s="191">
        <v>14</v>
      </c>
      <c r="H136" s="192">
        <v>0</v>
      </c>
      <c r="I136" s="192">
        <v>317.48</v>
      </c>
      <c r="J136" s="192">
        <f>SUM(H136:I136)</f>
        <v>317.48</v>
      </c>
    </row>
    <row r="137" spans="1:10" outlineLevel="2">
      <c r="A137" s="191" t="s">
        <v>150</v>
      </c>
      <c r="B137" s="191" t="s">
        <v>143</v>
      </c>
      <c r="C137" s="191" t="s">
        <v>144</v>
      </c>
      <c r="D137" s="191" t="s">
        <v>1580</v>
      </c>
      <c r="E137" s="191" t="s">
        <v>2642</v>
      </c>
      <c r="F137" s="191" t="s">
        <v>2643</v>
      </c>
      <c r="G137" s="191">
        <v>21</v>
      </c>
      <c r="H137" s="192">
        <v>0</v>
      </c>
      <c r="I137" s="192">
        <v>619.77</v>
      </c>
      <c r="J137" s="192">
        <f>SUM(H137:I137)</f>
        <v>619.77</v>
      </c>
    </row>
    <row r="138" spans="1:10" outlineLevel="2">
      <c r="A138" s="191" t="s">
        <v>2792</v>
      </c>
      <c r="B138" s="191" t="s">
        <v>143</v>
      </c>
      <c r="C138" s="191" t="s">
        <v>144</v>
      </c>
      <c r="D138" s="191" t="s">
        <v>1581</v>
      </c>
      <c r="E138" s="191" t="s">
        <v>2599</v>
      </c>
      <c r="F138" s="191" t="s">
        <v>2600</v>
      </c>
      <c r="G138" s="191">
        <v>14</v>
      </c>
      <c r="H138" s="192">
        <v>0</v>
      </c>
      <c r="I138" s="192">
        <v>352.4</v>
      </c>
      <c r="J138" s="192">
        <f>SUM(H138:I138)</f>
        <v>352.4</v>
      </c>
    </row>
    <row r="139" spans="1:10" outlineLevel="2">
      <c r="A139" s="191" t="s">
        <v>2792</v>
      </c>
      <c r="B139" s="191" t="s">
        <v>143</v>
      </c>
      <c r="C139" s="191" t="s">
        <v>144</v>
      </c>
      <c r="D139" s="191" t="s">
        <v>1582</v>
      </c>
      <c r="E139" s="191" t="s">
        <v>1485</v>
      </c>
      <c r="F139" s="191" t="s">
        <v>1486</v>
      </c>
      <c r="G139" s="191">
        <v>21</v>
      </c>
      <c r="H139" s="192">
        <v>0</v>
      </c>
      <c r="I139" s="192">
        <v>533.70000000000005</v>
      </c>
      <c r="J139" s="192">
        <f>SUM(H139:I139)</f>
        <v>533.70000000000005</v>
      </c>
    </row>
    <row r="140" spans="1:10" outlineLevel="2">
      <c r="A140" s="191" t="s">
        <v>2792</v>
      </c>
      <c r="B140" s="191" t="s">
        <v>143</v>
      </c>
      <c r="C140" s="191" t="s">
        <v>144</v>
      </c>
      <c r="D140" s="191" t="s">
        <v>1583</v>
      </c>
      <c r="E140" s="191" t="s">
        <v>2592</v>
      </c>
      <c r="F140" s="191" t="s">
        <v>2602</v>
      </c>
      <c r="G140" s="191">
        <v>21</v>
      </c>
      <c r="H140" s="192">
        <v>0</v>
      </c>
      <c r="I140" s="192">
        <v>536.30999999999995</v>
      </c>
      <c r="J140" s="192">
        <f>SUM(H140:I140)</f>
        <v>536.30999999999995</v>
      </c>
    </row>
    <row r="141" spans="1:10" outlineLevel="2">
      <c r="A141" s="191" t="s">
        <v>153</v>
      </c>
      <c r="B141" s="191" t="s">
        <v>112</v>
      </c>
      <c r="C141" s="191" t="s">
        <v>144</v>
      </c>
      <c r="D141" s="191" t="s">
        <v>1584</v>
      </c>
      <c r="E141" s="191" t="s">
        <v>2624</v>
      </c>
      <c r="F141" s="191" t="s">
        <v>1496</v>
      </c>
      <c r="G141" s="191">
        <v>21</v>
      </c>
      <c r="H141" s="192">
        <v>0</v>
      </c>
      <c r="I141" s="192">
        <v>166.32</v>
      </c>
      <c r="J141" s="192">
        <f>SUM(H141:I141)</f>
        <v>166.32</v>
      </c>
    </row>
    <row r="142" spans="1:10" outlineLevel="2">
      <c r="A142" s="191" t="s">
        <v>154</v>
      </c>
      <c r="B142" s="191" t="s">
        <v>143</v>
      </c>
      <c r="C142" s="191" t="s">
        <v>144</v>
      </c>
      <c r="D142" s="191" t="s">
        <v>1585</v>
      </c>
      <c r="E142" s="191" t="s">
        <v>2592</v>
      </c>
      <c r="F142" s="191" t="s">
        <v>2602</v>
      </c>
      <c r="G142" s="191">
        <v>21</v>
      </c>
      <c r="H142" s="192">
        <v>0</v>
      </c>
      <c r="I142" s="192">
        <v>478.53</v>
      </c>
      <c r="J142" s="192">
        <f>SUM(H142:I142)</f>
        <v>478.53</v>
      </c>
    </row>
    <row r="143" spans="1:10" outlineLevel="2">
      <c r="A143" s="191" t="s">
        <v>154</v>
      </c>
      <c r="B143" s="191" t="s">
        <v>143</v>
      </c>
      <c r="C143" s="191" t="s">
        <v>144</v>
      </c>
      <c r="D143" s="191" t="s">
        <v>1577</v>
      </c>
      <c r="E143" s="191" t="s">
        <v>2644</v>
      </c>
      <c r="F143" s="191" t="s">
        <v>2643</v>
      </c>
      <c r="G143" s="191">
        <v>28</v>
      </c>
      <c r="H143" s="192">
        <v>0</v>
      </c>
      <c r="I143" s="192">
        <v>849.04</v>
      </c>
      <c r="J143" s="192">
        <f>SUM(H143:I143)</f>
        <v>849.04</v>
      </c>
    </row>
    <row r="144" spans="1:10" outlineLevel="2">
      <c r="A144" s="191" t="s">
        <v>155</v>
      </c>
      <c r="B144" s="191" t="s">
        <v>143</v>
      </c>
      <c r="C144" s="191" t="s">
        <v>144</v>
      </c>
      <c r="D144" s="191" t="s">
        <v>1586</v>
      </c>
      <c r="E144" s="191" t="s">
        <v>1480</v>
      </c>
      <c r="F144" s="191" t="s">
        <v>1480</v>
      </c>
      <c r="G144" s="191">
        <v>7</v>
      </c>
      <c r="H144" s="192">
        <v>0</v>
      </c>
      <c r="I144" s="192">
        <v>131.16999999999999</v>
      </c>
      <c r="J144" s="192">
        <f>SUM(H144:I144)</f>
        <v>131.16999999999999</v>
      </c>
    </row>
    <row r="145" spans="1:10" outlineLevel="2">
      <c r="A145" s="191" t="s">
        <v>156</v>
      </c>
      <c r="B145" s="191" t="s">
        <v>143</v>
      </c>
      <c r="C145" s="191" t="s">
        <v>144</v>
      </c>
      <c r="D145" s="191" t="s">
        <v>1576</v>
      </c>
      <c r="E145" s="191" t="s">
        <v>2612</v>
      </c>
      <c r="F145" s="191" t="s">
        <v>2612</v>
      </c>
      <c r="G145" s="191">
        <v>7</v>
      </c>
      <c r="H145" s="192">
        <v>0</v>
      </c>
      <c r="I145" s="192">
        <v>171.94</v>
      </c>
      <c r="J145" s="192">
        <f>SUM(H145:I145)</f>
        <v>171.94</v>
      </c>
    </row>
    <row r="146" spans="1:10" outlineLevel="2">
      <c r="A146" s="191" t="s">
        <v>864</v>
      </c>
      <c r="B146" s="191" t="s">
        <v>143</v>
      </c>
      <c r="C146" s="191" t="s">
        <v>144</v>
      </c>
      <c r="D146" s="191" t="s">
        <v>1587</v>
      </c>
      <c r="E146" s="191" t="s">
        <v>2603</v>
      </c>
      <c r="F146" s="191" t="s">
        <v>2603</v>
      </c>
      <c r="G146" s="191">
        <v>7</v>
      </c>
      <c r="H146" s="192">
        <v>0</v>
      </c>
      <c r="I146" s="192">
        <v>161.13</v>
      </c>
      <c r="J146" s="192">
        <f>SUM(H146:I146)</f>
        <v>161.13</v>
      </c>
    </row>
    <row r="147" spans="1:10" outlineLevel="2">
      <c r="A147" s="191" t="s">
        <v>2793</v>
      </c>
      <c r="B147" s="191" t="s">
        <v>147</v>
      </c>
      <c r="C147" s="191" t="s">
        <v>144</v>
      </c>
      <c r="D147" s="191" t="s">
        <v>1588</v>
      </c>
      <c r="E147" s="191" t="s">
        <v>2593</v>
      </c>
      <c r="F147" s="191" t="s">
        <v>1487</v>
      </c>
      <c r="G147" s="191">
        <v>14</v>
      </c>
      <c r="H147" s="192">
        <v>100</v>
      </c>
      <c r="I147" s="192">
        <v>108.52</v>
      </c>
      <c r="J147" s="192">
        <f>SUM(H147:I147)</f>
        <v>208.51999999999998</v>
      </c>
    </row>
    <row r="148" spans="1:10" outlineLevel="2">
      <c r="A148" s="191" t="s">
        <v>2793</v>
      </c>
      <c r="B148" s="191" t="s">
        <v>147</v>
      </c>
      <c r="C148" s="191" t="s">
        <v>144</v>
      </c>
      <c r="D148" s="191" t="s">
        <v>1576</v>
      </c>
      <c r="E148" s="191" t="s">
        <v>2611</v>
      </c>
      <c r="F148" s="191" t="s">
        <v>2612</v>
      </c>
      <c r="G148" s="191" t="s">
        <v>2760</v>
      </c>
      <c r="H148" s="192">
        <v>0</v>
      </c>
      <c r="I148" s="192">
        <v>0</v>
      </c>
      <c r="J148" s="192">
        <f>SUM(H148:I148)</f>
        <v>0</v>
      </c>
    </row>
    <row r="149" spans="1:10" outlineLevel="2">
      <c r="A149" s="191" t="s">
        <v>2794</v>
      </c>
      <c r="B149" s="191" t="s">
        <v>143</v>
      </c>
      <c r="C149" s="191" t="s">
        <v>144</v>
      </c>
      <c r="D149" s="191" t="s">
        <v>146</v>
      </c>
      <c r="E149" s="191" t="s">
        <v>1480</v>
      </c>
      <c r="F149" s="191" t="s">
        <v>1480</v>
      </c>
      <c r="G149" s="191">
        <v>7</v>
      </c>
      <c r="H149" s="192">
        <v>0</v>
      </c>
      <c r="I149" s="192">
        <v>133.83000000000001</v>
      </c>
      <c r="J149" s="192">
        <f>SUM(H149:I149)</f>
        <v>133.83000000000001</v>
      </c>
    </row>
    <row r="150" spans="1:10" outlineLevel="2">
      <c r="A150" s="191" t="s">
        <v>157</v>
      </c>
      <c r="B150" s="191" t="s">
        <v>143</v>
      </c>
      <c r="C150" s="191" t="s">
        <v>144</v>
      </c>
      <c r="D150" s="191" t="s">
        <v>1589</v>
      </c>
      <c r="E150" s="191" t="s">
        <v>1504</v>
      </c>
      <c r="F150" s="191" t="s">
        <v>1504</v>
      </c>
      <c r="G150" s="191">
        <v>7</v>
      </c>
      <c r="H150" s="192">
        <v>0</v>
      </c>
      <c r="I150" s="192">
        <v>168.53</v>
      </c>
      <c r="J150" s="192">
        <f>SUM(H150:I150)</f>
        <v>168.53</v>
      </c>
    </row>
    <row r="151" spans="1:10" outlineLevel="2">
      <c r="A151" s="191" t="s">
        <v>157</v>
      </c>
      <c r="B151" s="191" t="s">
        <v>143</v>
      </c>
      <c r="C151" s="191" t="s">
        <v>144</v>
      </c>
      <c r="D151" s="191" t="s">
        <v>1590</v>
      </c>
      <c r="E151" s="191" t="s">
        <v>1500</v>
      </c>
      <c r="F151" s="191" t="s">
        <v>1500</v>
      </c>
      <c r="G151" s="191">
        <v>7</v>
      </c>
      <c r="H151" s="192">
        <v>0</v>
      </c>
      <c r="I151" s="192">
        <v>163.9</v>
      </c>
      <c r="J151" s="192">
        <f>SUM(H151:I151)</f>
        <v>163.9</v>
      </c>
    </row>
    <row r="152" spans="1:10" outlineLevel="2">
      <c r="A152" s="191" t="s">
        <v>157</v>
      </c>
      <c r="B152" s="191" t="s">
        <v>143</v>
      </c>
      <c r="C152" s="191" t="s">
        <v>144</v>
      </c>
      <c r="D152" s="191" t="s">
        <v>1591</v>
      </c>
      <c r="E152" s="191" t="s">
        <v>2624</v>
      </c>
      <c r="F152" s="191" t="s">
        <v>1496</v>
      </c>
      <c r="G152" s="191">
        <v>21</v>
      </c>
      <c r="H152" s="192">
        <v>0</v>
      </c>
      <c r="I152" s="192">
        <v>505.59</v>
      </c>
      <c r="J152" s="192">
        <f>SUM(H152:I152)</f>
        <v>505.59</v>
      </c>
    </row>
    <row r="153" spans="1:10" outlineLevel="2">
      <c r="A153" s="191" t="s">
        <v>2795</v>
      </c>
      <c r="B153" s="191" t="s">
        <v>159</v>
      </c>
      <c r="C153" s="191" t="s">
        <v>144</v>
      </c>
      <c r="D153" s="191" t="s">
        <v>1576</v>
      </c>
      <c r="E153" s="191" t="s">
        <v>2612</v>
      </c>
      <c r="F153" s="191" t="s">
        <v>2612</v>
      </c>
      <c r="G153" s="191">
        <v>7</v>
      </c>
      <c r="H153" s="192">
        <v>0</v>
      </c>
      <c r="I153" s="192">
        <v>168.53</v>
      </c>
      <c r="J153" s="192">
        <f>SUM(H153:I153)</f>
        <v>168.53</v>
      </c>
    </row>
    <row r="154" spans="1:10" outlineLevel="2">
      <c r="A154" s="191" t="s">
        <v>2795</v>
      </c>
      <c r="B154" s="191" t="s">
        <v>159</v>
      </c>
      <c r="C154" s="191" t="s">
        <v>144</v>
      </c>
      <c r="D154" s="191" t="s">
        <v>1592</v>
      </c>
      <c r="E154" s="191" t="s">
        <v>2585</v>
      </c>
      <c r="F154" s="191" t="s">
        <v>2585</v>
      </c>
      <c r="G154" s="191">
        <v>7</v>
      </c>
      <c r="H154" s="192">
        <v>0</v>
      </c>
      <c r="I154" s="192">
        <v>168.53</v>
      </c>
      <c r="J154" s="192">
        <f>SUM(H154:I154)</f>
        <v>168.53</v>
      </c>
    </row>
    <row r="155" spans="1:10" outlineLevel="2">
      <c r="A155" s="191" t="s">
        <v>2795</v>
      </c>
      <c r="B155" s="191" t="s">
        <v>159</v>
      </c>
      <c r="C155" s="191" t="s">
        <v>144</v>
      </c>
      <c r="D155" s="191" t="s">
        <v>1590</v>
      </c>
      <c r="E155" s="191" t="s">
        <v>1500</v>
      </c>
      <c r="F155" s="191" t="s">
        <v>1500</v>
      </c>
      <c r="G155" s="191">
        <v>7</v>
      </c>
      <c r="H155" s="192">
        <v>0</v>
      </c>
      <c r="I155" s="192">
        <v>163.9</v>
      </c>
      <c r="J155" s="192">
        <f>SUM(H155:I155)</f>
        <v>163.9</v>
      </c>
    </row>
    <row r="156" spans="1:10" outlineLevel="2">
      <c r="A156" s="191" t="s">
        <v>158</v>
      </c>
      <c r="B156" s="191" t="s">
        <v>143</v>
      </c>
      <c r="C156" s="191" t="s">
        <v>144</v>
      </c>
      <c r="D156" s="191" t="s">
        <v>1593</v>
      </c>
      <c r="E156" s="191" t="s">
        <v>1482</v>
      </c>
      <c r="F156" s="191" t="s">
        <v>1482</v>
      </c>
      <c r="G156" s="191">
        <v>7</v>
      </c>
      <c r="H156" s="192">
        <v>0</v>
      </c>
      <c r="I156" s="192">
        <v>136.59</v>
      </c>
      <c r="J156" s="192">
        <f>SUM(H156:I156)</f>
        <v>136.59</v>
      </c>
    </row>
    <row r="157" spans="1:10" outlineLevel="2">
      <c r="A157" s="191" t="s">
        <v>2796</v>
      </c>
      <c r="B157" s="191" t="s">
        <v>143</v>
      </c>
      <c r="C157" s="191" t="s">
        <v>144</v>
      </c>
      <c r="D157" s="191" t="s">
        <v>151</v>
      </c>
      <c r="E157" s="191" t="s">
        <v>1480</v>
      </c>
      <c r="F157" s="191" t="s">
        <v>1480</v>
      </c>
      <c r="G157" s="191">
        <v>7</v>
      </c>
      <c r="H157" s="192">
        <v>0</v>
      </c>
      <c r="I157" s="192">
        <v>138.97</v>
      </c>
      <c r="J157" s="192">
        <f>SUM(H157:I157)</f>
        <v>138.97</v>
      </c>
    </row>
    <row r="158" spans="1:10" outlineLevel="2">
      <c r="A158" s="191" t="s">
        <v>2796</v>
      </c>
      <c r="B158" s="191" t="s">
        <v>143</v>
      </c>
      <c r="C158" s="191" t="s">
        <v>144</v>
      </c>
      <c r="D158" s="191" t="s">
        <v>1594</v>
      </c>
      <c r="E158" s="191" t="s">
        <v>2645</v>
      </c>
      <c r="F158" s="191" t="s">
        <v>2645</v>
      </c>
      <c r="G158" s="191">
        <v>7</v>
      </c>
      <c r="H158" s="192">
        <v>0</v>
      </c>
      <c r="I158" s="192">
        <v>138.97</v>
      </c>
      <c r="J158" s="192">
        <f>SUM(H158:I158)</f>
        <v>138.97</v>
      </c>
    </row>
    <row r="159" spans="1:10" outlineLevel="2">
      <c r="A159" s="191" t="s">
        <v>160</v>
      </c>
      <c r="B159" s="191" t="s">
        <v>143</v>
      </c>
      <c r="C159" s="191" t="s">
        <v>144</v>
      </c>
      <c r="D159" s="191" t="s">
        <v>1576</v>
      </c>
      <c r="E159" s="191" t="s">
        <v>2612</v>
      </c>
      <c r="F159" s="191" t="s">
        <v>2612</v>
      </c>
      <c r="G159" s="191">
        <v>7</v>
      </c>
      <c r="H159" s="192">
        <v>0</v>
      </c>
      <c r="I159" s="192">
        <v>171.94</v>
      </c>
      <c r="J159" s="192">
        <f>SUM(H159:I159)</f>
        <v>171.94</v>
      </c>
    </row>
    <row r="160" spans="1:10" outlineLevel="2">
      <c r="A160" s="191" t="s">
        <v>160</v>
      </c>
      <c r="B160" s="191" t="s">
        <v>143</v>
      </c>
      <c r="C160" s="191" t="s">
        <v>144</v>
      </c>
      <c r="D160" s="191" t="s">
        <v>1595</v>
      </c>
      <c r="E160" s="191" t="s">
        <v>2607</v>
      </c>
      <c r="F160" s="191" t="s">
        <v>1500</v>
      </c>
      <c r="G160" s="191">
        <v>21</v>
      </c>
      <c r="H160" s="192">
        <v>0</v>
      </c>
      <c r="I160" s="192">
        <v>518.34</v>
      </c>
      <c r="J160" s="192">
        <f>SUM(H160:I160)</f>
        <v>518.34</v>
      </c>
    </row>
    <row r="161" spans="1:10" outlineLevel="2">
      <c r="A161" s="191" t="s">
        <v>2797</v>
      </c>
      <c r="B161" s="191" t="s">
        <v>141</v>
      </c>
      <c r="C161" s="191" t="s">
        <v>144</v>
      </c>
      <c r="D161" s="191" t="s">
        <v>1596</v>
      </c>
      <c r="E161" s="191" t="s">
        <v>2646</v>
      </c>
      <c r="F161" s="191" t="s">
        <v>2646</v>
      </c>
      <c r="G161" s="191">
        <v>7</v>
      </c>
      <c r="H161" s="192">
        <v>100</v>
      </c>
      <c r="I161" s="192">
        <v>50.97</v>
      </c>
      <c r="J161" s="192">
        <f>SUM(H161:I161)</f>
        <v>150.97</v>
      </c>
    </row>
    <row r="162" spans="1:10" outlineLevel="2">
      <c r="A162" s="191" t="s">
        <v>161</v>
      </c>
      <c r="B162" s="191" t="s">
        <v>143</v>
      </c>
      <c r="C162" s="191" t="s">
        <v>144</v>
      </c>
      <c r="D162" s="191" t="s">
        <v>1581</v>
      </c>
      <c r="E162" s="191" t="s">
        <v>2647</v>
      </c>
      <c r="F162" s="191" t="s">
        <v>2600</v>
      </c>
      <c r="G162" s="191">
        <v>21</v>
      </c>
      <c r="H162" s="192">
        <v>0</v>
      </c>
      <c r="I162" s="192">
        <v>481.26</v>
      </c>
      <c r="J162" s="192">
        <f>SUM(H162:I162)</f>
        <v>481.26</v>
      </c>
    </row>
    <row r="163" spans="1:10" outlineLevel="2">
      <c r="A163" s="191" t="s">
        <v>2798</v>
      </c>
      <c r="B163" s="191" t="s">
        <v>143</v>
      </c>
      <c r="C163" s="191" t="s">
        <v>144</v>
      </c>
      <c r="D163" s="191" t="s">
        <v>1597</v>
      </c>
      <c r="E163" s="191" t="s">
        <v>1480</v>
      </c>
      <c r="F163" s="191" t="s">
        <v>1480</v>
      </c>
      <c r="G163" s="191">
        <v>7</v>
      </c>
      <c r="H163" s="192">
        <v>0</v>
      </c>
      <c r="I163" s="192">
        <v>151.38</v>
      </c>
      <c r="J163" s="192">
        <f>SUM(H163:I163)</f>
        <v>151.38</v>
      </c>
    </row>
    <row r="164" spans="1:10" outlineLevel="2">
      <c r="A164" s="191" t="s">
        <v>2798</v>
      </c>
      <c r="B164" s="191" t="s">
        <v>143</v>
      </c>
      <c r="C164" s="191" t="s">
        <v>144</v>
      </c>
      <c r="D164" s="191" t="s">
        <v>1578</v>
      </c>
      <c r="E164" s="191" t="s">
        <v>2594</v>
      </c>
      <c r="F164" s="191" t="s">
        <v>2588</v>
      </c>
      <c r="G164" s="191">
        <v>14</v>
      </c>
      <c r="H164" s="192">
        <v>0</v>
      </c>
      <c r="I164" s="192">
        <v>314.48</v>
      </c>
      <c r="J164" s="192">
        <f>SUM(H164:I164)</f>
        <v>314.48</v>
      </c>
    </row>
    <row r="165" spans="1:10" outlineLevel="2">
      <c r="A165" s="191" t="s">
        <v>162</v>
      </c>
      <c r="B165" s="191" t="s">
        <v>143</v>
      </c>
      <c r="C165" s="191" t="s">
        <v>144</v>
      </c>
      <c r="D165" s="191" t="s">
        <v>1576</v>
      </c>
      <c r="E165" s="191" t="s">
        <v>2612</v>
      </c>
      <c r="F165" s="191" t="s">
        <v>2612</v>
      </c>
      <c r="G165" s="191">
        <v>7</v>
      </c>
      <c r="H165" s="192">
        <v>0</v>
      </c>
      <c r="I165" s="192">
        <v>202.93</v>
      </c>
      <c r="J165" s="192">
        <f>SUM(H165:I165)</f>
        <v>202.93</v>
      </c>
    </row>
    <row r="166" spans="1:10" outlineLevel="2">
      <c r="A166" s="191" t="s">
        <v>162</v>
      </c>
      <c r="B166" s="191" t="s">
        <v>143</v>
      </c>
      <c r="C166" s="191" t="s">
        <v>144</v>
      </c>
      <c r="D166" s="191" t="s">
        <v>1578</v>
      </c>
      <c r="E166" s="191" t="s">
        <v>2594</v>
      </c>
      <c r="F166" s="191" t="s">
        <v>2588</v>
      </c>
      <c r="G166" s="191">
        <v>14</v>
      </c>
      <c r="H166" s="192">
        <v>0</v>
      </c>
      <c r="I166" s="192">
        <v>402.46</v>
      </c>
      <c r="J166" s="192">
        <f>SUM(H166:I166)</f>
        <v>402.46</v>
      </c>
    </row>
    <row r="167" spans="1:10" outlineLevel="2">
      <c r="A167" s="191" t="s">
        <v>162</v>
      </c>
      <c r="B167" s="191" t="s">
        <v>143</v>
      </c>
      <c r="C167" s="191" t="s">
        <v>144</v>
      </c>
      <c r="D167" s="191" t="s">
        <v>1598</v>
      </c>
      <c r="E167" s="191" t="s">
        <v>2585</v>
      </c>
      <c r="F167" s="191" t="s">
        <v>2586</v>
      </c>
      <c r="G167" s="191">
        <v>14</v>
      </c>
      <c r="H167" s="192">
        <v>0</v>
      </c>
      <c r="I167" s="192">
        <v>405.86</v>
      </c>
      <c r="J167" s="192">
        <f>SUM(H167:I167)</f>
        <v>405.86</v>
      </c>
    </row>
    <row r="168" spans="1:10" outlineLevel="2">
      <c r="A168" s="191" t="s">
        <v>162</v>
      </c>
      <c r="B168" s="191" t="s">
        <v>143</v>
      </c>
      <c r="C168" s="191" t="s">
        <v>144</v>
      </c>
      <c r="D168" s="191" t="s">
        <v>1599</v>
      </c>
      <c r="E168" s="191" t="s">
        <v>2635</v>
      </c>
      <c r="F168" s="191" t="s">
        <v>2636</v>
      </c>
      <c r="G168" s="191">
        <v>21</v>
      </c>
      <c r="H168" s="192">
        <v>0</v>
      </c>
      <c r="I168" s="192">
        <v>611.79</v>
      </c>
      <c r="J168" s="192">
        <f>SUM(H168:I168)</f>
        <v>611.79</v>
      </c>
    </row>
    <row r="169" spans="1:10" outlineLevel="2">
      <c r="A169" s="191" t="s">
        <v>2799</v>
      </c>
      <c r="B169" s="191" t="s">
        <v>143</v>
      </c>
      <c r="C169" s="191" t="s">
        <v>144</v>
      </c>
      <c r="D169" s="191" t="s">
        <v>1581</v>
      </c>
      <c r="E169" s="191" t="s">
        <v>2647</v>
      </c>
      <c r="F169" s="191" t="s">
        <v>2600</v>
      </c>
      <c r="G169" s="191">
        <v>21</v>
      </c>
      <c r="H169" s="192">
        <v>0</v>
      </c>
      <c r="I169" s="192">
        <v>533.70000000000005</v>
      </c>
      <c r="J169" s="192">
        <f>SUM(H169:I169)</f>
        <v>533.70000000000005</v>
      </c>
    </row>
    <row r="170" spans="1:10" outlineLevel="2">
      <c r="A170" s="191" t="s">
        <v>2800</v>
      </c>
      <c r="B170" s="191" t="s">
        <v>2801</v>
      </c>
      <c r="C170" s="191" t="s">
        <v>144</v>
      </c>
      <c r="D170" s="191" t="s">
        <v>1600</v>
      </c>
      <c r="E170" s="191" t="s">
        <v>2648</v>
      </c>
      <c r="F170" s="191" t="s">
        <v>2649</v>
      </c>
      <c r="G170" s="191">
        <v>14</v>
      </c>
      <c r="H170" s="192">
        <v>0</v>
      </c>
      <c r="I170" s="192">
        <v>414.36</v>
      </c>
      <c r="J170" s="192">
        <f>SUM(H170:I170)</f>
        <v>414.36</v>
      </c>
    </row>
    <row r="171" spans="1:10" outlineLevel="2">
      <c r="A171" s="191" t="s">
        <v>2800</v>
      </c>
      <c r="B171" s="191" t="s">
        <v>2801</v>
      </c>
      <c r="C171" s="191" t="s">
        <v>144</v>
      </c>
      <c r="D171" s="191" t="s">
        <v>1601</v>
      </c>
      <c r="E171" s="191" t="s">
        <v>2650</v>
      </c>
      <c r="F171" s="191" t="s">
        <v>2646</v>
      </c>
      <c r="G171" s="191">
        <v>14</v>
      </c>
      <c r="H171" s="192">
        <v>0</v>
      </c>
      <c r="I171" s="192">
        <v>419.82</v>
      </c>
      <c r="J171" s="192">
        <f>SUM(H171:I171)</f>
        <v>419.82</v>
      </c>
    </row>
    <row r="172" spans="1:10" outlineLevel="2">
      <c r="A172" s="191" t="s">
        <v>163</v>
      </c>
      <c r="B172" s="191" t="s">
        <v>143</v>
      </c>
      <c r="C172" s="191" t="s">
        <v>144</v>
      </c>
      <c r="D172" s="191" t="s">
        <v>1602</v>
      </c>
      <c r="E172" s="191" t="s">
        <v>1494</v>
      </c>
      <c r="F172" s="191" t="s">
        <v>1480</v>
      </c>
      <c r="G172" s="191">
        <v>14</v>
      </c>
      <c r="H172" s="192">
        <v>0</v>
      </c>
      <c r="I172" s="192">
        <v>271.08</v>
      </c>
      <c r="J172" s="192">
        <f>SUM(H172:I172)</f>
        <v>271.08</v>
      </c>
    </row>
    <row r="173" spans="1:10" outlineLevel="2">
      <c r="A173" s="191" t="s">
        <v>164</v>
      </c>
      <c r="B173" s="191" t="s">
        <v>165</v>
      </c>
      <c r="C173" s="191" t="s">
        <v>144</v>
      </c>
      <c r="D173" s="191" t="s">
        <v>1603</v>
      </c>
      <c r="E173" s="191" t="s">
        <v>1482</v>
      </c>
      <c r="F173" s="191" t="s">
        <v>1482</v>
      </c>
      <c r="G173" s="191">
        <v>7</v>
      </c>
      <c r="H173" s="192">
        <v>0</v>
      </c>
      <c r="I173" s="192">
        <v>80.930000000000007</v>
      </c>
      <c r="J173" s="192">
        <f>SUM(H173:I173)</f>
        <v>80.930000000000007</v>
      </c>
    </row>
    <row r="174" spans="1:10" outlineLevel="2">
      <c r="A174" s="191" t="s">
        <v>2802</v>
      </c>
      <c r="B174" s="191" t="s">
        <v>143</v>
      </c>
      <c r="C174" s="191" t="s">
        <v>144</v>
      </c>
      <c r="D174" s="191" t="s">
        <v>1604</v>
      </c>
      <c r="E174" s="191" t="s">
        <v>2585</v>
      </c>
      <c r="F174" s="191" t="s">
        <v>2586</v>
      </c>
      <c r="G174" s="191">
        <v>14</v>
      </c>
      <c r="H174" s="192">
        <v>0</v>
      </c>
      <c r="I174" s="192">
        <v>269.76</v>
      </c>
      <c r="J174" s="192">
        <f>SUM(H174:I174)</f>
        <v>269.76</v>
      </c>
    </row>
    <row r="175" spans="1:10" outlineLevel="2">
      <c r="A175" s="191" t="s">
        <v>166</v>
      </c>
      <c r="B175" s="191" t="s">
        <v>143</v>
      </c>
      <c r="C175" s="191" t="s">
        <v>144</v>
      </c>
      <c r="D175" s="191" t="s">
        <v>1576</v>
      </c>
      <c r="E175" s="191" t="s">
        <v>2612</v>
      </c>
      <c r="F175" s="191" t="s">
        <v>2612</v>
      </c>
      <c r="G175" s="191">
        <v>7</v>
      </c>
      <c r="H175" s="192">
        <v>0</v>
      </c>
      <c r="I175" s="192">
        <v>148.94</v>
      </c>
      <c r="J175" s="192">
        <f>SUM(H175:I175)</f>
        <v>148.94</v>
      </c>
    </row>
    <row r="176" spans="1:10" outlineLevel="2">
      <c r="A176" s="191" t="s">
        <v>166</v>
      </c>
      <c r="B176" s="191" t="s">
        <v>143</v>
      </c>
      <c r="C176" s="191" t="s">
        <v>144</v>
      </c>
      <c r="D176" s="191" t="s">
        <v>1605</v>
      </c>
      <c r="E176" s="191" t="s">
        <v>1496</v>
      </c>
      <c r="F176" s="191" t="s">
        <v>1496</v>
      </c>
      <c r="G176" s="191">
        <v>7</v>
      </c>
      <c r="H176" s="192">
        <v>0</v>
      </c>
      <c r="I176" s="192">
        <v>148.94</v>
      </c>
      <c r="J176" s="192">
        <f>SUM(H176:I176)</f>
        <v>148.94</v>
      </c>
    </row>
    <row r="177" spans="1:10" outlineLevel="2">
      <c r="A177" s="191" t="s">
        <v>167</v>
      </c>
      <c r="B177" s="191" t="s">
        <v>168</v>
      </c>
      <c r="C177" s="191" t="s">
        <v>144</v>
      </c>
      <c r="D177" s="191" t="s">
        <v>1606</v>
      </c>
      <c r="E177" s="191" t="s">
        <v>1504</v>
      </c>
      <c r="F177" s="191" t="s">
        <v>1504</v>
      </c>
      <c r="G177" s="191">
        <v>7</v>
      </c>
      <c r="H177" s="192">
        <v>0</v>
      </c>
      <c r="I177" s="192">
        <v>114.71</v>
      </c>
      <c r="J177" s="192">
        <f>SUM(H177:I177)</f>
        <v>114.71</v>
      </c>
    </row>
    <row r="178" spans="1:10" outlineLevel="2">
      <c r="A178" s="191" t="s">
        <v>167</v>
      </c>
      <c r="B178" s="191" t="s">
        <v>168</v>
      </c>
      <c r="C178" s="191" t="s">
        <v>144</v>
      </c>
      <c r="D178" s="191" t="s">
        <v>1590</v>
      </c>
      <c r="E178" s="191" t="s">
        <v>1500</v>
      </c>
      <c r="F178" s="191" t="s">
        <v>1500</v>
      </c>
      <c r="G178" s="191">
        <v>7</v>
      </c>
      <c r="H178" s="192">
        <v>0</v>
      </c>
      <c r="I178" s="192">
        <v>193.84</v>
      </c>
      <c r="J178" s="192">
        <f>SUM(H178:I178)</f>
        <v>193.84</v>
      </c>
    </row>
    <row r="179" spans="1:10" outlineLevel="2">
      <c r="A179" s="191" t="s">
        <v>167</v>
      </c>
      <c r="B179" s="191" t="s">
        <v>168</v>
      </c>
      <c r="C179" s="191" t="s">
        <v>144</v>
      </c>
      <c r="D179" s="191" t="s">
        <v>1570</v>
      </c>
      <c r="E179" s="191" t="s">
        <v>1495</v>
      </c>
      <c r="F179" s="191" t="s">
        <v>1496</v>
      </c>
      <c r="G179" s="191">
        <v>14</v>
      </c>
      <c r="H179" s="192">
        <v>0</v>
      </c>
      <c r="I179" s="192">
        <v>229.42</v>
      </c>
      <c r="J179" s="192">
        <f>SUM(H179:I179)</f>
        <v>229.42</v>
      </c>
    </row>
    <row r="180" spans="1:10" outlineLevel="1">
      <c r="A180" s="193" t="s">
        <v>2992</v>
      </c>
      <c r="B180" s="194"/>
      <c r="C180" s="194"/>
      <c r="D180" s="194"/>
      <c r="E180" s="194"/>
      <c r="F180" s="194"/>
      <c r="G180" s="194">
        <f>SUBTOTAL(9,G126:G179)</f>
        <v>679</v>
      </c>
      <c r="H180" s="195">
        <f>SUBTOTAL(9,H126:H179)</f>
        <v>500</v>
      </c>
      <c r="I180" s="195">
        <f>SUBTOTAL(9,I126:I179)</f>
        <v>14660.369999999997</v>
      </c>
      <c r="J180" s="195">
        <f>SUBTOTAL(9,J126:J179)</f>
        <v>15160.369999999997</v>
      </c>
    </row>
    <row r="181" spans="1:10" outlineLevel="2">
      <c r="A181" s="191" t="s">
        <v>171</v>
      </c>
      <c r="B181" s="191" t="s">
        <v>141</v>
      </c>
      <c r="C181" s="191" t="s">
        <v>169</v>
      </c>
      <c r="D181" s="191" t="s">
        <v>1607</v>
      </c>
      <c r="E181" s="191" t="s">
        <v>2651</v>
      </c>
      <c r="F181" s="191" t="s">
        <v>2652</v>
      </c>
      <c r="G181" s="191">
        <v>21</v>
      </c>
      <c r="H181" s="192">
        <v>0</v>
      </c>
      <c r="I181" s="192">
        <v>152.16</v>
      </c>
      <c r="J181" s="192">
        <f>SUM(H181:I181)</f>
        <v>152.16</v>
      </c>
    </row>
    <row r="182" spans="1:10" outlineLevel="2">
      <c r="A182" s="191" t="s">
        <v>171</v>
      </c>
      <c r="B182" s="191" t="s">
        <v>147</v>
      </c>
      <c r="C182" s="191" t="s">
        <v>169</v>
      </c>
      <c r="D182" s="191" t="s">
        <v>170</v>
      </c>
      <c r="E182" s="191" t="s">
        <v>1480</v>
      </c>
      <c r="F182" s="191" t="s">
        <v>1480</v>
      </c>
      <c r="G182" s="191">
        <v>7</v>
      </c>
      <c r="H182" s="192">
        <v>0</v>
      </c>
      <c r="I182" s="192">
        <v>54.53</v>
      </c>
      <c r="J182" s="192">
        <f>SUM(H182:I182)</f>
        <v>54.53</v>
      </c>
    </row>
    <row r="183" spans="1:10" outlineLevel="2">
      <c r="A183" s="191" t="s">
        <v>171</v>
      </c>
      <c r="B183" s="191" t="s">
        <v>147</v>
      </c>
      <c r="C183" s="191" t="s">
        <v>169</v>
      </c>
      <c r="D183" s="191" t="s">
        <v>193</v>
      </c>
      <c r="E183" s="191" t="s">
        <v>2646</v>
      </c>
      <c r="F183" s="191" t="s">
        <v>2646</v>
      </c>
      <c r="G183" s="191" t="s">
        <v>2760</v>
      </c>
      <c r="H183" s="192">
        <v>0</v>
      </c>
      <c r="I183" s="192">
        <v>0</v>
      </c>
      <c r="J183" s="192">
        <f>SUM(H183:I183)</f>
        <v>0</v>
      </c>
    </row>
    <row r="184" spans="1:10" outlineLevel="2">
      <c r="A184" s="191" t="s">
        <v>172</v>
      </c>
      <c r="B184" s="191" t="s">
        <v>173</v>
      </c>
      <c r="C184" s="191" t="s">
        <v>169</v>
      </c>
      <c r="D184" s="191" t="s">
        <v>1608</v>
      </c>
      <c r="E184" s="191" t="s">
        <v>2585</v>
      </c>
      <c r="F184" s="191" t="s">
        <v>2585</v>
      </c>
      <c r="G184" s="191">
        <v>7</v>
      </c>
      <c r="H184" s="192">
        <v>0</v>
      </c>
      <c r="I184" s="192">
        <v>136.59</v>
      </c>
      <c r="J184" s="192">
        <f>SUM(H184:I184)</f>
        <v>136.59</v>
      </c>
    </row>
    <row r="185" spans="1:10" outlineLevel="2">
      <c r="A185" s="191" t="s">
        <v>2803</v>
      </c>
      <c r="B185" s="191" t="s">
        <v>141</v>
      </c>
      <c r="C185" s="191" t="s">
        <v>169</v>
      </c>
      <c r="D185" s="191" t="s">
        <v>193</v>
      </c>
      <c r="E185" s="191" t="s">
        <v>2653</v>
      </c>
      <c r="F185" s="191" t="s">
        <v>2646</v>
      </c>
      <c r="G185" s="191">
        <v>21</v>
      </c>
      <c r="H185" s="192">
        <v>0</v>
      </c>
      <c r="I185" s="192">
        <v>152.91</v>
      </c>
      <c r="J185" s="192">
        <f>SUM(H185:I185)</f>
        <v>152.91</v>
      </c>
    </row>
    <row r="186" spans="1:10" outlineLevel="2">
      <c r="A186" s="191" t="s">
        <v>174</v>
      </c>
      <c r="B186" s="191" t="s">
        <v>173</v>
      </c>
      <c r="C186" s="191" t="s">
        <v>169</v>
      </c>
      <c r="D186" s="191" t="s">
        <v>1609</v>
      </c>
      <c r="E186" s="191" t="s">
        <v>2648</v>
      </c>
      <c r="F186" s="191" t="s">
        <v>2648</v>
      </c>
      <c r="G186" s="191">
        <v>7</v>
      </c>
      <c r="H186" s="192">
        <v>0</v>
      </c>
      <c r="I186" s="192">
        <v>200.32</v>
      </c>
      <c r="J186" s="192">
        <f>SUM(H186:I186)</f>
        <v>200.32</v>
      </c>
    </row>
    <row r="187" spans="1:10" outlineLevel="2">
      <c r="A187" s="191" t="s">
        <v>174</v>
      </c>
      <c r="B187" s="191" t="s">
        <v>173</v>
      </c>
      <c r="C187" s="191" t="s">
        <v>169</v>
      </c>
      <c r="D187" s="191" t="s">
        <v>1610</v>
      </c>
      <c r="E187" s="191" t="s">
        <v>2599</v>
      </c>
      <c r="F187" s="191" t="s">
        <v>2600</v>
      </c>
      <c r="G187" s="191">
        <v>14</v>
      </c>
      <c r="H187" s="192">
        <v>0</v>
      </c>
      <c r="I187" s="192">
        <v>400.64</v>
      </c>
      <c r="J187" s="192">
        <f>SUM(H187:I187)</f>
        <v>400.64</v>
      </c>
    </row>
    <row r="188" spans="1:10" outlineLevel="2">
      <c r="A188" s="191" t="s">
        <v>2804</v>
      </c>
      <c r="B188" s="191" t="s">
        <v>173</v>
      </c>
      <c r="C188" s="191" t="s">
        <v>169</v>
      </c>
      <c r="D188" s="191" t="s">
        <v>1611</v>
      </c>
      <c r="E188" s="191" t="s">
        <v>2612</v>
      </c>
      <c r="F188" s="191" t="s">
        <v>2612</v>
      </c>
      <c r="G188" s="191">
        <v>7</v>
      </c>
      <c r="H188" s="192">
        <v>0</v>
      </c>
      <c r="I188" s="192">
        <v>145.66999999999999</v>
      </c>
      <c r="J188" s="192">
        <f>SUM(H188:I188)</f>
        <v>145.66999999999999</v>
      </c>
    </row>
    <row r="189" spans="1:10" outlineLevel="2">
      <c r="A189" s="191" t="s">
        <v>2804</v>
      </c>
      <c r="B189" s="191" t="s">
        <v>173</v>
      </c>
      <c r="C189" s="191" t="s">
        <v>169</v>
      </c>
      <c r="D189" s="191" t="s">
        <v>1612</v>
      </c>
      <c r="E189" s="191" t="s">
        <v>2599</v>
      </c>
      <c r="F189" s="191" t="s">
        <v>2600</v>
      </c>
      <c r="G189" s="191">
        <v>14</v>
      </c>
      <c r="H189" s="192">
        <v>0</v>
      </c>
      <c r="I189" s="192">
        <v>299.64</v>
      </c>
      <c r="J189" s="192">
        <f>SUM(H189:I189)</f>
        <v>299.64</v>
      </c>
    </row>
    <row r="190" spans="1:10" outlineLevel="2">
      <c r="A190" s="191" t="s">
        <v>2804</v>
      </c>
      <c r="B190" s="191" t="s">
        <v>173</v>
      </c>
      <c r="C190" s="191" t="s">
        <v>169</v>
      </c>
      <c r="D190" s="191" t="s">
        <v>1611</v>
      </c>
      <c r="E190" s="191" t="s">
        <v>2654</v>
      </c>
      <c r="F190" s="191" t="s">
        <v>2637</v>
      </c>
      <c r="G190" s="191">
        <v>14</v>
      </c>
      <c r="H190" s="192">
        <v>0</v>
      </c>
      <c r="I190" s="192">
        <v>291.33999999999997</v>
      </c>
      <c r="J190" s="192">
        <f>SUM(H190:I190)</f>
        <v>291.33999999999997</v>
      </c>
    </row>
    <row r="191" spans="1:10" outlineLevel="2">
      <c r="A191" s="191" t="s">
        <v>175</v>
      </c>
      <c r="B191" s="191" t="s">
        <v>173</v>
      </c>
      <c r="C191" s="191" t="s">
        <v>169</v>
      </c>
      <c r="D191" s="191" t="s">
        <v>202</v>
      </c>
      <c r="E191" s="191" t="s">
        <v>1484</v>
      </c>
      <c r="F191" s="191" t="s">
        <v>2618</v>
      </c>
      <c r="G191" s="191">
        <v>14</v>
      </c>
      <c r="H191" s="192">
        <v>0</v>
      </c>
      <c r="I191" s="192">
        <v>276.58</v>
      </c>
      <c r="J191" s="192">
        <f>SUM(H191:I191)</f>
        <v>276.58</v>
      </c>
    </row>
    <row r="192" spans="1:10" outlineLevel="2">
      <c r="A192" s="191" t="s">
        <v>175</v>
      </c>
      <c r="B192" s="191" t="s">
        <v>173</v>
      </c>
      <c r="C192" s="191" t="s">
        <v>169</v>
      </c>
      <c r="D192" s="191" t="s">
        <v>193</v>
      </c>
      <c r="E192" s="191" t="s">
        <v>2650</v>
      </c>
      <c r="F192" s="191" t="s">
        <v>2646</v>
      </c>
      <c r="G192" s="191">
        <v>14</v>
      </c>
      <c r="H192" s="192">
        <v>0</v>
      </c>
      <c r="I192" s="192">
        <v>277.94</v>
      </c>
      <c r="J192" s="192">
        <f>SUM(H192:I192)</f>
        <v>277.94</v>
      </c>
    </row>
    <row r="193" spans="1:10" outlineLevel="2">
      <c r="A193" s="191" t="s">
        <v>176</v>
      </c>
      <c r="B193" s="191" t="s">
        <v>173</v>
      </c>
      <c r="C193" s="191" t="s">
        <v>169</v>
      </c>
      <c r="D193" s="191" t="s">
        <v>1613</v>
      </c>
      <c r="E193" s="191" t="s">
        <v>2655</v>
      </c>
      <c r="F193" s="191" t="s">
        <v>2655</v>
      </c>
      <c r="G193" s="191">
        <v>7</v>
      </c>
      <c r="H193" s="192">
        <v>0</v>
      </c>
      <c r="I193" s="192">
        <v>174.59</v>
      </c>
      <c r="J193" s="192">
        <f>SUM(H193:I193)</f>
        <v>174.59</v>
      </c>
    </row>
    <row r="194" spans="1:10" outlineLevel="2">
      <c r="A194" s="191" t="s">
        <v>176</v>
      </c>
      <c r="B194" s="191" t="s">
        <v>173</v>
      </c>
      <c r="C194" s="191" t="s">
        <v>169</v>
      </c>
      <c r="D194" s="191" t="s">
        <v>1613</v>
      </c>
      <c r="E194" s="191" t="s">
        <v>2656</v>
      </c>
      <c r="F194" s="191" t="s">
        <v>2656</v>
      </c>
      <c r="G194" s="191">
        <v>7</v>
      </c>
      <c r="H194" s="192">
        <v>0</v>
      </c>
      <c r="I194" s="192">
        <v>159.51</v>
      </c>
      <c r="J194" s="192">
        <f>SUM(H194:I194)</f>
        <v>159.51</v>
      </c>
    </row>
    <row r="195" spans="1:10" outlineLevel="2">
      <c r="A195" s="191" t="s">
        <v>177</v>
      </c>
      <c r="B195" s="191" t="s">
        <v>178</v>
      </c>
      <c r="C195" s="191" t="s">
        <v>169</v>
      </c>
      <c r="D195" s="191" t="s">
        <v>1614</v>
      </c>
      <c r="E195" s="191" t="s">
        <v>2637</v>
      </c>
      <c r="F195" s="191" t="s">
        <v>2639</v>
      </c>
      <c r="G195" s="191">
        <v>21</v>
      </c>
      <c r="H195" s="192">
        <v>0</v>
      </c>
      <c r="I195" s="192">
        <v>238.32</v>
      </c>
      <c r="J195" s="192">
        <f>SUM(H195:I195)</f>
        <v>238.32</v>
      </c>
    </row>
    <row r="196" spans="1:10" outlineLevel="2">
      <c r="A196" s="191" t="s">
        <v>2805</v>
      </c>
      <c r="B196" s="191" t="s">
        <v>173</v>
      </c>
      <c r="C196" s="191" t="s">
        <v>169</v>
      </c>
      <c r="D196" s="191" t="s">
        <v>193</v>
      </c>
      <c r="E196" s="191" t="s">
        <v>2650</v>
      </c>
      <c r="F196" s="191" t="s">
        <v>2646</v>
      </c>
      <c r="G196" s="191">
        <v>14</v>
      </c>
      <c r="H196" s="192">
        <v>0</v>
      </c>
      <c r="I196" s="192">
        <v>267.66000000000003</v>
      </c>
      <c r="J196" s="192">
        <f>SUM(H196:I196)</f>
        <v>267.66000000000003</v>
      </c>
    </row>
    <row r="197" spans="1:10" outlineLevel="2">
      <c r="A197" s="191" t="s">
        <v>2806</v>
      </c>
      <c r="B197" s="191" t="s">
        <v>112</v>
      </c>
      <c r="C197" s="191" t="s">
        <v>169</v>
      </c>
      <c r="D197" s="191" t="s">
        <v>1615</v>
      </c>
      <c r="E197" s="191" t="s">
        <v>2620</v>
      </c>
      <c r="F197" s="191" t="s">
        <v>1489</v>
      </c>
      <c r="G197" s="191">
        <v>28</v>
      </c>
      <c r="H197" s="192">
        <v>0</v>
      </c>
      <c r="I197" s="192">
        <v>235.88</v>
      </c>
      <c r="J197" s="192">
        <f>SUM(H197:I197)</f>
        <v>235.88</v>
      </c>
    </row>
    <row r="198" spans="1:10" outlineLevel="2">
      <c r="A198" s="191" t="s">
        <v>2807</v>
      </c>
      <c r="B198" s="191" t="s">
        <v>141</v>
      </c>
      <c r="C198" s="191" t="s">
        <v>169</v>
      </c>
      <c r="D198" s="191" t="s">
        <v>193</v>
      </c>
      <c r="E198" s="191" t="s">
        <v>2653</v>
      </c>
      <c r="F198" s="191" t="s">
        <v>2646</v>
      </c>
      <c r="G198" s="191">
        <v>21</v>
      </c>
      <c r="H198" s="192">
        <v>0</v>
      </c>
      <c r="I198" s="192">
        <v>152.91</v>
      </c>
      <c r="J198" s="192">
        <f>SUM(H198:I198)</f>
        <v>152.91</v>
      </c>
    </row>
    <row r="199" spans="1:10" outlineLevel="2">
      <c r="A199" s="191" t="s">
        <v>2808</v>
      </c>
      <c r="B199" s="191" t="s">
        <v>173</v>
      </c>
      <c r="C199" s="191" t="s">
        <v>169</v>
      </c>
      <c r="D199" s="191" t="s">
        <v>1616</v>
      </c>
      <c r="E199" s="191" t="s">
        <v>2657</v>
      </c>
      <c r="F199" s="191" t="s">
        <v>1487</v>
      </c>
      <c r="G199" s="191">
        <v>28</v>
      </c>
      <c r="H199" s="192">
        <v>0</v>
      </c>
      <c r="I199" s="192">
        <v>602.52</v>
      </c>
      <c r="J199" s="192">
        <f>SUM(H199:I199)</f>
        <v>602.52</v>
      </c>
    </row>
    <row r="200" spans="1:10" outlineLevel="2">
      <c r="A200" s="191" t="s">
        <v>179</v>
      </c>
      <c r="B200" s="191" t="s">
        <v>112</v>
      </c>
      <c r="C200" s="191" t="s">
        <v>169</v>
      </c>
      <c r="D200" s="191" t="s">
        <v>1617</v>
      </c>
      <c r="E200" s="191" t="s">
        <v>2658</v>
      </c>
      <c r="F200" s="191" t="s">
        <v>1482</v>
      </c>
      <c r="G200" s="191">
        <v>14</v>
      </c>
      <c r="H200" s="192">
        <v>100</v>
      </c>
      <c r="I200" s="192">
        <v>117.38</v>
      </c>
      <c r="J200" s="192">
        <f>SUM(H200:I200)</f>
        <v>217.38</v>
      </c>
    </row>
    <row r="201" spans="1:10" outlineLevel="2">
      <c r="A201" s="191" t="s">
        <v>179</v>
      </c>
      <c r="B201" s="191" t="s">
        <v>116</v>
      </c>
      <c r="C201" s="191" t="s">
        <v>169</v>
      </c>
      <c r="D201" s="191" t="s">
        <v>193</v>
      </c>
      <c r="E201" s="191" t="s">
        <v>2650</v>
      </c>
      <c r="F201" s="191" t="s">
        <v>2646</v>
      </c>
      <c r="G201" s="191">
        <v>14</v>
      </c>
      <c r="H201" s="192">
        <v>0</v>
      </c>
      <c r="I201" s="192">
        <v>126.84</v>
      </c>
      <c r="J201" s="192">
        <f>SUM(H201:I201)</f>
        <v>126.84</v>
      </c>
    </row>
    <row r="202" spans="1:10" outlineLevel="2">
      <c r="A202" s="191" t="s">
        <v>180</v>
      </c>
      <c r="B202" s="191" t="s">
        <v>173</v>
      </c>
      <c r="C202" s="191" t="s">
        <v>169</v>
      </c>
      <c r="D202" s="191" t="s">
        <v>1618</v>
      </c>
      <c r="E202" s="191" t="s">
        <v>2594</v>
      </c>
      <c r="F202" s="191" t="s">
        <v>2594</v>
      </c>
      <c r="G202" s="191">
        <v>7</v>
      </c>
      <c r="H202" s="192">
        <v>0</v>
      </c>
      <c r="I202" s="192">
        <v>171.94</v>
      </c>
      <c r="J202" s="192">
        <f>SUM(H202:I202)</f>
        <v>171.94</v>
      </c>
    </row>
    <row r="203" spans="1:10" outlineLevel="2">
      <c r="A203" s="191" t="s">
        <v>180</v>
      </c>
      <c r="B203" s="191" t="s">
        <v>173</v>
      </c>
      <c r="C203" s="191" t="s">
        <v>169</v>
      </c>
      <c r="D203" s="191" t="s">
        <v>1619</v>
      </c>
      <c r="E203" s="191" t="s">
        <v>2659</v>
      </c>
      <c r="F203" s="191" t="s">
        <v>2628</v>
      </c>
      <c r="G203" s="191">
        <v>14</v>
      </c>
      <c r="H203" s="192">
        <v>0</v>
      </c>
      <c r="I203" s="192">
        <v>343.88</v>
      </c>
      <c r="J203" s="192">
        <f>SUM(H203:I203)</f>
        <v>343.88</v>
      </c>
    </row>
    <row r="204" spans="1:10" outlineLevel="2">
      <c r="A204" s="191" t="s">
        <v>181</v>
      </c>
      <c r="B204" s="191" t="s">
        <v>173</v>
      </c>
      <c r="C204" s="191" t="s">
        <v>169</v>
      </c>
      <c r="D204" s="191" t="s">
        <v>1620</v>
      </c>
      <c r="E204" s="191" t="s">
        <v>2660</v>
      </c>
      <c r="F204" s="191" t="s">
        <v>2660</v>
      </c>
      <c r="G204" s="191">
        <v>7</v>
      </c>
      <c r="H204" s="192">
        <v>0</v>
      </c>
      <c r="I204" s="192">
        <v>162.13999999999999</v>
      </c>
      <c r="J204" s="192">
        <f>SUM(H204:I204)</f>
        <v>162.13999999999999</v>
      </c>
    </row>
    <row r="205" spans="1:10" outlineLevel="2">
      <c r="A205" s="191" t="s">
        <v>181</v>
      </c>
      <c r="B205" s="191" t="s">
        <v>173</v>
      </c>
      <c r="C205" s="191" t="s">
        <v>169</v>
      </c>
      <c r="D205" s="191" t="s">
        <v>1621</v>
      </c>
      <c r="E205" s="191" t="s">
        <v>2588</v>
      </c>
      <c r="F205" s="191" t="s">
        <v>2588</v>
      </c>
      <c r="G205" s="191">
        <v>7</v>
      </c>
      <c r="H205" s="192">
        <v>0</v>
      </c>
      <c r="I205" s="192">
        <v>162.13999999999999</v>
      </c>
      <c r="J205" s="192">
        <f>SUM(H205:I205)</f>
        <v>162.13999999999999</v>
      </c>
    </row>
    <row r="206" spans="1:10" outlineLevel="2">
      <c r="A206" s="191" t="s">
        <v>181</v>
      </c>
      <c r="B206" s="191" t="s">
        <v>173</v>
      </c>
      <c r="C206" s="191" t="s">
        <v>169</v>
      </c>
      <c r="D206" s="191" t="s">
        <v>1622</v>
      </c>
      <c r="E206" s="191" t="s">
        <v>2661</v>
      </c>
      <c r="F206" s="191" t="s">
        <v>2661</v>
      </c>
      <c r="G206" s="191">
        <v>7</v>
      </c>
      <c r="H206" s="192">
        <v>0</v>
      </c>
      <c r="I206" s="192">
        <v>162.13999999999999</v>
      </c>
      <c r="J206" s="192">
        <f>SUM(H206:I206)</f>
        <v>162.13999999999999</v>
      </c>
    </row>
    <row r="207" spans="1:10" outlineLevel="2">
      <c r="A207" s="191" t="s">
        <v>181</v>
      </c>
      <c r="B207" s="191" t="s">
        <v>173</v>
      </c>
      <c r="C207" s="191" t="s">
        <v>169</v>
      </c>
      <c r="D207" s="191" t="s">
        <v>1623</v>
      </c>
      <c r="E207" s="191" t="s">
        <v>2600</v>
      </c>
      <c r="F207" s="191" t="s">
        <v>2600</v>
      </c>
      <c r="G207" s="191">
        <v>7</v>
      </c>
      <c r="H207" s="192">
        <v>0</v>
      </c>
      <c r="I207" s="192">
        <v>162.13999999999999</v>
      </c>
      <c r="J207" s="192">
        <f>SUM(H207:I207)</f>
        <v>162.13999999999999</v>
      </c>
    </row>
    <row r="208" spans="1:10" outlineLevel="2">
      <c r="A208" s="191" t="s">
        <v>181</v>
      </c>
      <c r="B208" s="191" t="s">
        <v>173</v>
      </c>
      <c r="C208" s="191" t="s">
        <v>169</v>
      </c>
      <c r="D208" s="191" t="s">
        <v>1624</v>
      </c>
      <c r="E208" s="191" t="s">
        <v>2655</v>
      </c>
      <c r="F208" s="191" t="s">
        <v>2655</v>
      </c>
      <c r="G208" s="191">
        <v>7</v>
      </c>
      <c r="H208" s="192">
        <v>0</v>
      </c>
      <c r="I208" s="192">
        <v>179.75</v>
      </c>
      <c r="J208" s="192">
        <f>SUM(H208:I208)</f>
        <v>179.75</v>
      </c>
    </row>
    <row r="209" spans="1:10" outlineLevel="2">
      <c r="A209" s="191" t="s">
        <v>182</v>
      </c>
      <c r="B209" s="191" t="s">
        <v>183</v>
      </c>
      <c r="C209" s="191" t="s">
        <v>169</v>
      </c>
      <c r="D209" s="191" t="s">
        <v>193</v>
      </c>
      <c r="E209" s="191" t="s">
        <v>2653</v>
      </c>
      <c r="F209" s="191" t="s">
        <v>2646</v>
      </c>
      <c r="G209" s="191">
        <v>21</v>
      </c>
      <c r="H209" s="192">
        <v>0</v>
      </c>
      <c r="I209" s="192">
        <v>567.57000000000005</v>
      </c>
      <c r="J209" s="192">
        <f>SUM(H209:I209)</f>
        <v>567.57000000000005</v>
      </c>
    </row>
    <row r="210" spans="1:10" outlineLevel="2">
      <c r="A210" s="191" t="s">
        <v>184</v>
      </c>
      <c r="B210" s="191" t="s">
        <v>173</v>
      </c>
      <c r="C210" s="191" t="s">
        <v>169</v>
      </c>
      <c r="D210" s="191" t="s">
        <v>1625</v>
      </c>
      <c r="E210" s="191" t="s">
        <v>2662</v>
      </c>
      <c r="F210" s="191" t="s">
        <v>2663</v>
      </c>
      <c r="G210" s="191">
        <v>14</v>
      </c>
      <c r="H210" s="192">
        <v>0</v>
      </c>
      <c r="I210" s="192">
        <v>347.98</v>
      </c>
      <c r="J210" s="192">
        <f>SUM(H210:I210)</f>
        <v>347.98</v>
      </c>
    </row>
    <row r="211" spans="1:10" outlineLevel="2">
      <c r="A211" s="191" t="s">
        <v>185</v>
      </c>
      <c r="B211" s="191" t="s">
        <v>173</v>
      </c>
      <c r="C211" s="191" t="s">
        <v>169</v>
      </c>
      <c r="D211" s="191" t="s">
        <v>1626</v>
      </c>
      <c r="E211" s="191" t="s">
        <v>2648</v>
      </c>
      <c r="F211" s="191" t="s">
        <v>2648</v>
      </c>
      <c r="G211" s="191">
        <v>7</v>
      </c>
      <c r="H211" s="192">
        <v>0</v>
      </c>
      <c r="I211" s="192">
        <v>133.18</v>
      </c>
      <c r="J211" s="192">
        <f>SUM(H211:I211)</f>
        <v>133.18</v>
      </c>
    </row>
    <row r="212" spans="1:10" outlineLevel="2">
      <c r="A212" s="191" t="s">
        <v>185</v>
      </c>
      <c r="B212" s="191" t="s">
        <v>173</v>
      </c>
      <c r="C212" s="191" t="s">
        <v>169</v>
      </c>
      <c r="D212" s="191" t="s">
        <v>1627</v>
      </c>
      <c r="E212" s="191" t="s">
        <v>1490</v>
      </c>
      <c r="F212" s="191" t="s">
        <v>1490</v>
      </c>
      <c r="G212" s="191">
        <v>7</v>
      </c>
      <c r="H212" s="192">
        <v>0</v>
      </c>
      <c r="I212" s="192">
        <v>133.83000000000001</v>
      </c>
      <c r="J212" s="192">
        <f>SUM(H212:I212)</f>
        <v>133.83000000000001</v>
      </c>
    </row>
    <row r="213" spans="1:10" outlineLevel="2">
      <c r="A213" s="191" t="s">
        <v>185</v>
      </c>
      <c r="B213" s="191" t="s">
        <v>173</v>
      </c>
      <c r="C213" s="191" t="s">
        <v>169</v>
      </c>
      <c r="D213" s="191" t="s">
        <v>1628</v>
      </c>
      <c r="E213" s="191" t="s">
        <v>2599</v>
      </c>
      <c r="F213" s="191" t="s">
        <v>2600</v>
      </c>
      <c r="G213" s="191">
        <v>14</v>
      </c>
      <c r="H213" s="192">
        <v>0</v>
      </c>
      <c r="I213" s="192">
        <v>266.36</v>
      </c>
      <c r="J213" s="192">
        <f>SUM(H213:I213)</f>
        <v>266.36</v>
      </c>
    </row>
    <row r="214" spans="1:10" outlineLevel="2">
      <c r="A214" s="191" t="s">
        <v>186</v>
      </c>
      <c r="B214" s="191" t="s">
        <v>173</v>
      </c>
      <c r="C214" s="191" t="s">
        <v>169</v>
      </c>
      <c r="D214" s="191" t="s">
        <v>1629</v>
      </c>
      <c r="E214" s="191" t="s">
        <v>2664</v>
      </c>
      <c r="F214" s="191" t="s">
        <v>2664</v>
      </c>
      <c r="G214" s="191">
        <v>7</v>
      </c>
      <c r="H214" s="192">
        <v>0</v>
      </c>
      <c r="I214" s="192">
        <v>160.44</v>
      </c>
      <c r="J214" s="192">
        <f>SUM(H214:I214)</f>
        <v>160.44</v>
      </c>
    </row>
    <row r="215" spans="1:10" outlineLevel="2">
      <c r="A215" s="191" t="s">
        <v>186</v>
      </c>
      <c r="B215" s="191" t="s">
        <v>173</v>
      </c>
      <c r="C215" s="191" t="s">
        <v>169</v>
      </c>
      <c r="D215" s="191" t="s">
        <v>193</v>
      </c>
      <c r="E215" s="191" t="s">
        <v>2646</v>
      </c>
      <c r="F215" s="191" t="s">
        <v>2646</v>
      </c>
      <c r="G215" s="191">
        <v>7</v>
      </c>
      <c r="H215" s="192">
        <v>468</v>
      </c>
      <c r="I215" s="192">
        <v>161.22999999999999</v>
      </c>
      <c r="J215" s="192">
        <f>SUM(H215:I215)</f>
        <v>629.23</v>
      </c>
    </row>
    <row r="216" spans="1:10" outlineLevel="2">
      <c r="A216" s="191" t="s">
        <v>187</v>
      </c>
      <c r="B216" s="191" t="s">
        <v>147</v>
      </c>
      <c r="C216" s="191" t="s">
        <v>169</v>
      </c>
      <c r="D216" s="191" t="s">
        <v>1618</v>
      </c>
      <c r="E216" s="191" t="s">
        <v>2588</v>
      </c>
      <c r="F216" s="191" t="s">
        <v>2588</v>
      </c>
      <c r="G216" s="191">
        <v>7</v>
      </c>
      <c r="H216" s="192">
        <v>0</v>
      </c>
      <c r="I216" s="192">
        <v>54.26</v>
      </c>
      <c r="J216" s="192">
        <f>SUM(H216:I216)</f>
        <v>54.26</v>
      </c>
    </row>
    <row r="217" spans="1:10" outlineLevel="2">
      <c r="A217" s="191" t="s">
        <v>187</v>
      </c>
      <c r="B217" s="191" t="s">
        <v>147</v>
      </c>
      <c r="C217" s="191" t="s">
        <v>169</v>
      </c>
      <c r="D217" s="191" t="s">
        <v>1623</v>
      </c>
      <c r="E217" s="191" t="s">
        <v>2600</v>
      </c>
      <c r="F217" s="191" t="s">
        <v>2600</v>
      </c>
      <c r="G217" s="191">
        <v>7</v>
      </c>
      <c r="H217" s="192">
        <v>0</v>
      </c>
      <c r="I217" s="192">
        <v>54.26</v>
      </c>
      <c r="J217" s="192">
        <f>SUM(H217:I217)</f>
        <v>54.26</v>
      </c>
    </row>
    <row r="218" spans="1:10" outlineLevel="2">
      <c r="A218" s="191" t="s">
        <v>187</v>
      </c>
      <c r="B218" s="191" t="s">
        <v>147</v>
      </c>
      <c r="C218" s="191" t="s">
        <v>169</v>
      </c>
      <c r="D218" s="191" t="s">
        <v>1630</v>
      </c>
      <c r="E218" s="191" t="s">
        <v>2658</v>
      </c>
      <c r="F218" s="191" t="s">
        <v>1482</v>
      </c>
      <c r="G218" s="191">
        <v>14</v>
      </c>
      <c r="H218" s="192">
        <v>100</v>
      </c>
      <c r="I218" s="192">
        <v>108.52</v>
      </c>
      <c r="J218" s="192">
        <f>SUM(H218:I218)</f>
        <v>208.51999999999998</v>
      </c>
    </row>
    <row r="219" spans="1:10" outlineLevel="2">
      <c r="A219" s="191" t="s">
        <v>187</v>
      </c>
      <c r="B219" s="191" t="s">
        <v>112</v>
      </c>
      <c r="C219" s="191" t="s">
        <v>169</v>
      </c>
      <c r="D219" s="191" t="s">
        <v>193</v>
      </c>
      <c r="E219" s="191" t="s">
        <v>2650</v>
      </c>
      <c r="F219" s="191" t="s">
        <v>2646</v>
      </c>
      <c r="G219" s="191">
        <v>14</v>
      </c>
      <c r="H219" s="192">
        <v>0</v>
      </c>
      <c r="I219" s="192">
        <v>117.94</v>
      </c>
      <c r="J219" s="192">
        <f>SUM(H219:I219)</f>
        <v>117.94</v>
      </c>
    </row>
    <row r="220" spans="1:10" outlineLevel="2">
      <c r="A220" s="191" t="s">
        <v>187</v>
      </c>
      <c r="B220" s="191" t="s">
        <v>112</v>
      </c>
      <c r="C220" s="191" t="s">
        <v>169</v>
      </c>
      <c r="D220" s="191" t="s">
        <v>1631</v>
      </c>
      <c r="E220" s="191" t="s">
        <v>2620</v>
      </c>
      <c r="F220" s="191" t="s">
        <v>2665</v>
      </c>
      <c r="G220" s="191">
        <v>14</v>
      </c>
      <c r="H220" s="192">
        <v>0</v>
      </c>
      <c r="I220" s="192">
        <v>117.94</v>
      </c>
      <c r="J220" s="192">
        <f>SUM(H220:I220)</f>
        <v>117.94</v>
      </c>
    </row>
    <row r="221" spans="1:10" outlineLevel="2">
      <c r="A221" s="191" t="s">
        <v>188</v>
      </c>
      <c r="B221" s="191" t="s">
        <v>173</v>
      </c>
      <c r="C221" s="191" t="s">
        <v>169</v>
      </c>
      <c r="D221" s="191" t="s">
        <v>1612</v>
      </c>
      <c r="E221" s="191" t="s">
        <v>2600</v>
      </c>
      <c r="F221" s="191" t="s">
        <v>2600</v>
      </c>
      <c r="G221" s="191">
        <v>7</v>
      </c>
      <c r="H221" s="192">
        <v>0</v>
      </c>
      <c r="I221" s="192">
        <v>134.88</v>
      </c>
      <c r="J221" s="192">
        <f>SUM(H221:I221)</f>
        <v>134.88</v>
      </c>
    </row>
    <row r="222" spans="1:10" outlineLevel="2">
      <c r="A222" s="191" t="s">
        <v>188</v>
      </c>
      <c r="B222" s="191" t="s">
        <v>173</v>
      </c>
      <c r="C222" s="191" t="s">
        <v>169</v>
      </c>
      <c r="D222" s="191" t="s">
        <v>1632</v>
      </c>
      <c r="E222" s="191" t="s">
        <v>1478</v>
      </c>
      <c r="F222" s="191" t="s">
        <v>2666</v>
      </c>
      <c r="G222" s="191">
        <v>14</v>
      </c>
      <c r="H222" s="192">
        <v>0</v>
      </c>
      <c r="I222" s="192">
        <v>269.76</v>
      </c>
      <c r="J222" s="192">
        <f>SUM(H222:I222)</f>
        <v>269.76</v>
      </c>
    </row>
    <row r="223" spans="1:10" outlineLevel="2">
      <c r="A223" s="191" t="s">
        <v>188</v>
      </c>
      <c r="B223" s="191" t="s">
        <v>173</v>
      </c>
      <c r="C223" s="191" t="s">
        <v>169</v>
      </c>
      <c r="D223" s="191" t="s">
        <v>193</v>
      </c>
      <c r="E223" s="191" t="s">
        <v>2650</v>
      </c>
      <c r="F223" s="191" t="s">
        <v>2646</v>
      </c>
      <c r="G223" s="191">
        <v>14</v>
      </c>
      <c r="H223" s="192">
        <v>0</v>
      </c>
      <c r="I223" s="192">
        <v>271.08</v>
      </c>
      <c r="J223" s="192">
        <f>SUM(H223:I223)</f>
        <v>271.08</v>
      </c>
    </row>
    <row r="224" spans="1:10" outlineLevel="2">
      <c r="A224" s="191" t="s">
        <v>190</v>
      </c>
      <c r="B224" s="191" t="s">
        <v>173</v>
      </c>
      <c r="C224" s="191" t="s">
        <v>169</v>
      </c>
      <c r="D224" s="191" t="s">
        <v>1615</v>
      </c>
      <c r="E224" s="191" t="s">
        <v>1490</v>
      </c>
      <c r="F224" s="191" t="s">
        <v>1490</v>
      </c>
      <c r="G224" s="191">
        <v>7</v>
      </c>
      <c r="H224" s="192">
        <v>0</v>
      </c>
      <c r="I224" s="192">
        <v>161.22999999999999</v>
      </c>
      <c r="J224" s="192">
        <f>SUM(H224:I224)</f>
        <v>161.22999999999999</v>
      </c>
    </row>
    <row r="225" spans="1:10" outlineLevel="2">
      <c r="A225" s="191" t="s">
        <v>190</v>
      </c>
      <c r="B225" s="191" t="s">
        <v>173</v>
      </c>
      <c r="C225" s="191" t="s">
        <v>169</v>
      </c>
      <c r="D225" s="191" t="s">
        <v>1633</v>
      </c>
      <c r="E225" s="191" t="s">
        <v>2594</v>
      </c>
      <c r="F225" s="191" t="s">
        <v>2588</v>
      </c>
      <c r="G225" s="191">
        <v>14</v>
      </c>
      <c r="H225" s="192">
        <v>0</v>
      </c>
      <c r="I225" s="192">
        <v>317.48</v>
      </c>
      <c r="J225" s="192">
        <f>SUM(H225:I225)</f>
        <v>317.48</v>
      </c>
    </row>
    <row r="226" spans="1:10" outlineLevel="2">
      <c r="A226" s="191" t="s">
        <v>191</v>
      </c>
      <c r="B226" s="191" t="s">
        <v>173</v>
      </c>
      <c r="C226" s="191" t="s">
        <v>169</v>
      </c>
      <c r="D226" s="191" t="s">
        <v>1613</v>
      </c>
      <c r="E226" s="191" t="s">
        <v>2656</v>
      </c>
      <c r="F226" s="191" t="s">
        <v>2656</v>
      </c>
      <c r="G226" s="191">
        <v>7</v>
      </c>
      <c r="H226" s="192">
        <v>0</v>
      </c>
      <c r="I226" s="192">
        <v>151.38</v>
      </c>
      <c r="J226" s="192">
        <f>SUM(H226:I226)</f>
        <v>151.38</v>
      </c>
    </row>
    <row r="227" spans="1:10" outlineLevel="2">
      <c r="A227" s="191" t="s">
        <v>191</v>
      </c>
      <c r="B227" s="191" t="s">
        <v>173</v>
      </c>
      <c r="C227" s="191" t="s">
        <v>169</v>
      </c>
      <c r="D227" s="191" t="s">
        <v>1634</v>
      </c>
      <c r="E227" s="191" t="s">
        <v>2658</v>
      </c>
      <c r="F227" s="191" t="s">
        <v>1482</v>
      </c>
      <c r="G227" s="191">
        <v>14</v>
      </c>
      <c r="H227" s="192">
        <v>0</v>
      </c>
      <c r="I227" s="192">
        <v>301.27999999999997</v>
      </c>
      <c r="J227" s="192">
        <f>SUM(H227:I227)</f>
        <v>301.27999999999997</v>
      </c>
    </row>
    <row r="228" spans="1:10" outlineLevel="2">
      <c r="A228" s="191" t="s">
        <v>191</v>
      </c>
      <c r="B228" s="191" t="s">
        <v>173</v>
      </c>
      <c r="C228" s="191" t="s">
        <v>169</v>
      </c>
      <c r="D228" s="191" t="s">
        <v>1613</v>
      </c>
      <c r="E228" s="191" t="s">
        <v>2667</v>
      </c>
      <c r="F228" s="191" t="s">
        <v>2655</v>
      </c>
      <c r="G228" s="191">
        <v>14</v>
      </c>
      <c r="H228" s="192">
        <v>0</v>
      </c>
      <c r="I228" s="192">
        <v>330.84</v>
      </c>
      <c r="J228" s="192">
        <f>SUM(H228:I228)</f>
        <v>330.84</v>
      </c>
    </row>
    <row r="229" spans="1:10" outlineLevel="2">
      <c r="A229" s="191" t="s">
        <v>191</v>
      </c>
      <c r="B229" s="191" t="s">
        <v>173</v>
      </c>
      <c r="C229" s="191" t="s">
        <v>169</v>
      </c>
      <c r="D229" s="191" t="s">
        <v>1635</v>
      </c>
      <c r="E229" s="191" t="s">
        <v>2668</v>
      </c>
      <c r="F229" s="191" t="s">
        <v>2669</v>
      </c>
      <c r="G229" s="191">
        <v>21</v>
      </c>
      <c r="H229" s="192">
        <v>0</v>
      </c>
      <c r="I229" s="192">
        <v>451.92</v>
      </c>
      <c r="J229" s="192">
        <f>SUM(H229:I229)</f>
        <v>451.92</v>
      </c>
    </row>
    <row r="230" spans="1:10" outlineLevel="2">
      <c r="A230" s="191" t="s">
        <v>192</v>
      </c>
      <c r="B230" s="191" t="s">
        <v>173</v>
      </c>
      <c r="C230" s="191" t="s">
        <v>169</v>
      </c>
      <c r="D230" s="191" t="s">
        <v>1636</v>
      </c>
      <c r="E230" s="191" t="s">
        <v>2655</v>
      </c>
      <c r="F230" s="191" t="s">
        <v>2655</v>
      </c>
      <c r="G230" s="191">
        <v>7</v>
      </c>
      <c r="H230" s="192">
        <v>0</v>
      </c>
      <c r="I230" s="192">
        <v>174.3</v>
      </c>
      <c r="J230" s="192">
        <f>SUM(H230:I230)</f>
        <v>174.3</v>
      </c>
    </row>
    <row r="231" spans="1:10" outlineLevel="2">
      <c r="A231" s="191" t="s">
        <v>192</v>
      </c>
      <c r="B231" s="191" t="s">
        <v>173</v>
      </c>
      <c r="C231" s="191" t="s">
        <v>169</v>
      </c>
      <c r="D231" s="191" t="s">
        <v>1636</v>
      </c>
      <c r="E231" s="191" t="s">
        <v>2656</v>
      </c>
      <c r="F231" s="191" t="s">
        <v>2656</v>
      </c>
      <c r="G231" s="191">
        <v>7</v>
      </c>
      <c r="H231" s="192">
        <v>0</v>
      </c>
      <c r="I231" s="192">
        <v>159.51</v>
      </c>
      <c r="J231" s="192">
        <f>SUM(H231:I231)</f>
        <v>159.51</v>
      </c>
    </row>
    <row r="232" spans="1:10" outlineLevel="2">
      <c r="A232" s="191" t="s">
        <v>192</v>
      </c>
      <c r="B232" s="191" t="s">
        <v>173</v>
      </c>
      <c r="C232" s="191" t="s">
        <v>169</v>
      </c>
      <c r="D232" s="191" t="s">
        <v>1637</v>
      </c>
      <c r="E232" s="191" t="s">
        <v>2606</v>
      </c>
      <c r="F232" s="191" t="s">
        <v>1487</v>
      </c>
      <c r="G232" s="191">
        <v>21</v>
      </c>
      <c r="H232" s="192">
        <v>0</v>
      </c>
      <c r="I232" s="192">
        <v>476.22</v>
      </c>
      <c r="J232" s="192">
        <f>SUM(H232:I232)</f>
        <v>476.22</v>
      </c>
    </row>
    <row r="233" spans="1:10" outlineLevel="2">
      <c r="A233" s="191" t="s">
        <v>194</v>
      </c>
      <c r="B233" s="191" t="s">
        <v>116</v>
      </c>
      <c r="C233" s="191" t="s">
        <v>169</v>
      </c>
      <c r="D233" s="191" t="s">
        <v>1623</v>
      </c>
      <c r="E233" s="191" t="s">
        <v>2600</v>
      </c>
      <c r="F233" s="191" t="s">
        <v>2600</v>
      </c>
      <c r="G233" s="191" t="s">
        <v>2760</v>
      </c>
      <c r="H233" s="192">
        <v>0</v>
      </c>
      <c r="I233" s="192">
        <v>0</v>
      </c>
      <c r="J233" s="192">
        <f>SUM(H233:I233)</f>
        <v>0</v>
      </c>
    </row>
    <row r="234" spans="1:10" outlineLevel="2">
      <c r="A234" s="191" t="s">
        <v>195</v>
      </c>
      <c r="B234" s="191" t="s">
        <v>173</v>
      </c>
      <c r="C234" s="191" t="s">
        <v>169</v>
      </c>
      <c r="D234" s="191" t="s">
        <v>1623</v>
      </c>
      <c r="E234" s="191" t="s">
        <v>2600</v>
      </c>
      <c r="F234" s="191" t="s">
        <v>2600</v>
      </c>
      <c r="G234" s="191">
        <v>7</v>
      </c>
      <c r="H234" s="192">
        <v>0</v>
      </c>
      <c r="I234" s="192">
        <v>150.63999999999999</v>
      </c>
      <c r="J234" s="192">
        <f>SUM(H234:I234)</f>
        <v>150.63999999999999</v>
      </c>
    </row>
    <row r="235" spans="1:10" outlineLevel="2">
      <c r="A235" s="191" t="s">
        <v>195</v>
      </c>
      <c r="B235" s="191" t="s">
        <v>173</v>
      </c>
      <c r="C235" s="191" t="s">
        <v>169</v>
      </c>
      <c r="D235" s="191" t="s">
        <v>1618</v>
      </c>
      <c r="E235" s="191" t="s">
        <v>2594</v>
      </c>
      <c r="F235" s="191" t="s">
        <v>2588</v>
      </c>
      <c r="G235" s="191">
        <v>14</v>
      </c>
      <c r="H235" s="192">
        <v>0</v>
      </c>
      <c r="I235" s="192">
        <v>301.27999999999997</v>
      </c>
      <c r="J235" s="192">
        <f>SUM(H235:I235)</f>
        <v>301.27999999999997</v>
      </c>
    </row>
    <row r="236" spans="1:10" outlineLevel="2">
      <c r="A236" s="191" t="s">
        <v>197</v>
      </c>
      <c r="B236" s="191" t="s">
        <v>173</v>
      </c>
      <c r="C236" s="191" t="s">
        <v>169</v>
      </c>
      <c r="D236" s="191" t="s">
        <v>1623</v>
      </c>
      <c r="E236" s="191" t="s">
        <v>2600</v>
      </c>
      <c r="F236" s="191" t="s">
        <v>2600</v>
      </c>
      <c r="G236" s="191">
        <v>7</v>
      </c>
      <c r="H236" s="192">
        <v>0</v>
      </c>
      <c r="I236" s="192">
        <v>150.63999999999999</v>
      </c>
      <c r="J236" s="192">
        <f>SUM(H236:I236)</f>
        <v>150.63999999999999</v>
      </c>
    </row>
    <row r="237" spans="1:10" outlineLevel="2">
      <c r="A237" s="191" t="s">
        <v>198</v>
      </c>
      <c r="B237" s="191" t="s">
        <v>141</v>
      </c>
      <c r="C237" s="191" t="s">
        <v>169</v>
      </c>
      <c r="D237" s="191" t="s">
        <v>1623</v>
      </c>
      <c r="E237" s="191" t="s">
        <v>2600</v>
      </c>
      <c r="F237" s="191" t="s">
        <v>2600</v>
      </c>
      <c r="G237" s="191">
        <v>7</v>
      </c>
      <c r="H237" s="192">
        <v>0</v>
      </c>
      <c r="I237" s="192">
        <v>50.72</v>
      </c>
      <c r="J237" s="192">
        <f>SUM(H237:I237)</f>
        <v>50.72</v>
      </c>
    </row>
    <row r="238" spans="1:10" outlineLevel="2">
      <c r="A238" s="191" t="s">
        <v>198</v>
      </c>
      <c r="B238" s="191" t="s">
        <v>147</v>
      </c>
      <c r="C238" s="191" t="s">
        <v>169</v>
      </c>
      <c r="D238" s="191" t="s">
        <v>1638</v>
      </c>
      <c r="E238" s="191" t="s">
        <v>1480</v>
      </c>
      <c r="F238" s="191" t="s">
        <v>1480</v>
      </c>
      <c r="G238" s="191">
        <v>7</v>
      </c>
      <c r="H238" s="192">
        <v>0</v>
      </c>
      <c r="I238" s="192">
        <v>54.53</v>
      </c>
      <c r="J238" s="192">
        <f>SUM(H238:I238)</f>
        <v>54.53</v>
      </c>
    </row>
    <row r="239" spans="1:10" outlineLevel="2">
      <c r="A239" s="191" t="s">
        <v>199</v>
      </c>
      <c r="B239" s="191" t="s">
        <v>173</v>
      </c>
      <c r="C239" s="191" t="s">
        <v>169</v>
      </c>
      <c r="D239" s="191" t="s">
        <v>193</v>
      </c>
      <c r="E239" s="191" t="s">
        <v>2650</v>
      </c>
      <c r="F239" s="191" t="s">
        <v>2646</v>
      </c>
      <c r="G239" s="191">
        <v>14</v>
      </c>
      <c r="H239" s="192">
        <v>0</v>
      </c>
      <c r="I239" s="192">
        <v>299.33999999999997</v>
      </c>
      <c r="J239" s="192">
        <f>SUM(H239:I239)</f>
        <v>299.33999999999997</v>
      </c>
    </row>
    <row r="240" spans="1:10" outlineLevel="2">
      <c r="A240" s="191" t="s">
        <v>200</v>
      </c>
      <c r="B240" s="191" t="s">
        <v>183</v>
      </c>
      <c r="C240" s="191" t="s">
        <v>169</v>
      </c>
      <c r="D240" s="191" t="s">
        <v>1639</v>
      </c>
      <c r="E240" s="191" t="s">
        <v>2589</v>
      </c>
      <c r="F240" s="191" t="s">
        <v>2589</v>
      </c>
      <c r="G240" s="191">
        <v>7</v>
      </c>
      <c r="H240" s="192">
        <v>0</v>
      </c>
      <c r="I240" s="192">
        <v>192.89</v>
      </c>
      <c r="J240" s="192">
        <f>SUM(H240:I240)</f>
        <v>192.89</v>
      </c>
    </row>
    <row r="241" spans="1:10" outlineLevel="2">
      <c r="A241" s="191" t="s">
        <v>200</v>
      </c>
      <c r="B241" s="191" t="s">
        <v>183</v>
      </c>
      <c r="C241" s="191" t="s">
        <v>169</v>
      </c>
      <c r="D241" s="191" t="s">
        <v>1640</v>
      </c>
      <c r="E241" s="191" t="s">
        <v>2637</v>
      </c>
      <c r="F241" s="191" t="s">
        <v>2637</v>
      </c>
      <c r="G241" s="191">
        <v>7</v>
      </c>
      <c r="H241" s="192">
        <v>0</v>
      </c>
      <c r="I241" s="192">
        <v>192.89</v>
      </c>
      <c r="J241" s="192">
        <f>SUM(H241:I241)</f>
        <v>192.89</v>
      </c>
    </row>
    <row r="242" spans="1:10" outlineLevel="2">
      <c r="A242" s="191" t="s">
        <v>200</v>
      </c>
      <c r="B242" s="191" t="s">
        <v>183</v>
      </c>
      <c r="C242" s="191" t="s">
        <v>169</v>
      </c>
      <c r="D242" s="191" t="s">
        <v>1641</v>
      </c>
      <c r="E242" s="191" t="s">
        <v>2670</v>
      </c>
      <c r="F242" s="191" t="s">
        <v>2670</v>
      </c>
      <c r="G242" s="191">
        <v>7</v>
      </c>
      <c r="H242" s="192">
        <v>0</v>
      </c>
      <c r="I242" s="192">
        <v>192.89</v>
      </c>
      <c r="J242" s="192">
        <f>SUM(H242:I242)</f>
        <v>192.89</v>
      </c>
    </row>
    <row r="243" spans="1:10" outlineLevel="2">
      <c r="A243" s="191" t="s">
        <v>200</v>
      </c>
      <c r="B243" s="191" t="s">
        <v>183</v>
      </c>
      <c r="C243" s="191" t="s">
        <v>169</v>
      </c>
      <c r="D243" s="191" t="s">
        <v>1642</v>
      </c>
      <c r="E243" s="191" t="s">
        <v>2601</v>
      </c>
      <c r="F243" s="191" t="s">
        <v>2590</v>
      </c>
      <c r="G243" s="191">
        <v>14</v>
      </c>
      <c r="H243" s="192">
        <v>0</v>
      </c>
      <c r="I243" s="192">
        <v>390.18</v>
      </c>
      <c r="J243" s="192">
        <f>SUM(H243:I243)</f>
        <v>390.18</v>
      </c>
    </row>
    <row r="244" spans="1:10" outlineLevel="2">
      <c r="A244" s="191" t="s">
        <v>200</v>
      </c>
      <c r="B244" s="191" t="s">
        <v>183</v>
      </c>
      <c r="C244" s="191" t="s">
        <v>169</v>
      </c>
      <c r="D244" s="191" t="s">
        <v>1637</v>
      </c>
      <c r="E244" s="191" t="s">
        <v>2606</v>
      </c>
      <c r="F244" s="191" t="s">
        <v>1487</v>
      </c>
      <c r="G244" s="191">
        <v>21</v>
      </c>
      <c r="H244" s="192">
        <v>0</v>
      </c>
      <c r="I244" s="192">
        <v>578.66999999999996</v>
      </c>
      <c r="J244" s="192">
        <f>SUM(H244:I244)</f>
        <v>578.66999999999996</v>
      </c>
    </row>
    <row r="245" spans="1:10" outlineLevel="2">
      <c r="A245" s="191" t="s">
        <v>201</v>
      </c>
      <c r="B245" s="191" t="s">
        <v>173</v>
      </c>
      <c r="C245" s="191" t="s">
        <v>169</v>
      </c>
      <c r="D245" s="191" t="s">
        <v>1643</v>
      </c>
      <c r="E245" s="191" t="s">
        <v>2671</v>
      </c>
      <c r="F245" s="191" t="s">
        <v>2672</v>
      </c>
      <c r="G245" s="191">
        <v>14</v>
      </c>
      <c r="H245" s="192">
        <v>0</v>
      </c>
      <c r="I245" s="192">
        <v>319.06</v>
      </c>
      <c r="J245" s="192">
        <f>SUM(H245:I245)</f>
        <v>319.06</v>
      </c>
    </row>
    <row r="246" spans="1:10" outlineLevel="2">
      <c r="A246" s="191" t="s">
        <v>203</v>
      </c>
      <c r="B246" s="191" t="s">
        <v>116</v>
      </c>
      <c r="C246" s="191" t="s">
        <v>169</v>
      </c>
      <c r="D246" s="191" t="s">
        <v>1623</v>
      </c>
      <c r="E246" s="191" t="s">
        <v>2600</v>
      </c>
      <c r="F246" s="191" t="s">
        <v>2600</v>
      </c>
      <c r="G246" s="191">
        <v>7</v>
      </c>
      <c r="H246" s="192">
        <v>0</v>
      </c>
      <c r="I246" s="192">
        <v>63.11</v>
      </c>
      <c r="J246" s="192">
        <f>SUM(H246:I246)</f>
        <v>63.11</v>
      </c>
    </row>
    <row r="247" spans="1:10" outlineLevel="2">
      <c r="A247" s="191" t="s">
        <v>203</v>
      </c>
      <c r="B247" s="191" t="s">
        <v>116</v>
      </c>
      <c r="C247" s="191" t="s">
        <v>169</v>
      </c>
      <c r="D247" s="191" t="s">
        <v>1644</v>
      </c>
      <c r="E247" s="191" t="s">
        <v>1496</v>
      </c>
      <c r="F247" s="191" t="s">
        <v>1496</v>
      </c>
      <c r="G247" s="191">
        <v>7</v>
      </c>
      <c r="H247" s="192">
        <v>0</v>
      </c>
      <c r="I247" s="192">
        <v>63.11</v>
      </c>
      <c r="J247" s="192">
        <f>SUM(H247:I247)</f>
        <v>63.11</v>
      </c>
    </row>
    <row r="248" spans="1:10" outlineLevel="2">
      <c r="A248" s="191" t="s">
        <v>203</v>
      </c>
      <c r="B248" s="191" t="s">
        <v>116</v>
      </c>
      <c r="C248" s="191" t="s">
        <v>169</v>
      </c>
      <c r="D248" s="191" t="s">
        <v>1617</v>
      </c>
      <c r="E248" s="191" t="s">
        <v>2658</v>
      </c>
      <c r="F248" s="191" t="s">
        <v>1482</v>
      </c>
      <c r="G248" s="191">
        <v>14</v>
      </c>
      <c r="H248" s="192">
        <v>100</v>
      </c>
      <c r="I248" s="192">
        <v>126.22</v>
      </c>
      <c r="J248" s="192">
        <f>SUM(H248:I248)</f>
        <v>226.22</v>
      </c>
    </row>
    <row r="249" spans="1:10" outlineLevel="2">
      <c r="A249" s="191" t="s">
        <v>203</v>
      </c>
      <c r="B249" s="191" t="s">
        <v>116</v>
      </c>
      <c r="C249" s="191" t="s">
        <v>169</v>
      </c>
      <c r="D249" s="191" t="s">
        <v>1645</v>
      </c>
      <c r="E249" s="191" t="s">
        <v>2654</v>
      </c>
      <c r="F249" s="191" t="s">
        <v>2637</v>
      </c>
      <c r="G249" s="191">
        <v>14</v>
      </c>
      <c r="H249" s="192">
        <v>0</v>
      </c>
      <c r="I249" s="192">
        <v>126.22</v>
      </c>
      <c r="J249" s="192">
        <f>SUM(H249:I249)</f>
        <v>126.22</v>
      </c>
    </row>
    <row r="250" spans="1:10" outlineLevel="2">
      <c r="A250" s="191" t="s">
        <v>203</v>
      </c>
      <c r="B250" s="191" t="s">
        <v>189</v>
      </c>
      <c r="C250" s="191" t="s">
        <v>169</v>
      </c>
      <c r="D250" s="191" t="s">
        <v>1646</v>
      </c>
      <c r="E250" s="191" t="s">
        <v>2650</v>
      </c>
      <c r="F250" s="191" t="s">
        <v>2646</v>
      </c>
      <c r="G250" s="191">
        <v>14</v>
      </c>
      <c r="H250" s="192">
        <v>0</v>
      </c>
      <c r="I250" s="192">
        <v>135.72</v>
      </c>
      <c r="J250" s="192">
        <f>SUM(H250:I250)</f>
        <v>135.72</v>
      </c>
    </row>
    <row r="251" spans="1:10" outlineLevel="2">
      <c r="A251" s="191" t="s">
        <v>204</v>
      </c>
      <c r="B251" s="191" t="s">
        <v>183</v>
      </c>
      <c r="C251" s="191" t="s">
        <v>169</v>
      </c>
      <c r="D251" s="191" t="s">
        <v>1647</v>
      </c>
      <c r="E251" s="191" t="s">
        <v>2602</v>
      </c>
      <c r="F251" s="191" t="s">
        <v>2603</v>
      </c>
      <c r="G251" s="191">
        <v>21</v>
      </c>
      <c r="H251" s="192">
        <v>0</v>
      </c>
      <c r="I251" s="192">
        <v>607.53</v>
      </c>
      <c r="J251" s="192">
        <f>SUM(H251:I251)</f>
        <v>607.53</v>
      </c>
    </row>
    <row r="252" spans="1:10" outlineLevel="2">
      <c r="A252" s="191" t="s">
        <v>204</v>
      </c>
      <c r="B252" s="191" t="s">
        <v>183</v>
      </c>
      <c r="C252" s="191" t="s">
        <v>169</v>
      </c>
      <c r="D252" s="191" t="s">
        <v>1648</v>
      </c>
      <c r="E252" s="191" t="s">
        <v>2637</v>
      </c>
      <c r="F252" s="191" t="s">
        <v>2608</v>
      </c>
      <c r="G252" s="191">
        <v>28</v>
      </c>
      <c r="H252" s="192">
        <v>0</v>
      </c>
      <c r="I252" s="192">
        <v>806.08</v>
      </c>
      <c r="J252" s="192">
        <f>SUM(H252:I252)</f>
        <v>806.08</v>
      </c>
    </row>
    <row r="253" spans="1:10" outlineLevel="1">
      <c r="A253" s="193" t="s">
        <v>2993</v>
      </c>
      <c r="B253" s="194"/>
      <c r="C253" s="194"/>
      <c r="D253" s="194"/>
      <c r="E253" s="194"/>
      <c r="F253" s="194"/>
      <c r="G253" s="194">
        <f>SUBTOTAL(9,G181:G252)</f>
        <v>861</v>
      </c>
      <c r="H253" s="195">
        <f>SUBTOTAL(9,H181:H252)</f>
        <v>768</v>
      </c>
      <c r="I253" s="195">
        <f>SUBTOTAL(9,I181:I252)</f>
        <v>16033.169999999995</v>
      </c>
      <c r="J253" s="195">
        <f>SUBTOTAL(9,J181:J252)</f>
        <v>16801.169999999998</v>
      </c>
    </row>
    <row r="254" spans="1:10" outlineLevel="2">
      <c r="A254" s="191" t="s">
        <v>205</v>
      </c>
      <c r="B254" s="191" t="s">
        <v>206</v>
      </c>
      <c r="C254" s="191" t="s">
        <v>207</v>
      </c>
      <c r="D254" s="191" t="s">
        <v>1649</v>
      </c>
      <c r="E254" s="191" t="s">
        <v>1499</v>
      </c>
      <c r="F254" s="191" t="s">
        <v>1499</v>
      </c>
      <c r="G254" s="191">
        <v>7</v>
      </c>
      <c r="H254" s="192">
        <v>0</v>
      </c>
      <c r="I254" s="192">
        <v>138.44999999999999</v>
      </c>
      <c r="J254" s="192">
        <f>SUM(H254:I254)</f>
        <v>138.44999999999999</v>
      </c>
    </row>
    <row r="255" spans="1:10" outlineLevel="2">
      <c r="A255" s="191" t="s">
        <v>205</v>
      </c>
      <c r="B255" s="191" t="s">
        <v>206</v>
      </c>
      <c r="C255" s="191" t="s">
        <v>207</v>
      </c>
      <c r="D255" s="191" t="s">
        <v>1650</v>
      </c>
      <c r="E255" s="191" t="s">
        <v>2673</v>
      </c>
      <c r="F255" s="191" t="s">
        <v>2674</v>
      </c>
      <c r="G255" s="191">
        <v>14</v>
      </c>
      <c r="H255" s="192">
        <v>0</v>
      </c>
      <c r="I255" s="192">
        <v>266.36</v>
      </c>
      <c r="J255" s="192">
        <f>SUM(H255:I255)</f>
        <v>266.36</v>
      </c>
    </row>
    <row r="256" spans="1:10" outlineLevel="2">
      <c r="A256" s="191" t="s">
        <v>205</v>
      </c>
      <c r="B256" s="191" t="s">
        <v>206</v>
      </c>
      <c r="C256" s="191" t="s">
        <v>207</v>
      </c>
      <c r="D256" s="191" t="s">
        <v>1651</v>
      </c>
      <c r="E256" s="191" t="s">
        <v>1503</v>
      </c>
      <c r="F256" s="191" t="s">
        <v>2675</v>
      </c>
      <c r="G256" s="191">
        <v>14</v>
      </c>
      <c r="H256" s="192">
        <v>0</v>
      </c>
      <c r="I256" s="192">
        <v>266.36</v>
      </c>
      <c r="J256" s="192">
        <f>SUM(H256:I256)</f>
        <v>266.36</v>
      </c>
    </row>
    <row r="257" spans="1:10" outlineLevel="2">
      <c r="A257" s="191" t="s">
        <v>208</v>
      </c>
      <c r="B257" s="191" t="s">
        <v>206</v>
      </c>
      <c r="C257" s="191" t="s">
        <v>207</v>
      </c>
      <c r="D257" s="191" t="s">
        <v>1650</v>
      </c>
      <c r="E257" s="191" t="s">
        <v>2673</v>
      </c>
      <c r="F257" s="191" t="s">
        <v>2674</v>
      </c>
      <c r="G257" s="191">
        <v>14</v>
      </c>
      <c r="H257" s="192">
        <v>0</v>
      </c>
      <c r="I257" s="192">
        <v>276.58</v>
      </c>
      <c r="J257" s="192">
        <f>SUM(H257:I257)</f>
        <v>276.58</v>
      </c>
    </row>
    <row r="258" spans="1:10" outlineLevel="2">
      <c r="A258" s="191" t="s">
        <v>208</v>
      </c>
      <c r="B258" s="191" t="s">
        <v>206</v>
      </c>
      <c r="C258" s="191" t="s">
        <v>207</v>
      </c>
      <c r="D258" s="191" t="s">
        <v>1652</v>
      </c>
      <c r="E258" s="191" t="s">
        <v>2676</v>
      </c>
      <c r="F258" s="191" t="s">
        <v>2609</v>
      </c>
      <c r="G258" s="191">
        <v>21</v>
      </c>
      <c r="H258" s="192">
        <v>0</v>
      </c>
      <c r="I258" s="192">
        <v>416.91</v>
      </c>
      <c r="J258" s="192">
        <f>SUM(H258:I258)</f>
        <v>416.91</v>
      </c>
    </row>
    <row r="259" spans="1:10" outlineLevel="2">
      <c r="A259" s="191" t="s">
        <v>209</v>
      </c>
      <c r="B259" s="191" t="s">
        <v>206</v>
      </c>
      <c r="C259" s="191" t="s">
        <v>207</v>
      </c>
      <c r="D259" s="191" t="s">
        <v>1653</v>
      </c>
      <c r="E259" s="191" t="s">
        <v>2659</v>
      </c>
      <c r="F259" s="191" t="s">
        <v>2628</v>
      </c>
      <c r="G259" s="191">
        <v>14</v>
      </c>
      <c r="H259" s="192">
        <v>0</v>
      </c>
      <c r="I259" s="192">
        <v>357.38</v>
      </c>
      <c r="J259" s="192">
        <f>SUM(H259:I259)</f>
        <v>357.38</v>
      </c>
    </row>
    <row r="260" spans="1:10" outlineLevel="2">
      <c r="A260" s="191" t="s">
        <v>209</v>
      </c>
      <c r="B260" s="191" t="s">
        <v>206</v>
      </c>
      <c r="C260" s="191" t="s">
        <v>207</v>
      </c>
      <c r="D260" s="191" t="s">
        <v>1654</v>
      </c>
      <c r="E260" s="191" t="s">
        <v>2677</v>
      </c>
      <c r="F260" s="191" t="s">
        <v>1479</v>
      </c>
      <c r="G260" s="191">
        <v>14</v>
      </c>
      <c r="H260" s="192">
        <v>0</v>
      </c>
      <c r="I260" s="192">
        <v>357.38</v>
      </c>
      <c r="J260" s="192">
        <f>SUM(H260:I260)</f>
        <v>357.38</v>
      </c>
    </row>
    <row r="261" spans="1:10" outlineLevel="2">
      <c r="A261" s="191" t="s">
        <v>209</v>
      </c>
      <c r="B261" s="191" t="s">
        <v>206</v>
      </c>
      <c r="C261" s="191" t="s">
        <v>207</v>
      </c>
      <c r="D261" s="191" t="s">
        <v>1652</v>
      </c>
      <c r="E261" s="191" t="s">
        <v>2678</v>
      </c>
      <c r="F261" s="191" t="s">
        <v>2609</v>
      </c>
      <c r="G261" s="191">
        <v>28</v>
      </c>
      <c r="H261" s="192">
        <v>0</v>
      </c>
      <c r="I261" s="192">
        <v>725.12</v>
      </c>
      <c r="J261" s="192">
        <f>SUM(H261:I261)</f>
        <v>725.12</v>
      </c>
    </row>
    <row r="262" spans="1:10" outlineLevel="2">
      <c r="A262" s="191" t="s">
        <v>210</v>
      </c>
      <c r="B262" s="191" t="s">
        <v>212</v>
      </c>
      <c r="C262" s="191" t="s">
        <v>207</v>
      </c>
      <c r="D262" s="191" t="s">
        <v>1655</v>
      </c>
      <c r="E262" s="191" t="s">
        <v>2606</v>
      </c>
      <c r="F262" s="191" t="s">
        <v>1487</v>
      </c>
      <c r="G262" s="191">
        <v>21</v>
      </c>
      <c r="H262" s="192">
        <v>0</v>
      </c>
      <c r="I262" s="192">
        <v>533.97</v>
      </c>
      <c r="J262" s="192">
        <f>SUM(H262:I262)</f>
        <v>533.97</v>
      </c>
    </row>
    <row r="263" spans="1:10" outlineLevel="2">
      <c r="A263" s="191" t="s">
        <v>211</v>
      </c>
      <c r="B263" s="191" t="s">
        <v>206</v>
      </c>
      <c r="C263" s="191" t="s">
        <v>207</v>
      </c>
      <c r="D263" s="191" t="s">
        <v>1649</v>
      </c>
      <c r="E263" s="191" t="s">
        <v>1499</v>
      </c>
      <c r="F263" s="191" t="s">
        <v>1499</v>
      </c>
      <c r="G263" s="191">
        <v>7</v>
      </c>
      <c r="H263" s="192">
        <v>0</v>
      </c>
      <c r="I263" s="192">
        <v>206.61</v>
      </c>
      <c r="J263" s="192">
        <f>SUM(H263:I263)</f>
        <v>206.61</v>
      </c>
    </row>
    <row r="264" spans="1:10" outlineLevel="2">
      <c r="A264" s="191" t="s">
        <v>2809</v>
      </c>
      <c r="B264" s="191" t="s">
        <v>206</v>
      </c>
      <c r="C264" s="191" t="s">
        <v>207</v>
      </c>
      <c r="D264" s="191" t="s">
        <v>1656</v>
      </c>
      <c r="E264" s="191" t="s">
        <v>2629</v>
      </c>
      <c r="F264" s="191" t="s">
        <v>2679</v>
      </c>
      <c r="G264" s="191">
        <v>14</v>
      </c>
      <c r="H264" s="192">
        <v>0</v>
      </c>
      <c r="I264" s="192">
        <v>301.27999999999997</v>
      </c>
      <c r="J264" s="192">
        <f>SUM(H264:I264)</f>
        <v>301.27999999999997</v>
      </c>
    </row>
    <row r="265" spans="1:10" outlineLevel="2">
      <c r="A265" s="191" t="s">
        <v>2809</v>
      </c>
      <c r="B265" s="191" t="s">
        <v>206</v>
      </c>
      <c r="C265" s="191" t="s">
        <v>207</v>
      </c>
      <c r="D265" s="191" t="s">
        <v>1657</v>
      </c>
      <c r="E265" s="191" t="s">
        <v>2680</v>
      </c>
      <c r="F265" s="191" t="s">
        <v>2681</v>
      </c>
      <c r="G265" s="191">
        <v>14</v>
      </c>
      <c r="H265" s="192">
        <v>0</v>
      </c>
      <c r="I265" s="192">
        <v>302.76</v>
      </c>
      <c r="J265" s="192">
        <f>SUM(H265:I265)</f>
        <v>302.76</v>
      </c>
    </row>
    <row r="266" spans="1:10" outlineLevel="1">
      <c r="A266" s="193" t="s">
        <v>2994</v>
      </c>
      <c r="B266" s="194"/>
      <c r="C266" s="194"/>
      <c r="D266" s="194"/>
      <c r="E266" s="194"/>
      <c r="F266" s="194"/>
      <c r="G266" s="194">
        <f>SUBTOTAL(9,G254:G265)</f>
        <v>182</v>
      </c>
      <c r="H266" s="195">
        <f>SUBTOTAL(9,H254:H265)</f>
        <v>0</v>
      </c>
      <c r="I266" s="195">
        <f>SUBTOTAL(9,I254:I265)</f>
        <v>4149.1600000000008</v>
      </c>
      <c r="J266" s="195">
        <f>SUBTOTAL(9,J254:J265)</f>
        <v>4149.1600000000008</v>
      </c>
    </row>
    <row r="267" spans="1:10" outlineLevel="2">
      <c r="A267" s="191" t="s">
        <v>213</v>
      </c>
      <c r="B267" s="191" t="s">
        <v>189</v>
      </c>
      <c r="C267" s="191" t="s">
        <v>214</v>
      </c>
      <c r="D267" s="191" t="s">
        <v>1658</v>
      </c>
      <c r="E267" s="191" t="s">
        <v>2648</v>
      </c>
      <c r="F267" s="191" t="s">
        <v>2649</v>
      </c>
      <c r="G267" s="191">
        <v>14</v>
      </c>
      <c r="H267" s="192">
        <v>0</v>
      </c>
      <c r="I267" s="192">
        <v>135.06</v>
      </c>
      <c r="J267" s="192">
        <f>SUM(H267:I267)</f>
        <v>135.06</v>
      </c>
    </row>
    <row r="268" spans="1:10" outlineLevel="2">
      <c r="A268" s="191" t="s">
        <v>213</v>
      </c>
      <c r="B268" s="191" t="s">
        <v>189</v>
      </c>
      <c r="C268" s="191" t="s">
        <v>214</v>
      </c>
      <c r="D268" s="191" t="s">
        <v>1659</v>
      </c>
      <c r="E268" s="191" t="s">
        <v>2606</v>
      </c>
      <c r="F268" s="191" t="s">
        <v>1487</v>
      </c>
      <c r="G268" s="191">
        <v>21</v>
      </c>
      <c r="H268" s="192">
        <v>100</v>
      </c>
      <c r="I268" s="192">
        <v>202.59</v>
      </c>
      <c r="J268" s="192">
        <f>SUM(H268:I268)</f>
        <v>302.59000000000003</v>
      </c>
    </row>
    <row r="269" spans="1:10" outlineLevel="2">
      <c r="A269" s="191" t="s">
        <v>213</v>
      </c>
      <c r="B269" s="191" t="s">
        <v>98</v>
      </c>
      <c r="C269" s="191" t="s">
        <v>214</v>
      </c>
      <c r="D269" s="191" t="s">
        <v>1660</v>
      </c>
      <c r="E269" s="191" t="s">
        <v>2682</v>
      </c>
      <c r="F269" s="191" t="s">
        <v>2633</v>
      </c>
      <c r="G269" s="191">
        <v>21</v>
      </c>
      <c r="H269" s="192">
        <v>0</v>
      </c>
      <c r="I269" s="192">
        <v>411.75</v>
      </c>
      <c r="J269" s="192">
        <f>SUM(H269:I269)</f>
        <v>411.75</v>
      </c>
    </row>
    <row r="270" spans="1:10" outlineLevel="2">
      <c r="A270" s="191" t="s">
        <v>215</v>
      </c>
      <c r="B270" s="191" t="s">
        <v>112</v>
      </c>
      <c r="C270" s="191" t="s">
        <v>214</v>
      </c>
      <c r="D270" s="191" t="s">
        <v>1661</v>
      </c>
      <c r="E270" s="191" t="s">
        <v>2683</v>
      </c>
      <c r="F270" s="191" t="s">
        <v>2612</v>
      </c>
      <c r="G270" s="191">
        <v>21</v>
      </c>
      <c r="H270" s="192">
        <v>0</v>
      </c>
      <c r="I270" s="192">
        <v>176.07</v>
      </c>
      <c r="J270" s="192">
        <f>SUM(H270:I270)</f>
        <v>176.07</v>
      </c>
    </row>
    <row r="271" spans="1:10" outlineLevel="2">
      <c r="A271" s="191" t="s">
        <v>215</v>
      </c>
      <c r="B271" s="191" t="s">
        <v>116</v>
      </c>
      <c r="C271" s="191" t="s">
        <v>214</v>
      </c>
      <c r="D271" s="191" t="s">
        <v>1662</v>
      </c>
      <c r="E271" s="191" t="s">
        <v>2602</v>
      </c>
      <c r="F271" s="191" t="s">
        <v>2603</v>
      </c>
      <c r="G271" s="191">
        <v>21</v>
      </c>
      <c r="H271" s="192">
        <v>100</v>
      </c>
      <c r="I271" s="192">
        <v>190.26</v>
      </c>
      <c r="J271" s="192">
        <f>SUM(H271:I271)</f>
        <v>290.26</v>
      </c>
    </row>
    <row r="272" spans="1:10" outlineLevel="2">
      <c r="A272" s="191" t="s">
        <v>216</v>
      </c>
      <c r="B272" s="191" t="s">
        <v>98</v>
      </c>
      <c r="C272" s="191" t="s">
        <v>214</v>
      </c>
      <c r="D272" s="191" t="s">
        <v>1663</v>
      </c>
      <c r="E272" s="191" t="s">
        <v>2684</v>
      </c>
      <c r="F272" s="191" t="s">
        <v>1481</v>
      </c>
      <c r="G272" s="191">
        <v>21</v>
      </c>
      <c r="H272" s="192">
        <v>0</v>
      </c>
      <c r="I272" s="192">
        <v>486.21</v>
      </c>
      <c r="J272" s="192">
        <f>SUM(H272:I272)</f>
        <v>486.21</v>
      </c>
    </row>
    <row r="273" spans="1:10" outlineLevel="2">
      <c r="A273" s="191" t="s">
        <v>216</v>
      </c>
      <c r="B273" s="191" t="s">
        <v>98</v>
      </c>
      <c r="C273" s="191" t="s">
        <v>214</v>
      </c>
      <c r="D273" s="191" t="s">
        <v>1664</v>
      </c>
      <c r="E273" s="191" t="s">
        <v>1479</v>
      </c>
      <c r="F273" s="191" t="s">
        <v>2612</v>
      </c>
      <c r="G273" s="191">
        <v>28</v>
      </c>
      <c r="H273" s="192">
        <v>0</v>
      </c>
      <c r="I273" s="192">
        <v>648.28</v>
      </c>
      <c r="J273" s="192">
        <f>SUM(H273:I273)</f>
        <v>648.28</v>
      </c>
    </row>
    <row r="274" spans="1:10" outlineLevel="2">
      <c r="A274" s="191" t="s">
        <v>217</v>
      </c>
      <c r="B274" s="191" t="s">
        <v>141</v>
      </c>
      <c r="C274" s="191" t="s">
        <v>214</v>
      </c>
      <c r="D274" s="191" t="s">
        <v>1665</v>
      </c>
      <c r="E274" s="191" t="s">
        <v>2685</v>
      </c>
      <c r="F274" s="191" t="s">
        <v>2628</v>
      </c>
      <c r="G274" s="191">
        <v>21</v>
      </c>
      <c r="H274" s="192">
        <v>0</v>
      </c>
      <c r="I274" s="192">
        <v>152.16</v>
      </c>
      <c r="J274" s="192">
        <f>SUM(H274:I274)</f>
        <v>152.16</v>
      </c>
    </row>
    <row r="275" spans="1:10" outlineLevel="2">
      <c r="A275" s="191" t="s">
        <v>217</v>
      </c>
      <c r="B275" s="191" t="s">
        <v>147</v>
      </c>
      <c r="C275" s="191" t="s">
        <v>214</v>
      </c>
      <c r="D275" s="191" t="s">
        <v>1666</v>
      </c>
      <c r="E275" s="191" t="s">
        <v>1499</v>
      </c>
      <c r="F275" s="191" t="s">
        <v>1500</v>
      </c>
      <c r="G275" s="191">
        <v>14</v>
      </c>
      <c r="H275" s="192">
        <v>0</v>
      </c>
      <c r="I275" s="192">
        <v>112.82</v>
      </c>
      <c r="J275" s="192">
        <f>SUM(H275:I275)</f>
        <v>112.82</v>
      </c>
    </row>
    <row r="276" spans="1:10" outlineLevel="2">
      <c r="A276" s="191" t="s">
        <v>217</v>
      </c>
      <c r="B276" s="191" t="s">
        <v>147</v>
      </c>
      <c r="C276" s="191" t="s">
        <v>214</v>
      </c>
      <c r="D276" s="191" t="s">
        <v>1667</v>
      </c>
      <c r="E276" s="191" t="s">
        <v>2686</v>
      </c>
      <c r="F276" s="191" t="s">
        <v>2631</v>
      </c>
      <c r="G276" s="191">
        <v>21</v>
      </c>
      <c r="H276" s="192">
        <v>85</v>
      </c>
      <c r="I276" s="192">
        <v>163.59</v>
      </c>
      <c r="J276" s="192">
        <f>SUM(H276:I276)</f>
        <v>248.59</v>
      </c>
    </row>
    <row r="277" spans="1:10" outlineLevel="2">
      <c r="A277" s="191" t="s">
        <v>2810</v>
      </c>
      <c r="B277" s="191" t="s">
        <v>98</v>
      </c>
      <c r="C277" s="191" t="s">
        <v>214</v>
      </c>
      <c r="D277" s="191" t="s">
        <v>1668</v>
      </c>
      <c r="E277" s="191" t="s">
        <v>2663</v>
      </c>
      <c r="F277" s="191" t="s">
        <v>2663</v>
      </c>
      <c r="G277" s="191">
        <v>7</v>
      </c>
      <c r="H277" s="192">
        <v>0</v>
      </c>
      <c r="I277" s="192">
        <v>153.75</v>
      </c>
      <c r="J277" s="192">
        <f>SUM(H277:I277)</f>
        <v>153.75</v>
      </c>
    </row>
    <row r="278" spans="1:10" outlineLevel="2">
      <c r="A278" s="191" t="s">
        <v>218</v>
      </c>
      <c r="B278" s="191" t="s">
        <v>98</v>
      </c>
      <c r="C278" s="191" t="s">
        <v>214</v>
      </c>
      <c r="D278" s="191" t="s">
        <v>1669</v>
      </c>
      <c r="E278" s="191" t="s">
        <v>2687</v>
      </c>
      <c r="F278" s="191" t="s">
        <v>2661</v>
      </c>
      <c r="G278" s="191">
        <v>21</v>
      </c>
      <c r="H278" s="192">
        <v>0</v>
      </c>
      <c r="I278" s="192">
        <v>533.70000000000005</v>
      </c>
      <c r="J278" s="192">
        <f>SUM(H278:I278)</f>
        <v>533.70000000000005</v>
      </c>
    </row>
    <row r="279" spans="1:10" outlineLevel="2">
      <c r="A279" s="191" t="s">
        <v>218</v>
      </c>
      <c r="B279" s="191" t="s">
        <v>98</v>
      </c>
      <c r="C279" s="191" t="s">
        <v>214</v>
      </c>
      <c r="D279" s="191" t="s">
        <v>1661</v>
      </c>
      <c r="E279" s="191" t="s">
        <v>1479</v>
      </c>
      <c r="F279" s="191" t="s">
        <v>2612</v>
      </c>
      <c r="G279" s="191">
        <v>28</v>
      </c>
      <c r="H279" s="192">
        <v>0</v>
      </c>
      <c r="I279" s="192">
        <v>711.6</v>
      </c>
      <c r="J279" s="192">
        <f>SUM(H279:I279)</f>
        <v>711.6</v>
      </c>
    </row>
    <row r="280" spans="1:10" outlineLevel="2">
      <c r="A280" s="191" t="s">
        <v>219</v>
      </c>
      <c r="B280" s="191" t="s">
        <v>112</v>
      </c>
      <c r="C280" s="191" t="s">
        <v>214</v>
      </c>
      <c r="D280" s="191" t="s">
        <v>1670</v>
      </c>
      <c r="E280" s="191" t="s">
        <v>2676</v>
      </c>
      <c r="F280" s="191" t="s">
        <v>1493</v>
      </c>
      <c r="G280" s="191">
        <v>14</v>
      </c>
      <c r="H280" s="192">
        <v>85</v>
      </c>
      <c r="I280" s="192">
        <v>114.14</v>
      </c>
      <c r="J280" s="192">
        <f>SUM(H280:I280)</f>
        <v>199.14</v>
      </c>
    </row>
    <row r="281" spans="1:10" outlineLevel="2">
      <c r="A281" s="191" t="s">
        <v>219</v>
      </c>
      <c r="B281" s="191" t="s">
        <v>112</v>
      </c>
      <c r="C281" s="191" t="s">
        <v>214</v>
      </c>
      <c r="D281" s="191" t="s">
        <v>1666</v>
      </c>
      <c r="E281" s="191" t="s">
        <v>1499</v>
      </c>
      <c r="F281" s="191" t="s">
        <v>1500</v>
      </c>
      <c r="G281" s="191">
        <v>14</v>
      </c>
      <c r="H281" s="192">
        <v>0</v>
      </c>
      <c r="I281" s="192">
        <v>114.14</v>
      </c>
      <c r="J281" s="192">
        <f>SUM(H281:I281)</f>
        <v>114.14</v>
      </c>
    </row>
    <row r="282" spans="1:10" outlineLevel="2">
      <c r="A282" s="191" t="s">
        <v>220</v>
      </c>
      <c r="B282" s="191" t="s">
        <v>112</v>
      </c>
      <c r="C282" s="191" t="s">
        <v>214</v>
      </c>
      <c r="D282" s="191" t="s">
        <v>1671</v>
      </c>
      <c r="E282" s="191" t="s">
        <v>2676</v>
      </c>
      <c r="F282" s="191" t="s">
        <v>1493</v>
      </c>
      <c r="G282" s="191">
        <v>14</v>
      </c>
      <c r="H282" s="192">
        <v>85</v>
      </c>
      <c r="I282" s="192">
        <v>117.94</v>
      </c>
      <c r="J282" s="192">
        <f>SUM(H282:I282)</f>
        <v>202.94</v>
      </c>
    </row>
    <row r="283" spans="1:10" outlineLevel="2">
      <c r="A283" s="191" t="s">
        <v>220</v>
      </c>
      <c r="B283" s="191" t="s">
        <v>112</v>
      </c>
      <c r="C283" s="191" t="s">
        <v>214</v>
      </c>
      <c r="D283" s="191" t="s">
        <v>1666</v>
      </c>
      <c r="E283" s="191" t="s">
        <v>1499</v>
      </c>
      <c r="F283" s="191" t="s">
        <v>1500</v>
      </c>
      <c r="G283" s="191">
        <v>14</v>
      </c>
      <c r="H283" s="192">
        <v>0</v>
      </c>
      <c r="I283" s="192">
        <v>117.94</v>
      </c>
      <c r="J283" s="192">
        <f>SUM(H283:I283)</f>
        <v>117.94</v>
      </c>
    </row>
    <row r="284" spans="1:10" outlineLevel="2">
      <c r="A284" s="191" t="s">
        <v>221</v>
      </c>
      <c r="B284" s="191" t="s">
        <v>98</v>
      </c>
      <c r="C284" s="191" t="s">
        <v>214</v>
      </c>
      <c r="D284" s="191" t="s">
        <v>1672</v>
      </c>
      <c r="E284" s="191" t="s">
        <v>2651</v>
      </c>
      <c r="F284" s="191" t="s">
        <v>2651</v>
      </c>
      <c r="G284" s="191">
        <v>7</v>
      </c>
      <c r="H284" s="192">
        <v>0</v>
      </c>
      <c r="I284" s="192">
        <v>157.03</v>
      </c>
      <c r="J284" s="192">
        <f>SUM(H284:I284)</f>
        <v>157.03</v>
      </c>
    </row>
    <row r="285" spans="1:10" outlineLevel="2">
      <c r="A285" s="191" t="s">
        <v>221</v>
      </c>
      <c r="B285" s="191" t="s">
        <v>98</v>
      </c>
      <c r="C285" s="191" t="s">
        <v>214</v>
      </c>
      <c r="D285" s="191" t="s">
        <v>1673</v>
      </c>
      <c r="E285" s="191" t="s">
        <v>1500</v>
      </c>
      <c r="F285" s="191" t="s">
        <v>1500</v>
      </c>
      <c r="G285" s="191">
        <v>7</v>
      </c>
      <c r="H285" s="192">
        <v>0</v>
      </c>
      <c r="I285" s="192">
        <v>179.54</v>
      </c>
      <c r="J285" s="192">
        <f>SUM(H285:I285)</f>
        <v>179.54</v>
      </c>
    </row>
    <row r="286" spans="1:10" outlineLevel="2">
      <c r="A286" s="191" t="s">
        <v>222</v>
      </c>
      <c r="B286" s="191" t="s">
        <v>98</v>
      </c>
      <c r="C286" s="191" t="s">
        <v>214</v>
      </c>
      <c r="D286" s="191" t="s">
        <v>1674</v>
      </c>
      <c r="E286" s="191" t="s">
        <v>1499</v>
      </c>
      <c r="F286" s="191" t="s">
        <v>1499</v>
      </c>
      <c r="G286" s="191">
        <v>7</v>
      </c>
      <c r="H286" s="192">
        <v>0</v>
      </c>
      <c r="I286" s="192">
        <v>132.83000000000001</v>
      </c>
      <c r="J286" s="192">
        <f>SUM(H286:I286)</f>
        <v>132.83000000000001</v>
      </c>
    </row>
    <row r="287" spans="1:10" outlineLevel="2">
      <c r="A287" s="191" t="s">
        <v>222</v>
      </c>
      <c r="B287" s="191" t="s">
        <v>98</v>
      </c>
      <c r="C287" s="191" t="s">
        <v>214</v>
      </c>
      <c r="D287" s="191" t="s">
        <v>1675</v>
      </c>
      <c r="E287" s="191" t="s">
        <v>2622</v>
      </c>
      <c r="F287" s="191" t="s">
        <v>2688</v>
      </c>
      <c r="G287" s="191">
        <v>9</v>
      </c>
      <c r="H287" s="192">
        <v>100</v>
      </c>
      <c r="I287" s="192">
        <v>175.62</v>
      </c>
      <c r="J287" s="192">
        <f>SUM(H287:I287)</f>
        <v>275.62</v>
      </c>
    </row>
    <row r="288" spans="1:10" outlineLevel="2">
      <c r="A288" s="191" t="s">
        <v>222</v>
      </c>
      <c r="B288" s="191" t="s">
        <v>98</v>
      </c>
      <c r="C288" s="191" t="s">
        <v>214</v>
      </c>
      <c r="D288" s="191" t="s">
        <v>1676</v>
      </c>
      <c r="E288" s="191" t="s">
        <v>2599</v>
      </c>
      <c r="F288" s="191" t="s">
        <v>2600</v>
      </c>
      <c r="G288" s="191">
        <v>14</v>
      </c>
      <c r="H288" s="192">
        <v>100</v>
      </c>
      <c r="I288" s="192">
        <v>273.18</v>
      </c>
      <c r="J288" s="192">
        <f>SUM(H288:I288)</f>
        <v>373.18</v>
      </c>
    </row>
    <row r="289" spans="1:10" outlineLevel="2">
      <c r="A289" s="191" t="s">
        <v>222</v>
      </c>
      <c r="B289" s="191" t="s">
        <v>98</v>
      </c>
      <c r="C289" s="191" t="s">
        <v>214</v>
      </c>
      <c r="D289" s="191" t="s">
        <v>1677</v>
      </c>
      <c r="E289" s="191" t="s">
        <v>2602</v>
      </c>
      <c r="F289" s="191" t="s">
        <v>2603</v>
      </c>
      <c r="G289" s="191">
        <v>21</v>
      </c>
      <c r="H289" s="192">
        <v>0</v>
      </c>
      <c r="I289" s="192">
        <v>411.75</v>
      </c>
      <c r="J289" s="192">
        <f>SUM(H289:I289)</f>
        <v>411.75</v>
      </c>
    </row>
    <row r="290" spans="1:10" outlineLevel="2">
      <c r="A290" s="191" t="s">
        <v>2811</v>
      </c>
      <c r="B290" s="191" t="s">
        <v>141</v>
      </c>
      <c r="C290" s="191" t="s">
        <v>214</v>
      </c>
      <c r="D290" s="191" t="s">
        <v>1666</v>
      </c>
      <c r="E290" s="191" t="s">
        <v>1499</v>
      </c>
      <c r="F290" s="191" t="s">
        <v>1499</v>
      </c>
      <c r="G290" s="191">
        <v>7</v>
      </c>
      <c r="H290" s="192">
        <v>0</v>
      </c>
      <c r="I290" s="192">
        <v>50.97</v>
      </c>
      <c r="J290" s="192">
        <f>SUM(H290:I290)</f>
        <v>50.97</v>
      </c>
    </row>
    <row r="291" spans="1:10" outlineLevel="2">
      <c r="A291" s="191" t="s">
        <v>2811</v>
      </c>
      <c r="B291" s="191" t="s">
        <v>141</v>
      </c>
      <c r="C291" s="191" t="s">
        <v>214</v>
      </c>
      <c r="D291" s="191" t="s">
        <v>1678</v>
      </c>
      <c r="E291" s="191" t="s">
        <v>2640</v>
      </c>
      <c r="F291" s="191" t="s">
        <v>2640</v>
      </c>
      <c r="G291" s="191">
        <v>7</v>
      </c>
      <c r="H291" s="192">
        <v>0</v>
      </c>
      <c r="I291" s="192">
        <v>50.97</v>
      </c>
      <c r="J291" s="192">
        <f>SUM(H291:I291)</f>
        <v>50.97</v>
      </c>
    </row>
    <row r="292" spans="1:10" outlineLevel="2">
      <c r="A292" s="191" t="s">
        <v>223</v>
      </c>
      <c r="B292" s="191" t="s">
        <v>116</v>
      </c>
      <c r="C292" s="191" t="s">
        <v>214</v>
      </c>
      <c r="D292" s="191" t="s">
        <v>1679</v>
      </c>
      <c r="E292" s="191" t="s">
        <v>2689</v>
      </c>
      <c r="F292" s="191" t="s">
        <v>2661</v>
      </c>
      <c r="G292" s="191">
        <v>14</v>
      </c>
      <c r="H292" s="192">
        <v>0</v>
      </c>
      <c r="I292" s="192">
        <v>126.22</v>
      </c>
      <c r="J292" s="192">
        <f>SUM(H292:I292)</f>
        <v>126.22</v>
      </c>
    </row>
    <row r="293" spans="1:10" outlineLevel="2">
      <c r="A293" s="191" t="s">
        <v>224</v>
      </c>
      <c r="B293" s="191" t="s">
        <v>98</v>
      </c>
      <c r="C293" s="191" t="s">
        <v>214</v>
      </c>
      <c r="D293" s="191" t="s">
        <v>1666</v>
      </c>
      <c r="E293" s="191" t="s">
        <v>1499</v>
      </c>
      <c r="F293" s="191" t="s">
        <v>1500</v>
      </c>
      <c r="G293" s="191">
        <v>14</v>
      </c>
      <c r="H293" s="192">
        <v>0</v>
      </c>
      <c r="I293" s="192">
        <v>302.76</v>
      </c>
      <c r="J293" s="192">
        <f>SUM(H293:I293)</f>
        <v>302.76</v>
      </c>
    </row>
    <row r="294" spans="1:10" outlineLevel="2">
      <c r="A294" s="191" t="s">
        <v>224</v>
      </c>
      <c r="B294" s="191" t="s">
        <v>98</v>
      </c>
      <c r="C294" s="191" t="s">
        <v>214</v>
      </c>
      <c r="D294" s="191" t="s">
        <v>1661</v>
      </c>
      <c r="E294" s="191" t="s">
        <v>1479</v>
      </c>
      <c r="F294" s="191" t="s">
        <v>2612</v>
      </c>
      <c r="G294" s="191">
        <v>28</v>
      </c>
      <c r="H294" s="192">
        <v>0</v>
      </c>
      <c r="I294" s="192">
        <v>602.55999999999995</v>
      </c>
      <c r="J294" s="192">
        <f>SUM(H294:I294)</f>
        <v>602.55999999999995</v>
      </c>
    </row>
    <row r="295" spans="1:10" outlineLevel="2">
      <c r="A295" s="191" t="s">
        <v>225</v>
      </c>
      <c r="B295" s="191" t="s">
        <v>98</v>
      </c>
      <c r="C295" s="191" t="s">
        <v>214</v>
      </c>
      <c r="D295" s="191" t="s">
        <v>1680</v>
      </c>
      <c r="E295" s="191" t="s">
        <v>2589</v>
      </c>
      <c r="F295" s="191" t="s">
        <v>2589</v>
      </c>
      <c r="G295" s="191">
        <v>7</v>
      </c>
      <c r="H295" s="192">
        <v>0</v>
      </c>
      <c r="I295" s="192">
        <v>158.74</v>
      </c>
      <c r="J295" s="192">
        <f>SUM(H295:I295)</f>
        <v>158.74</v>
      </c>
    </row>
    <row r="296" spans="1:10" outlineLevel="2">
      <c r="A296" s="191" t="s">
        <v>225</v>
      </c>
      <c r="B296" s="191" t="s">
        <v>98</v>
      </c>
      <c r="C296" s="191" t="s">
        <v>214</v>
      </c>
      <c r="D296" s="191" t="s">
        <v>1681</v>
      </c>
      <c r="E296" s="191" t="s">
        <v>2664</v>
      </c>
      <c r="F296" s="191" t="s">
        <v>2664</v>
      </c>
      <c r="G296" s="191">
        <v>7</v>
      </c>
      <c r="H296" s="192">
        <v>0</v>
      </c>
      <c r="I296" s="192">
        <v>158.74</v>
      </c>
      <c r="J296" s="192">
        <f>SUM(H296:I296)</f>
        <v>158.74</v>
      </c>
    </row>
    <row r="297" spans="1:10" outlineLevel="2">
      <c r="A297" s="191" t="s">
        <v>225</v>
      </c>
      <c r="B297" s="191" t="s">
        <v>98</v>
      </c>
      <c r="C297" s="191" t="s">
        <v>214</v>
      </c>
      <c r="D297" s="191" t="s">
        <v>1682</v>
      </c>
      <c r="E297" s="191" t="s">
        <v>2682</v>
      </c>
      <c r="F297" s="191" t="s">
        <v>2682</v>
      </c>
      <c r="G297" s="191">
        <v>7</v>
      </c>
      <c r="H297" s="192">
        <v>0</v>
      </c>
      <c r="I297" s="192">
        <v>159.51</v>
      </c>
      <c r="J297" s="192">
        <f>SUM(H297:I297)</f>
        <v>159.51</v>
      </c>
    </row>
    <row r="298" spans="1:10" outlineLevel="2">
      <c r="A298" s="191" t="s">
        <v>225</v>
      </c>
      <c r="B298" s="191" t="s">
        <v>98</v>
      </c>
      <c r="C298" s="191" t="s">
        <v>214</v>
      </c>
      <c r="D298" s="191" t="s">
        <v>1683</v>
      </c>
      <c r="E298" s="191" t="s">
        <v>2690</v>
      </c>
      <c r="F298" s="191" t="s">
        <v>2691</v>
      </c>
      <c r="G298" s="191">
        <v>14</v>
      </c>
      <c r="H298" s="192">
        <v>0</v>
      </c>
      <c r="I298" s="192">
        <v>317.48</v>
      </c>
      <c r="J298" s="192">
        <f>SUM(H298:I298)</f>
        <v>317.48</v>
      </c>
    </row>
    <row r="299" spans="1:10" outlineLevel="2">
      <c r="A299" s="191" t="s">
        <v>225</v>
      </c>
      <c r="B299" s="191" t="s">
        <v>98</v>
      </c>
      <c r="C299" s="191" t="s">
        <v>214</v>
      </c>
      <c r="D299" s="191" t="s">
        <v>1684</v>
      </c>
      <c r="E299" s="191" t="s">
        <v>2606</v>
      </c>
      <c r="F299" s="191" t="s">
        <v>1487</v>
      </c>
      <c r="G299" s="191">
        <v>21</v>
      </c>
      <c r="H299" s="192">
        <v>100</v>
      </c>
      <c r="I299" s="192">
        <v>476.22</v>
      </c>
      <c r="J299" s="192">
        <f>SUM(H299:I299)</f>
        <v>576.22</v>
      </c>
    </row>
    <row r="300" spans="1:10" outlineLevel="2">
      <c r="A300" s="191" t="s">
        <v>226</v>
      </c>
      <c r="B300" s="191" t="s">
        <v>98</v>
      </c>
      <c r="C300" s="191" t="s">
        <v>214</v>
      </c>
      <c r="D300" s="191" t="s">
        <v>1666</v>
      </c>
      <c r="E300" s="191" t="s">
        <v>1499</v>
      </c>
      <c r="F300" s="191" t="s">
        <v>1499</v>
      </c>
      <c r="G300" s="191">
        <v>7</v>
      </c>
      <c r="H300" s="192">
        <v>0</v>
      </c>
      <c r="I300" s="192">
        <v>137.25</v>
      </c>
      <c r="J300" s="192">
        <f>SUM(H300:I300)</f>
        <v>137.25</v>
      </c>
    </row>
    <row r="301" spans="1:10" outlineLevel="2">
      <c r="A301" s="191" t="s">
        <v>2812</v>
      </c>
      <c r="B301" s="191" t="s">
        <v>98</v>
      </c>
      <c r="C301" s="191" t="s">
        <v>214</v>
      </c>
      <c r="D301" s="191" t="s">
        <v>1677</v>
      </c>
      <c r="E301" s="191" t="s">
        <v>2592</v>
      </c>
      <c r="F301" s="191" t="s">
        <v>2603</v>
      </c>
      <c r="G301" s="191">
        <v>35</v>
      </c>
      <c r="H301" s="192">
        <v>0</v>
      </c>
      <c r="I301" s="192">
        <v>806.15</v>
      </c>
      <c r="J301" s="192">
        <f>SUM(H301:I301)</f>
        <v>806.15</v>
      </c>
    </row>
    <row r="302" spans="1:10" outlineLevel="2">
      <c r="A302" s="191" t="s">
        <v>227</v>
      </c>
      <c r="B302" s="191" t="s">
        <v>98</v>
      </c>
      <c r="C302" s="191" t="s">
        <v>214</v>
      </c>
      <c r="D302" s="191" t="s">
        <v>1666</v>
      </c>
      <c r="E302" s="191" t="s">
        <v>1499</v>
      </c>
      <c r="F302" s="191" t="s">
        <v>1499</v>
      </c>
      <c r="G302" s="191">
        <v>7</v>
      </c>
      <c r="H302" s="192">
        <v>0</v>
      </c>
      <c r="I302" s="192">
        <v>120.6</v>
      </c>
      <c r="J302" s="192">
        <f>SUM(H302:I302)</f>
        <v>120.6</v>
      </c>
    </row>
    <row r="303" spans="1:10" outlineLevel="2">
      <c r="A303" s="191" t="s">
        <v>228</v>
      </c>
      <c r="B303" s="191" t="s">
        <v>98</v>
      </c>
      <c r="C303" s="191" t="s">
        <v>214</v>
      </c>
      <c r="D303" s="191" t="s">
        <v>1685</v>
      </c>
      <c r="E303" s="191" t="s">
        <v>1483</v>
      </c>
      <c r="F303" s="191" t="s">
        <v>1483</v>
      </c>
      <c r="G303" s="191">
        <v>7</v>
      </c>
      <c r="H303" s="192">
        <v>0</v>
      </c>
      <c r="I303" s="192">
        <v>134.88</v>
      </c>
      <c r="J303" s="192">
        <f>SUM(H303:I303)</f>
        <v>134.88</v>
      </c>
    </row>
    <row r="304" spans="1:10" outlineLevel="2">
      <c r="A304" s="191" t="s">
        <v>228</v>
      </c>
      <c r="B304" s="191" t="s">
        <v>98</v>
      </c>
      <c r="C304" s="191" t="s">
        <v>214</v>
      </c>
      <c r="D304" s="191" t="s">
        <v>1666</v>
      </c>
      <c r="E304" s="191" t="s">
        <v>1499</v>
      </c>
      <c r="F304" s="191" t="s">
        <v>1500</v>
      </c>
      <c r="G304" s="191">
        <v>14</v>
      </c>
      <c r="H304" s="192">
        <v>0</v>
      </c>
      <c r="I304" s="192">
        <v>262.33999999999997</v>
      </c>
      <c r="J304" s="192">
        <f>SUM(H304:I304)</f>
        <v>262.33999999999997</v>
      </c>
    </row>
    <row r="305" spans="1:10" outlineLevel="2">
      <c r="A305" s="191" t="s">
        <v>228</v>
      </c>
      <c r="B305" s="191" t="s">
        <v>98</v>
      </c>
      <c r="C305" s="191" t="s">
        <v>214</v>
      </c>
      <c r="D305" s="191" t="s">
        <v>1686</v>
      </c>
      <c r="E305" s="191" t="s">
        <v>2690</v>
      </c>
      <c r="F305" s="191" t="s">
        <v>2692</v>
      </c>
      <c r="G305" s="191">
        <v>21</v>
      </c>
      <c r="H305" s="192">
        <v>0</v>
      </c>
      <c r="I305" s="192">
        <v>404.64</v>
      </c>
      <c r="J305" s="192">
        <f>SUM(H305:I305)</f>
        <v>404.64</v>
      </c>
    </row>
    <row r="306" spans="1:10" outlineLevel="2">
      <c r="A306" s="191" t="s">
        <v>229</v>
      </c>
      <c r="B306" s="191" t="s">
        <v>98</v>
      </c>
      <c r="C306" s="191" t="s">
        <v>214</v>
      </c>
      <c r="D306" s="191" t="s">
        <v>1687</v>
      </c>
      <c r="E306" s="191" t="s">
        <v>2651</v>
      </c>
      <c r="F306" s="191" t="s">
        <v>2651</v>
      </c>
      <c r="G306" s="191">
        <v>7</v>
      </c>
      <c r="H306" s="192">
        <v>0</v>
      </c>
      <c r="I306" s="192">
        <v>150.63999999999999</v>
      </c>
      <c r="J306" s="192">
        <f>SUM(H306:I306)</f>
        <v>150.63999999999999</v>
      </c>
    </row>
    <row r="307" spans="1:10" outlineLevel="2">
      <c r="A307" s="191" t="s">
        <v>229</v>
      </c>
      <c r="B307" s="191" t="s">
        <v>98</v>
      </c>
      <c r="C307" s="191" t="s">
        <v>214</v>
      </c>
      <c r="D307" s="191" t="s">
        <v>1688</v>
      </c>
      <c r="E307" s="191" t="s">
        <v>1500</v>
      </c>
      <c r="F307" s="191" t="s">
        <v>1500</v>
      </c>
      <c r="G307" s="191">
        <v>7</v>
      </c>
      <c r="H307" s="192">
        <v>0</v>
      </c>
      <c r="I307" s="192">
        <v>146.5</v>
      </c>
      <c r="J307" s="192">
        <f>SUM(H307:I307)</f>
        <v>146.5</v>
      </c>
    </row>
    <row r="308" spans="1:10" outlineLevel="2">
      <c r="A308" s="191" t="s">
        <v>2813</v>
      </c>
      <c r="B308" s="191" t="s">
        <v>98</v>
      </c>
      <c r="C308" s="191" t="s">
        <v>214</v>
      </c>
      <c r="D308" s="191" t="s">
        <v>1666</v>
      </c>
      <c r="E308" s="191" t="s">
        <v>1499</v>
      </c>
      <c r="F308" s="191" t="s">
        <v>1499</v>
      </c>
      <c r="G308" s="191">
        <v>7</v>
      </c>
      <c r="H308" s="192">
        <v>0</v>
      </c>
      <c r="I308" s="192">
        <v>159.51</v>
      </c>
      <c r="J308" s="192">
        <f>SUM(H308:I308)</f>
        <v>159.51</v>
      </c>
    </row>
    <row r="309" spans="1:10" outlineLevel="2">
      <c r="A309" s="191" t="s">
        <v>230</v>
      </c>
      <c r="B309" s="191" t="s">
        <v>141</v>
      </c>
      <c r="C309" s="191" t="s">
        <v>214</v>
      </c>
      <c r="D309" s="191" t="s">
        <v>1665</v>
      </c>
      <c r="E309" s="191" t="s">
        <v>2685</v>
      </c>
      <c r="F309" s="191" t="s">
        <v>2628</v>
      </c>
      <c r="G309" s="191">
        <v>21</v>
      </c>
      <c r="H309" s="192">
        <v>0</v>
      </c>
      <c r="I309" s="192">
        <v>152.16</v>
      </c>
      <c r="J309" s="192">
        <f>SUM(H309:I309)</f>
        <v>152.16</v>
      </c>
    </row>
    <row r="310" spans="1:10" outlineLevel="2">
      <c r="A310" s="191" t="s">
        <v>230</v>
      </c>
      <c r="B310" s="191" t="s">
        <v>147</v>
      </c>
      <c r="C310" s="191" t="s">
        <v>214</v>
      </c>
      <c r="D310" s="191" t="s">
        <v>1666</v>
      </c>
      <c r="E310" s="191" t="s">
        <v>1500</v>
      </c>
      <c r="F310" s="191" t="s">
        <v>1500</v>
      </c>
      <c r="G310" s="191">
        <v>7</v>
      </c>
      <c r="H310" s="192">
        <v>0</v>
      </c>
      <c r="I310" s="192">
        <v>54.53</v>
      </c>
      <c r="J310" s="192">
        <f>SUM(H310:I310)</f>
        <v>54.53</v>
      </c>
    </row>
    <row r="311" spans="1:10" outlineLevel="2">
      <c r="A311" s="191" t="s">
        <v>230</v>
      </c>
      <c r="B311" s="191" t="s">
        <v>147</v>
      </c>
      <c r="C311" s="191" t="s">
        <v>214</v>
      </c>
      <c r="D311" s="191" t="s">
        <v>1678</v>
      </c>
      <c r="E311" s="191" t="s">
        <v>2640</v>
      </c>
      <c r="F311" s="191" t="s">
        <v>2640</v>
      </c>
      <c r="G311" s="191">
        <v>7</v>
      </c>
      <c r="H311" s="192">
        <v>100</v>
      </c>
      <c r="I311" s="192">
        <v>54.53</v>
      </c>
      <c r="J311" s="192">
        <f>SUM(H311:I311)</f>
        <v>154.53</v>
      </c>
    </row>
    <row r="312" spans="1:10" outlineLevel="2">
      <c r="A312" s="191" t="s">
        <v>231</v>
      </c>
      <c r="B312" s="191" t="s">
        <v>116</v>
      </c>
      <c r="C312" s="191" t="s">
        <v>214</v>
      </c>
      <c r="D312" s="191" t="s">
        <v>1686</v>
      </c>
      <c r="E312" s="191" t="s">
        <v>2690</v>
      </c>
      <c r="F312" s="191" t="s">
        <v>2692</v>
      </c>
      <c r="G312" s="191">
        <v>21</v>
      </c>
      <c r="H312" s="192">
        <v>0</v>
      </c>
      <c r="I312" s="192">
        <v>189.33</v>
      </c>
      <c r="J312" s="192">
        <f>SUM(H312:I312)</f>
        <v>189.33</v>
      </c>
    </row>
    <row r="313" spans="1:10" outlineLevel="2">
      <c r="A313" s="191" t="s">
        <v>231</v>
      </c>
      <c r="B313" s="191" t="s">
        <v>189</v>
      </c>
      <c r="C313" s="191" t="s">
        <v>214</v>
      </c>
      <c r="D313" s="191" t="s">
        <v>1689</v>
      </c>
      <c r="E313" s="191" t="s">
        <v>2682</v>
      </c>
      <c r="F313" s="191" t="s">
        <v>2603</v>
      </c>
      <c r="G313" s="191">
        <v>28</v>
      </c>
      <c r="H313" s="192">
        <v>100</v>
      </c>
      <c r="I313" s="192">
        <v>271.44</v>
      </c>
      <c r="J313" s="192">
        <f>SUM(H313:I313)</f>
        <v>371.44</v>
      </c>
    </row>
    <row r="314" spans="1:10" outlineLevel="2">
      <c r="A314" s="191" t="s">
        <v>232</v>
      </c>
      <c r="B314" s="191" t="s">
        <v>116</v>
      </c>
      <c r="C314" s="191" t="s">
        <v>214</v>
      </c>
      <c r="D314" s="191" t="s">
        <v>1690</v>
      </c>
      <c r="E314" s="191" t="s">
        <v>2682</v>
      </c>
      <c r="F314" s="191" t="s">
        <v>2603</v>
      </c>
      <c r="G314" s="191">
        <v>28</v>
      </c>
      <c r="H314" s="192">
        <v>100</v>
      </c>
      <c r="I314" s="192">
        <v>253.68</v>
      </c>
      <c r="J314" s="192">
        <f>SUM(H314:I314)</f>
        <v>353.68</v>
      </c>
    </row>
    <row r="315" spans="1:10" outlineLevel="2">
      <c r="A315" s="191" t="s">
        <v>233</v>
      </c>
      <c r="B315" s="191" t="s">
        <v>98</v>
      </c>
      <c r="C315" s="191" t="s">
        <v>214</v>
      </c>
      <c r="D315" s="191" t="s">
        <v>1676</v>
      </c>
      <c r="E315" s="191" t="s">
        <v>2599</v>
      </c>
      <c r="F315" s="191" t="s">
        <v>2600</v>
      </c>
      <c r="G315" s="191">
        <v>14</v>
      </c>
      <c r="H315" s="192">
        <v>83</v>
      </c>
      <c r="I315" s="192">
        <v>269.76</v>
      </c>
      <c r="J315" s="192">
        <f>SUM(H315:I315)</f>
        <v>352.76</v>
      </c>
    </row>
    <row r="316" spans="1:10" outlineLevel="2">
      <c r="A316" s="191" t="s">
        <v>233</v>
      </c>
      <c r="B316" s="191" t="s">
        <v>98</v>
      </c>
      <c r="C316" s="191" t="s">
        <v>214</v>
      </c>
      <c r="D316" s="191" t="s">
        <v>1691</v>
      </c>
      <c r="E316" s="191" t="s">
        <v>2657</v>
      </c>
      <c r="F316" s="191" t="s">
        <v>1487</v>
      </c>
      <c r="G316" s="191">
        <v>28</v>
      </c>
      <c r="H316" s="192">
        <v>0</v>
      </c>
      <c r="I316" s="192">
        <v>539.52</v>
      </c>
      <c r="J316" s="192">
        <f>SUM(H316:I316)</f>
        <v>539.52</v>
      </c>
    </row>
    <row r="317" spans="1:10" outlineLevel="2">
      <c r="A317" s="191" t="s">
        <v>2814</v>
      </c>
      <c r="B317" s="191" t="s">
        <v>141</v>
      </c>
      <c r="C317" s="191" t="s">
        <v>214</v>
      </c>
      <c r="D317" s="191" t="s">
        <v>1666</v>
      </c>
      <c r="E317" s="191" t="s">
        <v>1500</v>
      </c>
      <c r="F317" s="191" t="s">
        <v>1500</v>
      </c>
      <c r="G317" s="191">
        <v>7</v>
      </c>
      <c r="H317" s="192">
        <v>0</v>
      </c>
      <c r="I317" s="192">
        <v>50.97</v>
      </c>
      <c r="J317" s="192">
        <f>SUM(H317:I317)</f>
        <v>50.97</v>
      </c>
    </row>
    <row r="318" spans="1:10" outlineLevel="2">
      <c r="A318" s="191" t="s">
        <v>2814</v>
      </c>
      <c r="B318" s="191" t="s">
        <v>141</v>
      </c>
      <c r="C318" s="191" t="s">
        <v>214</v>
      </c>
      <c r="D318" s="191" t="s">
        <v>1678</v>
      </c>
      <c r="E318" s="191" t="s">
        <v>2640</v>
      </c>
      <c r="F318" s="191" t="s">
        <v>2640</v>
      </c>
      <c r="G318" s="191">
        <v>7</v>
      </c>
      <c r="H318" s="192">
        <v>0</v>
      </c>
      <c r="I318" s="192">
        <v>50.97</v>
      </c>
      <c r="J318" s="192">
        <f>SUM(H318:I318)</f>
        <v>50.97</v>
      </c>
    </row>
    <row r="319" spans="1:10" outlineLevel="1">
      <c r="A319" s="193" t="s">
        <v>2995</v>
      </c>
      <c r="B319" s="194"/>
      <c r="C319" s="194"/>
      <c r="D319" s="194"/>
      <c r="E319" s="194"/>
      <c r="F319" s="194"/>
      <c r="G319" s="194">
        <f>SUBTOTAL(9,G267:G318)</f>
        <v>786</v>
      </c>
      <c r="H319" s="195">
        <f>SUBTOTAL(9,H267:H318)</f>
        <v>1138</v>
      </c>
      <c r="I319" s="195">
        <f>SUBTOTAL(9,I267:I318)</f>
        <v>12485.519999999999</v>
      </c>
      <c r="J319" s="195">
        <f>SUBTOTAL(9,J267:J318)</f>
        <v>13623.52</v>
      </c>
    </row>
    <row r="320" spans="1:10" outlineLevel="2">
      <c r="A320" s="191" t="s">
        <v>234</v>
      </c>
      <c r="B320" s="191" t="s">
        <v>98</v>
      </c>
      <c r="C320" s="191" t="s">
        <v>235</v>
      </c>
      <c r="D320" s="191" t="s">
        <v>1692</v>
      </c>
      <c r="E320" s="191" t="s">
        <v>2693</v>
      </c>
      <c r="F320" s="191" t="s">
        <v>2589</v>
      </c>
      <c r="G320" s="191">
        <v>28</v>
      </c>
      <c r="H320" s="192">
        <v>0</v>
      </c>
      <c r="I320" s="192">
        <v>451.48</v>
      </c>
      <c r="J320" s="192">
        <f>SUM(H320:I320)</f>
        <v>451.48</v>
      </c>
    </row>
    <row r="321" spans="1:10" outlineLevel="2">
      <c r="A321" s="191" t="s">
        <v>234</v>
      </c>
      <c r="B321" s="191" t="s">
        <v>98</v>
      </c>
      <c r="C321" s="191" t="s">
        <v>235</v>
      </c>
      <c r="D321" s="191" t="s">
        <v>1693</v>
      </c>
      <c r="E321" s="191" t="s">
        <v>2694</v>
      </c>
      <c r="F321" s="191" t="s">
        <v>2681</v>
      </c>
      <c r="G321" s="191">
        <v>28</v>
      </c>
      <c r="H321" s="192">
        <v>0</v>
      </c>
      <c r="I321" s="192">
        <v>537.79999999999995</v>
      </c>
      <c r="J321" s="192">
        <f>SUM(H321:I321)</f>
        <v>537.79999999999995</v>
      </c>
    </row>
    <row r="322" spans="1:10" outlineLevel="2">
      <c r="A322" s="191" t="s">
        <v>236</v>
      </c>
      <c r="B322" s="191" t="s">
        <v>98</v>
      </c>
      <c r="C322" s="191" t="s">
        <v>235</v>
      </c>
      <c r="D322" s="191" t="s">
        <v>1694</v>
      </c>
      <c r="E322" s="191" t="s">
        <v>1479</v>
      </c>
      <c r="F322" s="191" t="s">
        <v>2612</v>
      </c>
      <c r="G322" s="191">
        <v>28</v>
      </c>
      <c r="H322" s="192">
        <v>0</v>
      </c>
      <c r="I322" s="192">
        <v>711.6</v>
      </c>
      <c r="J322" s="192">
        <f>SUM(H322:I322)</f>
        <v>711.6</v>
      </c>
    </row>
    <row r="323" spans="1:10" outlineLevel="2">
      <c r="A323" s="191" t="s">
        <v>238</v>
      </c>
      <c r="B323" s="191" t="s">
        <v>237</v>
      </c>
      <c r="C323" s="191" t="s">
        <v>235</v>
      </c>
      <c r="D323" s="191" t="s">
        <v>1695</v>
      </c>
      <c r="E323" s="191" t="s">
        <v>2615</v>
      </c>
      <c r="F323" s="191" t="s">
        <v>1500</v>
      </c>
      <c r="G323" s="191">
        <v>28</v>
      </c>
      <c r="H323" s="192">
        <v>0</v>
      </c>
      <c r="I323" s="192">
        <v>832.76</v>
      </c>
      <c r="J323" s="192">
        <f>SUM(H323:I323)</f>
        <v>832.76</v>
      </c>
    </row>
    <row r="324" spans="1:10" outlineLevel="2">
      <c r="A324" s="191" t="s">
        <v>238</v>
      </c>
      <c r="B324" s="191" t="s">
        <v>237</v>
      </c>
      <c r="C324" s="191" t="s">
        <v>235</v>
      </c>
      <c r="D324" s="191" t="s">
        <v>1677</v>
      </c>
      <c r="E324" s="191" t="s">
        <v>2682</v>
      </c>
      <c r="F324" s="191" t="s">
        <v>2603</v>
      </c>
      <c r="G324" s="191">
        <v>28</v>
      </c>
      <c r="H324" s="192">
        <v>0</v>
      </c>
      <c r="I324" s="192">
        <v>832.76</v>
      </c>
      <c r="J324" s="192">
        <f>SUM(H324:I324)</f>
        <v>832.76</v>
      </c>
    </row>
    <row r="325" spans="1:10" outlineLevel="2">
      <c r="A325" s="191" t="s">
        <v>240</v>
      </c>
      <c r="B325" s="191" t="s">
        <v>98</v>
      </c>
      <c r="C325" s="191" t="s">
        <v>235</v>
      </c>
      <c r="D325" s="191" t="s">
        <v>1696</v>
      </c>
      <c r="E325" s="191" t="s">
        <v>2640</v>
      </c>
      <c r="F325" s="191" t="s">
        <v>2640</v>
      </c>
      <c r="G325" s="191">
        <v>7</v>
      </c>
      <c r="H325" s="192">
        <v>0</v>
      </c>
      <c r="I325" s="192">
        <v>169.36</v>
      </c>
      <c r="J325" s="192">
        <f>SUM(H325:I325)</f>
        <v>169.36</v>
      </c>
    </row>
    <row r="326" spans="1:10" outlineLevel="2">
      <c r="A326" s="191" t="s">
        <v>240</v>
      </c>
      <c r="B326" s="191" t="s">
        <v>98</v>
      </c>
      <c r="C326" s="191" t="s">
        <v>235</v>
      </c>
      <c r="D326" s="191" t="s">
        <v>1697</v>
      </c>
      <c r="E326" s="191" t="s">
        <v>2684</v>
      </c>
      <c r="F326" s="191" t="s">
        <v>1481</v>
      </c>
      <c r="G326" s="191">
        <v>21</v>
      </c>
      <c r="H326" s="192">
        <v>0</v>
      </c>
      <c r="I326" s="192">
        <v>505.59</v>
      </c>
      <c r="J326" s="192">
        <f>SUM(H326:I326)</f>
        <v>505.59</v>
      </c>
    </row>
    <row r="327" spans="1:10" outlineLevel="2">
      <c r="A327" s="191" t="s">
        <v>241</v>
      </c>
      <c r="B327" s="191" t="s">
        <v>98</v>
      </c>
      <c r="C327" s="191" t="s">
        <v>235</v>
      </c>
      <c r="D327" s="191" t="s">
        <v>1666</v>
      </c>
      <c r="E327" s="191" t="s">
        <v>1499</v>
      </c>
      <c r="F327" s="191" t="s">
        <v>1499</v>
      </c>
      <c r="G327" s="191">
        <v>7</v>
      </c>
      <c r="H327" s="192">
        <v>0</v>
      </c>
      <c r="I327" s="192">
        <v>151.38</v>
      </c>
      <c r="J327" s="192">
        <f>SUM(H327:I327)</f>
        <v>151.38</v>
      </c>
    </row>
    <row r="328" spans="1:10" outlineLevel="2">
      <c r="A328" s="191" t="s">
        <v>241</v>
      </c>
      <c r="B328" s="191" t="s">
        <v>98</v>
      </c>
      <c r="C328" s="191" t="s">
        <v>235</v>
      </c>
      <c r="D328" s="191" t="s">
        <v>1692</v>
      </c>
      <c r="E328" s="191" t="s">
        <v>2693</v>
      </c>
      <c r="F328" s="191" t="s">
        <v>2589</v>
      </c>
      <c r="G328" s="191">
        <v>28</v>
      </c>
      <c r="H328" s="192">
        <v>0</v>
      </c>
      <c r="I328" s="192">
        <v>602.55999999999995</v>
      </c>
      <c r="J328" s="192">
        <f>SUM(H328:I328)</f>
        <v>602.55999999999995</v>
      </c>
    </row>
    <row r="329" spans="1:10" outlineLevel="2">
      <c r="A329" s="191" t="s">
        <v>2815</v>
      </c>
      <c r="B329" s="191" t="s">
        <v>239</v>
      </c>
      <c r="C329" s="191" t="s">
        <v>235</v>
      </c>
      <c r="D329" s="191" t="s">
        <v>1698</v>
      </c>
      <c r="E329" s="191" t="s">
        <v>2591</v>
      </c>
      <c r="F329" s="191" t="s">
        <v>2591</v>
      </c>
      <c r="G329" s="191">
        <v>7</v>
      </c>
      <c r="H329" s="192">
        <v>0</v>
      </c>
      <c r="I329" s="192">
        <v>198.86</v>
      </c>
      <c r="J329" s="192">
        <f>SUM(H329:I329)</f>
        <v>198.86</v>
      </c>
    </row>
    <row r="330" spans="1:10" outlineLevel="2">
      <c r="A330" s="191" t="s">
        <v>2815</v>
      </c>
      <c r="B330" s="191" t="s">
        <v>239</v>
      </c>
      <c r="C330" s="191" t="s">
        <v>235</v>
      </c>
      <c r="D330" s="191" t="s">
        <v>1696</v>
      </c>
      <c r="E330" s="191" t="s">
        <v>2645</v>
      </c>
      <c r="F330" s="191" t="s">
        <v>2645</v>
      </c>
      <c r="G330" s="191">
        <v>7</v>
      </c>
      <c r="H330" s="192">
        <v>0</v>
      </c>
      <c r="I330" s="192">
        <v>199.83</v>
      </c>
      <c r="J330" s="192">
        <f>SUM(H330:I330)</f>
        <v>199.83</v>
      </c>
    </row>
    <row r="331" spans="1:10" outlineLevel="2">
      <c r="A331" s="191" t="s">
        <v>2815</v>
      </c>
      <c r="B331" s="191" t="s">
        <v>239</v>
      </c>
      <c r="C331" s="191" t="s">
        <v>235</v>
      </c>
      <c r="D331" s="191" t="s">
        <v>1668</v>
      </c>
      <c r="E331" s="191" t="s">
        <v>2663</v>
      </c>
      <c r="F331" s="191" t="s">
        <v>2663</v>
      </c>
      <c r="G331" s="191">
        <v>7</v>
      </c>
      <c r="H331" s="192">
        <v>0</v>
      </c>
      <c r="I331" s="192">
        <v>259.77999999999997</v>
      </c>
      <c r="J331" s="192">
        <f>SUM(H331:I331)</f>
        <v>259.77999999999997</v>
      </c>
    </row>
    <row r="332" spans="1:10" outlineLevel="2">
      <c r="A332" s="191" t="s">
        <v>2815</v>
      </c>
      <c r="B332" s="191" t="s">
        <v>239</v>
      </c>
      <c r="C332" s="191" t="s">
        <v>235</v>
      </c>
      <c r="D332" s="191" t="s">
        <v>1699</v>
      </c>
      <c r="E332" s="191" t="s">
        <v>2592</v>
      </c>
      <c r="F332" s="191" t="s">
        <v>2603</v>
      </c>
      <c r="G332" s="191">
        <v>35</v>
      </c>
      <c r="H332" s="192">
        <v>0</v>
      </c>
      <c r="I332" s="192">
        <v>999.15</v>
      </c>
      <c r="J332" s="192">
        <f>SUM(H332:I332)</f>
        <v>999.15</v>
      </c>
    </row>
    <row r="333" spans="1:10" outlineLevel="2">
      <c r="A333" s="191" t="s">
        <v>242</v>
      </c>
      <c r="B333" s="191" t="s">
        <v>98</v>
      </c>
      <c r="C333" s="191" t="s">
        <v>235</v>
      </c>
      <c r="D333" s="191" t="s">
        <v>1666</v>
      </c>
      <c r="E333" s="191" t="s">
        <v>1499</v>
      </c>
      <c r="F333" s="191" t="s">
        <v>1499</v>
      </c>
      <c r="G333" s="191">
        <v>7</v>
      </c>
      <c r="H333" s="192">
        <v>0</v>
      </c>
      <c r="I333" s="192">
        <v>127.55</v>
      </c>
      <c r="J333" s="192">
        <f>SUM(H333:I333)</f>
        <v>127.55</v>
      </c>
    </row>
    <row r="334" spans="1:10" outlineLevel="2">
      <c r="A334" s="191" t="s">
        <v>243</v>
      </c>
      <c r="B334" s="191" t="s">
        <v>98</v>
      </c>
      <c r="C334" s="191" t="s">
        <v>235</v>
      </c>
      <c r="D334" s="191" t="s">
        <v>1661</v>
      </c>
      <c r="E334" s="191" t="s">
        <v>2683</v>
      </c>
      <c r="F334" s="191" t="s">
        <v>2612</v>
      </c>
      <c r="G334" s="191">
        <v>21</v>
      </c>
      <c r="H334" s="192">
        <v>0</v>
      </c>
      <c r="I334" s="192">
        <v>446.82</v>
      </c>
      <c r="J334" s="192">
        <f>SUM(H334:I334)</f>
        <v>446.82</v>
      </c>
    </row>
    <row r="335" spans="1:10" outlineLevel="2">
      <c r="A335" s="191" t="s">
        <v>2816</v>
      </c>
      <c r="B335" s="191" t="s">
        <v>98</v>
      </c>
      <c r="C335" s="191" t="s">
        <v>235</v>
      </c>
      <c r="D335" s="191" t="s">
        <v>1661</v>
      </c>
      <c r="E335" s="191" t="s">
        <v>2683</v>
      </c>
      <c r="F335" s="191" t="s">
        <v>2612</v>
      </c>
      <c r="G335" s="191">
        <v>21</v>
      </c>
      <c r="H335" s="192">
        <v>0</v>
      </c>
      <c r="I335" s="192">
        <v>510.69</v>
      </c>
      <c r="J335" s="192">
        <f>SUM(H335:I335)</f>
        <v>510.69</v>
      </c>
    </row>
    <row r="336" spans="1:10" outlineLevel="2">
      <c r="A336" s="191" t="s">
        <v>2816</v>
      </c>
      <c r="B336" s="191" t="s">
        <v>98</v>
      </c>
      <c r="C336" s="191" t="s">
        <v>235</v>
      </c>
      <c r="D336" s="191" t="s">
        <v>1700</v>
      </c>
      <c r="E336" s="191" t="s">
        <v>2651</v>
      </c>
      <c r="F336" s="191" t="s">
        <v>1481</v>
      </c>
      <c r="G336" s="191">
        <v>28</v>
      </c>
      <c r="H336" s="192">
        <v>0</v>
      </c>
      <c r="I336" s="192">
        <v>680.92</v>
      </c>
      <c r="J336" s="192">
        <f>SUM(H336:I336)</f>
        <v>680.92</v>
      </c>
    </row>
    <row r="337" spans="1:10" outlineLevel="1">
      <c r="A337" s="193" t="s">
        <v>2996</v>
      </c>
      <c r="B337" s="194"/>
      <c r="C337" s="194"/>
      <c r="D337" s="194"/>
      <c r="E337" s="194"/>
      <c r="F337" s="194"/>
      <c r="G337" s="194">
        <f>SUBTOTAL(9,G320:G336)</f>
        <v>336</v>
      </c>
      <c r="H337" s="195">
        <f>SUBTOTAL(9,H320:H336)</f>
        <v>0</v>
      </c>
      <c r="I337" s="195">
        <f>SUBTOTAL(9,I320:I336)</f>
        <v>8218.89</v>
      </c>
      <c r="J337" s="195">
        <f>SUBTOTAL(9,J320:J336)</f>
        <v>8218.89</v>
      </c>
    </row>
    <row r="338" spans="1:10" outlineLevel="2">
      <c r="A338" s="191" t="s">
        <v>244</v>
      </c>
      <c r="B338" s="191" t="s">
        <v>245</v>
      </c>
      <c r="C338" s="191" t="s">
        <v>246</v>
      </c>
      <c r="D338" s="191" t="s">
        <v>1513</v>
      </c>
      <c r="E338" s="191" t="s">
        <v>2596</v>
      </c>
      <c r="F338" s="191" t="s">
        <v>2596</v>
      </c>
      <c r="G338" s="191">
        <v>7</v>
      </c>
      <c r="H338" s="192">
        <v>100</v>
      </c>
      <c r="I338" s="192">
        <v>162.13999999999999</v>
      </c>
      <c r="J338" s="192">
        <f>SUM(H338:I338)</f>
        <v>262.14</v>
      </c>
    </row>
    <row r="339" spans="1:10" outlineLevel="2">
      <c r="A339" s="191" t="s">
        <v>244</v>
      </c>
      <c r="B339" s="191" t="s">
        <v>245</v>
      </c>
      <c r="C339" s="191" t="s">
        <v>246</v>
      </c>
      <c r="D339" s="191" t="s">
        <v>1701</v>
      </c>
      <c r="E339" s="191" t="s">
        <v>2593</v>
      </c>
      <c r="F339" s="191" t="s">
        <v>1487</v>
      </c>
      <c r="G339" s="191">
        <v>14</v>
      </c>
      <c r="H339" s="192">
        <v>0</v>
      </c>
      <c r="I339" s="192">
        <v>324.27999999999997</v>
      </c>
      <c r="J339" s="192">
        <f>SUM(H339:I339)</f>
        <v>324.27999999999997</v>
      </c>
    </row>
    <row r="340" spans="1:10" outlineLevel="2">
      <c r="A340" s="191" t="s">
        <v>247</v>
      </c>
      <c r="B340" s="191" t="s">
        <v>116</v>
      </c>
      <c r="C340" s="191" t="s">
        <v>246</v>
      </c>
      <c r="D340" s="191" t="s">
        <v>1702</v>
      </c>
      <c r="E340" s="191" t="s">
        <v>1504</v>
      </c>
      <c r="F340" s="191" t="s">
        <v>1504</v>
      </c>
      <c r="G340" s="191">
        <v>7</v>
      </c>
      <c r="H340" s="192">
        <v>100</v>
      </c>
      <c r="I340" s="192">
        <v>63.11</v>
      </c>
      <c r="J340" s="192">
        <f>SUM(H340:I340)</f>
        <v>163.11000000000001</v>
      </c>
    </row>
    <row r="341" spans="1:10" outlineLevel="2">
      <c r="A341" s="191" t="s">
        <v>247</v>
      </c>
      <c r="B341" s="191" t="s">
        <v>189</v>
      </c>
      <c r="C341" s="191" t="s">
        <v>246</v>
      </c>
      <c r="D341" s="191" t="s">
        <v>1703</v>
      </c>
      <c r="E341" s="191" t="s">
        <v>2681</v>
      </c>
      <c r="F341" s="191" t="s">
        <v>2681</v>
      </c>
      <c r="G341" s="191">
        <v>7</v>
      </c>
      <c r="H341" s="192">
        <v>0</v>
      </c>
      <c r="I341" s="192">
        <v>65.67</v>
      </c>
      <c r="J341" s="192">
        <f>SUM(H341:I341)</f>
        <v>65.67</v>
      </c>
    </row>
    <row r="342" spans="1:10" outlineLevel="2">
      <c r="A342" s="191" t="s">
        <v>248</v>
      </c>
      <c r="B342" s="191" t="s">
        <v>245</v>
      </c>
      <c r="C342" s="191" t="s">
        <v>246</v>
      </c>
      <c r="D342" s="191" t="s">
        <v>1701</v>
      </c>
      <c r="E342" s="191" t="s">
        <v>2593</v>
      </c>
      <c r="F342" s="191" t="s">
        <v>1487</v>
      </c>
      <c r="G342" s="191">
        <v>14</v>
      </c>
      <c r="H342" s="192">
        <v>0</v>
      </c>
      <c r="I342" s="192">
        <v>407.8</v>
      </c>
      <c r="J342" s="192">
        <f>SUM(H342:I342)</f>
        <v>407.8</v>
      </c>
    </row>
    <row r="343" spans="1:10" outlineLevel="2">
      <c r="A343" s="191" t="s">
        <v>2817</v>
      </c>
      <c r="B343" s="191" t="s">
        <v>1117</v>
      </c>
      <c r="C343" s="191" t="s">
        <v>246</v>
      </c>
      <c r="D343" s="191" t="s">
        <v>1704</v>
      </c>
      <c r="E343" s="191" t="s">
        <v>2679</v>
      </c>
      <c r="F343" s="191" t="s">
        <v>1504</v>
      </c>
      <c r="G343" s="191">
        <v>28</v>
      </c>
      <c r="H343" s="192">
        <v>0</v>
      </c>
      <c r="I343" s="192">
        <v>335.96</v>
      </c>
      <c r="J343" s="192">
        <f>SUM(H343:I343)</f>
        <v>335.96</v>
      </c>
    </row>
    <row r="344" spans="1:10" outlineLevel="1">
      <c r="A344" s="193" t="s">
        <v>2997</v>
      </c>
      <c r="B344" s="194"/>
      <c r="C344" s="194"/>
      <c r="D344" s="194"/>
      <c r="E344" s="194"/>
      <c r="F344" s="194"/>
      <c r="G344" s="194">
        <f>SUBTOTAL(9,G338:G343)</f>
        <v>77</v>
      </c>
      <c r="H344" s="195">
        <f>SUBTOTAL(9,H338:H343)</f>
        <v>200</v>
      </c>
      <c r="I344" s="195">
        <f>SUBTOTAL(9,I338:I343)</f>
        <v>1358.96</v>
      </c>
      <c r="J344" s="195">
        <f>SUBTOTAL(9,J338:J343)</f>
        <v>1558.96</v>
      </c>
    </row>
    <row r="345" spans="1:10" outlineLevel="2">
      <c r="A345" s="191" t="s">
        <v>249</v>
      </c>
      <c r="B345" s="191" t="s">
        <v>250</v>
      </c>
      <c r="C345" s="191" t="s">
        <v>251</v>
      </c>
      <c r="D345" s="191" t="s">
        <v>1705</v>
      </c>
      <c r="E345" s="191" t="s">
        <v>2619</v>
      </c>
      <c r="F345" s="191" t="s">
        <v>1496</v>
      </c>
      <c r="G345" s="191">
        <v>28</v>
      </c>
      <c r="H345" s="192">
        <v>0</v>
      </c>
      <c r="I345" s="192">
        <v>553.16</v>
      </c>
      <c r="J345" s="192">
        <f>SUM(H345:I345)</f>
        <v>553.16</v>
      </c>
    </row>
    <row r="346" spans="1:10" outlineLevel="2">
      <c r="A346" s="191" t="s">
        <v>2818</v>
      </c>
      <c r="B346" s="191" t="s">
        <v>250</v>
      </c>
      <c r="C346" s="191" t="s">
        <v>251</v>
      </c>
      <c r="D346" s="191" t="s">
        <v>1706</v>
      </c>
      <c r="E346" s="191" t="s">
        <v>1485</v>
      </c>
      <c r="F346" s="191" t="s">
        <v>1486</v>
      </c>
      <c r="G346" s="191">
        <v>21</v>
      </c>
      <c r="H346" s="192">
        <v>100</v>
      </c>
      <c r="I346" s="192">
        <v>399.54</v>
      </c>
      <c r="J346" s="192">
        <f>SUM(H346:I346)</f>
        <v>499.54</v>
      </c>
    </row>
    <row r="347" spans="1:10" outlineLevel="2">
      <c r="A347" s="191" t="s">
        <v>252</v>
      </c>
      <c r="B347" s="191" t="s">
        <v>253</v>
      </c>
      <c r="C347" s="191" t="s">
        <v>251</v>
      </c>
      <c r="D347" s="191" t="s">
        <v>1707</v>
      </c>
      <c r="E347" s="191" t="s">
        <v>2658</v>
      </c>
      <c r="F347" s="191" t="s">
        <v>1482</v>
      </c>
      <c r="G347" s="191">
        <v>14</v>
      </c>
      <c r="H347" s="192">
        <v>100</v>
      </c>
      <c r="I347" s="192">
        <v>336.38</v>
      </c>
      <c r="J347" s="192">
        <f>SUM(H347:I347)</f>
        <v>436.38</v>
      </c>
    </row>
    <row r="348" spans="1:10" outlineLevel="2">
      <c r="A348" s="191" t="s">
        <v>252</v>
      </c>
      <c r="B348" s="191" t="s">
        <v>253</v>
      </c>
      <c r="C348" s="191" t="s">
        <v>251</v>
      </c>
      <c r="D348" s="191" t="s">
        <v>1708</v>
      </c>
      <c r="E348" s="191" t="s">
        <v>2695</v>
      </c>
      <c r="F348" s="191" t="s">
        <v>2696</v>
      </c>
      <c r="G348" s="191">
        <v>28</v>
      </c>
      <c r="H348" s="192">
        <v>0</v>
      </c>
      <c r="I348" s="192">
        <v>676.08</v>
      </c>
      <c r="J348" s="192">
        <f>SUM(H348:I348)</f>
        <v>676.08</v>
      </c>
    </row>
    <row r="349" spans="1:10" outlineLevel="2">
      <c r="A349" s="191" t="s">
        <v>2819</v>
      </c>
      <c r="B349" s="191" t="s">
        <v>250</v>
      </c>
      <c r="C349" s="191" t="s">
        <v>251</v>
      </c>
      <c r="D349" s="191" t="s">
        <v>1709</v>
      </c>
      <c r="E349" s="191" t="s">
        <v>2689</v>
      </c>
      <c r="F349" s="191" t="s">
        <v>2661</v>
      </c>
      <c r="G349" s="191">
        <v>14</v>
      </c>
      <c r="H349" s="192">
        <v>0</v>
      </c>
      <c r="I349" s="192">
        <v>266.36</v>
      </c>
      <c r="J349" s="192">
        <f>SUM(H349:I349)</f>
        <v>266.36</v>
      </c>
    </row>
    <row r="350" spans="1:10" outlineLevel="2">
      <c r="A350" s="191" t="s">
        <v>2819</v>
      </c>
      <c r="B350" s="191" t="s">
        <v>250</v>
      </c>
      <c r="C350" s="191" t="s">
        <v>251</v>
      </c>
      <c r="D350" s="191" t="s">
        <v>1710</v>
      </c>
      <c r="E350" s="191" t="s">
        <v>2591</v>
      </c>
      <c r="F350" s="191" t="s">
        <v>1486</v>
      </c>
      <c r="G350" s="191">
        <v>14</v>
      </c>
      <c r="H350" s="192">
        <v>0</v>
      </c>
      <c r="I350" s="192">
        <v>266.36</v>
      </c>
      <c r="J350" s="192">
        <f>SUM(H350:I350)</f>
        <v>266.36</v>
      </c>
    </row>
    <row r="351" spans="1:10" outlineLevel="2">
      <c r="A351" s="191" t="s">
        <v>254</v>
      </c>
      <c r="B351" s="191" t="s">
        <v>250</v>
      </c>
      <c r="C351" s="191" t="s">
        <v>251</v>
      </c>
      <c r="D351" s="191" t="s">
        <v>1711</v>
      </c>
      <c r="E351" s="191" t="s">
        <v>2658</v>
      </c>
      <c r="F351" s="191" t="s">
        <v>1482</v>
      </c>
      <c r="G351" s="191">
        <v>14</v>
      </c>
      <c r="H351" s="192">
        <v>100</v>
      </c>
      <c r="I351" s="192">
        <v>317.48</v>
      </c>
      <c r="J351" s="192">
        <f>SUM(H351:I351)</f>
        <v>417.48</v>
      </c>
    </row>
    <row r="352" spans="1:10" outlineLevel="2">
      <c r="A352" s="191" t="s">
        <v>254</v>
      </c>
      <c r="B352" s="191" t="s">
        <v>250</v>
      </c>
      <c r="C352" s="191" t="s">
        <v>251</v>
      </c>
      <c r="D352" s="191" t="s">
        <v>1712</v>
      </c>
      <c r="E352" s="191" t="s">
        <v>2697</v>
      </c>
      <c r="F352" s="191" t="s">
        <v>2596</v>
      </c>
      <c r="G352" s="191">
        <v>21</v>
      </c>
      <c r="H352" s="192">
        <v>0</v>
      </c>
      <c r="I352" s="192">
        <v>476.22</v>
      </c>
      <c r="J352" s="192">
        <f>SUM(H352:I352)</f>
        <v>476.22</v>
      </c>
    </row>
    <row r="353" spans="1:10" outlineLevel="2">
      <c r="A353" s="191" t="s">
        <v>254</v>
      </c>
      <c r="B353" s="191" t="s">
        <v>250</v>
      </c>
      <c r="C353" s="191" t="s">
        <v>251</v>
      </c>
      <c r="D353" s="191" t="s">
        <v>1713</v>
      </c>
      <c r="E353" s="191" t="s">
        <v>2698</v>
      </c>
      <c r="F353" s="191" t="s">
        <v>2696</v>
      </c>
      <c r="G353" s="191">
        <v>21</v>
      </c>
      <c r="H353" s="192">
        <v>0</v>
      </c>
      <c r="I353" s="192">
        <v>483.69</v>
      </c>
      <c r="J353" s="192">
        <f>SUM(H353:I353)</f>
        <v>483.69</v>
      </c>
    </row>
    <row r="354" spans="1:10" outlineLevel="2">
      <c r="A354" s="191" t="s">
        <v>2820</v>
      </c>
      <c r="B354" s="191" t="s">
        <v>250</v>
      </c>
      <c r="C354" s="191" t="s">
        <v>251</v>
      </c>
      <c r="D354" s="191" t="s">
        <v>1714</v>
      </c>
      <c r="E354" s="191" t="s">
        <v>2601</v>
      </c>
      <c r="F354" s="191" t="s">
        <v>2590</v>
      </c>
      <c r="G354" s="191">
        <v>14</v>
      </c>
      <c r="H354" s="192">
        <v>0</v>
      </c>
      <c r="I354" s="192">
        <v>274.5</v>
      </c>
      <c r="J354" s="192">
        <f>SUM(H354:I354)</f>
        <v>274.5</v>
      </c>
    </row>
    <row r="355" spans="1:10" outlineLevel="2">
      <c r="A355" s="191" t="s">
        <v>255</v>
      </c>
      <c r="B355" s="191" t="s">
        <v>250</v>
      </c>
      <c r="C355" s="191" t="s">
        <v>251</v>
      </c>
      <c r="D355" s="191" t="s">
        <v>1715</v>
      </c>
      <c r="E355" s="191" t="s">
        <v>2665</v>
      </c>
      <c r="F355" s="191" t="s">
        <v>1490</v>
      </c>
      <c r="G355" s="191">
        <v>28</v>
      </c>
      <c r="H355" s="192">
        <v>0</v>
      </c>
      <c r="I355" s="192">
        <v>535.32000000000005</v>
      </c>
      <c r="J355" s="192">
        <f>SUM(H355:I355)</f>
        <v>535.32000000000005</v>
      </c>
    </row>
    <row r="356" spans="1:10" outlineLevel="1">
      <c r="A356" s="193" t="s">
        <v>2998</v>
      </c>
      <c r="B356" s="194"/>
      <c r="C356" s="194"/>
      <c r="D356" s="194"/>
      <c r="E356" s="194"/>
      <c r="F356" s="194"/>
      <c r="G356" s="194">
        <f>SUBTOTAL(9,G345:G355)</f>
        <v>217</v>
      </c>
      <c r="H356" s="195">
        <f>SUBTOTAL(9,H345:H355)</f>
        <v>300</v>
      </c>
      <c r="I356" s="195">
        <f>SUBTOTAL(9,I345:I355)</f>
        <v>4585.09</v>
      </c>
      <c r="J356" s="195">
        <f>SUBTOTAL(9,J345:J355)</f>
        <v>4885.09</v>
      </c>
    </row>
    <row r="357" spans="1:10" outlineLevel="2">
      <c r="A357" s="191" t="s">
        <v>256</v>
      </c>
      <c r="B357" s="191" t="s">
        <v>257</v>
      </c>
      <c r="C357" s="191" t="s">
        <v>258</v>
      </c>
      <c r="D357" s="191" t="s">
        <v>1716</v>
      </c>
      <c r="E357" s="191" t="s">
        <v>2689</v>
      </c>
      <c r="F357" s="191" t="s">
        <v>2661</v>
      </c>
      <c r="G357" s="191">
        <v>14</v>
      </c>
      <c r="H357" s="192">
        <v>0</v>
      </c>
      <c r="I357" s="192">
        <v>317.48</v>
      </c>
      <c r="J357" s="192">
        <f>SUM(H357:I357)</f>
        <v>317.48</v>
      </c>
    </row>
    <row r="358" spans="1:10" outlineLevel="2">
      <c r="A358" s="191" t="s">
        <v>259</v>
      </c>
      <c r="B358" s="191" t="s">
        <v>116</v>
      </c>
      <c r="C358" s="191" t="s">
        <v>258</v>
      </c>
      <c r="D358" s="191" t="s">
        <v>1717</v>
      </c>
      <c r="E358" s="191" t="s">
        <v>2664</v>
      </c>
      <c r="F358" s="191" t="s">
        <v>2664</v>
      </c>
      <c r="G358" s="191">
        <v>7</v>
      </c>
      <c r="H358" s="192">
        <v>100</v>
      </c>
      <c r="I358" s="192">
        <v>63.11</v>
      </c>
      <c r="J358" s="192">
        <f>SUM(H358:I358)</f>
        <v>163.11000000000001</v>
      </c>
    </row>
    <row r="359" spans="1:10" outlineLevel="2">
      <c r="A359" s="191" t="s">
        <v>260</v>
      </c>
      <c r="B359" s="191" t="s">
        <v>147</v>
      </c>
      <c r="C359" s="191" t="s">
        <v>258</v>
      </c>
      <c r="D359" s="191" t="s">
        <v>1718</v>
      </c>
      <c r="E359" s="191" t="s">
        <v>2647</v>
      </c>
      <c r="F359" s="191" t="s">
        <v>2600</v>
      </c>
      <c r="G359" s="191">
        <v>21</v>
      </c>
      <c r="H359" s="192">
        <v>100</v>
      </c>
      <c r="I359" s="192">
        <v>162.78</v>
      </c>
      <c r="J359" s="192">
        <f>SUM(H359:I359)</f>
        <v>262.77999999999997</v>
      </c>
    </row>
    <row r="360" spans="1:10" outlineLevel="2">
      <c r="A360" s="191" t="s">
        <v>260</v>
      </c>
      <c r="B360" s="191" t="s">
        <v>147</v>
      </c>
      <c r="C360" s="191" t="s">
        <v>258</v>
      </c>
      <c r="D360" s="191" t="s">
        <v>1719</v>
      </c>
      <c r="E360" s="191" t="s">
        <v>2683</v>
      </c>
      <c r="F360" s="191" t="s">
        <v>2612</v>
      </c>
      <c r="G360" s="191">
        <v>21</v>
      </c>
      <c r="H360" s="192">
        <v>0</v>
      </c>
      <c r="I360" s="192">
        <v>166.32</v>
      </c>
      <c r="J360" s="192">
        <f>SUM(H360:I360)</f>
        <v>166.32</v>
      </c>
    </row>
    <row r="361" spans="1:10" outlineLevel="2">
      <c r="A361" s="191" t="s">
        <v>261</v>
      </c>
      <c r="B361" s="191" t="s">
        <v>2821</v>
      </c>
      <c r="C361" s="191" t="s">
        <v>258</v>
      </c>
      <c r="D361" s="191" t="s">
        <v>1718</v>
      </c>
      <c r="E361" s="191" t="s">
        <v>2599</v>
      </c>
      <c r="F361" s="191" t="s">
        <v>2600</v>
      </c>
      <c r="G361" s="191">
        <v>14</v>
      </c>
      <c r="H361" s="192">
        <v>0</v>
      </c>
      <c r="I361" s="192">
        <v>378.98</v>
      </c>
      <c r="J361" s="192">
        <f>SUM(H361:I361)</f>
        <v>378.98</v>
      </c>
    </row>
    <row r="362" spans="1:10" outlineLevel="2">
      <c r="A362" s="191" t="s">
        <v>261</v>
      </c>
      <c r="B362" s="191" t="s">
        <v>2821</v>
      </c>
      <c r="C362" s="191" t="s">
        <v>258</v>
      </c>
      <c r="D362" s="191" t="s">
        <v>1719</v>
      </c>
      <c r="E362" s="191" t="s">
        <v>2611</v>
      </c>
      <c r="F362" s="191" t="s">
        <v>2612</v>
      </c>
      <c r="G362" s="191">
        <v>14</v>
      </c>
      <c r="H362" s="192">
        <v>0</v>
      </c>
      <c r="I362" s="192">
        <v>378.98</v>
      </c>
      <c r="J362" s="192">
        <f>SUM(H362:I362)</f>
        <v>378.98</v>
      </c>
    </row>
    <row r="363" spans="1:10" outlineLevel="2">
      <c r="A363" s="191" t="s">
        <v>262</v>
      </c>
      <c r="B363" s="191" t="s">
        <v>257</v>
      </c>
      <c r="C363" s="191" t="s">
        <v>258</v>
      </c>
      <c r="D363" s="191" t="s">
        <v>1720</v>
      </c>
      <c r="E363" s="191" t="s">
        <v>2594</v>
      </c>
      <c r="F363" s="191" t="s">
        <v>2588</v>
      </c>
      <c r="G363" s="191">
        <v>14</v>
      </c>
      <c r="H363" s="192">
        <v>0</v>
      </c>
      <c r="I363" s="192">
        <v>335.74</v>
      </c>
      <c r="J363" s="192">
        <f>SUM(H363:I363)</f>
        <v>335.74</v>
      </c>
    </row>
    <row r="364" spans="1:10" outlineLevel="2">
      <c r="A364" s="191" t="s">
        <v>262</v>
      </c>
      <c r="B364" s="191" t="s">
        <v>257</v>
      </c>
      <c r="C364" s="191" t="s">
        <v>258</v>
      </c>
      <c r="D364" s="191" t="s">
        <v>1719</v>
      </c>
      <c r="E364" s="191" t="s">
        <v>2683</v>
      </c>
      <c r="F364" s="191" t="s">
        <v>2612</v>
      </c>
      <c r="G364" s="191">
        <v>21</v>
      </c>
      <c r="H364" s="192">
        <v>0</v>
      </c>
      <c r="I364" s="192">
        <v>503.61</v>
      </c>
      <c r="J364" s="192">
        <f>SUM(H364:I364)</f>
        <v>503.61</v>
      </c>
    </row>
    <row r="365" spans="1:10" outlineLevel="2">
      <c r="A365" s="191" t="s">
        <v>263</v>
      </c>
      <c r="B365" s="191" t="s">
        <v>147</v>
      </c>
      <c r="C365" s="191" t="s">
        <v>258</v>
      </c>
      <c r="D365" s="191" t="s">
        <v>1719</v>
      </c>
      <c r="E365" s="191" t="s">
        <v>2683</v>
      </c>
      <c r="F365" s="191" t="s">
        <v>2612</v>
      </c>
      <c r="G365" s="191">
        <v>21</v>
      </c>
      <c r="H365" s="192">
        <v>0</v>
      </c>
      <c r="I365" s="192">
        <v>160.68</v>
      </c>
      <c r="J365" s="192">
        <f>SUM(H365:I365)</f>
        <v>160.68</v>
      </c>
    </row>
    <row r="366" spans="1:10" outlineLevel="2">
      <c r="A366" s="191" t="s">
        <v>264</v>
      </c>
      <c r="B366" s="191" t="s">
        <v>257</v>
      </c>
      <c r="C366" s="191" t="s">
        <v>258</v>
      </c>
      <c r="D366" s="191" t="s">
        <v>1721</v>
      </c>
      <c r="E366" s="191" t="s">
        <v>2634</v>
      </c>
      <c r="F366" s="191" t="s">
        <v>2626</v>
      </c>
      <c r="G366" s="191">
        <v>14</v>
      </c>
      <c r="H366" s="192">
        <v>0</v>
      </c>
      <c r="I366" s="192">
        <v>271.08</v>
      </c>
      <c r="J366" s="192">
        <f>SUM(H366:I366)</f>
        <v>271.08</v>
      </c>
    </row>
    <row r="367" spans="1:10" outlineLevel="2">
      <c r="A367" s="191" t="s">
        <v>264</v>
      </c>
      <c r="B367" s="191" t="s">
        <v>257</v>
      </c>
      <c r="C367" s="191" t="s">
        <v>258</v>
      </c>
      <c r="D367" s="191" t="s">
        <v>1718</v>
      </c>
      <c r="E367" s="191" t="s">
        <v>2647</v>
      </c>
      <c r="F367" s="191" t="s">
        <v>2600</v>
      </c>
      <c r="G367" s="191">
        <v>21</v>
      </c>
      <c r="H367" s="192">
        <v>0</v>
      </c>
      <c r="I367" s="192">
        <v>404.64</v>
      </c>
      <c r="J367" s="192">
        <f>SUM(H367:I367)</f>
        <v>404.64</v>
      </c>
    </row>
    <row r="368" spans="1:10" outlineLevel="2">
      <c r="A368" s="191" t="s">
        <v>264</v>
      </c>
      <c r="B368" s="191" t="s">
        <v>257</v>
      </c>
      <c r="C368" s="191" t="s">
        <v>258</v>
      </c>
      <c r="D368" s="191" t="s">
        <v>1719</v>
      </c>
      <c r="E368" s="191" t="s">
        <v>2683</v>
      </c>
      <c r="F368" s="191" t="s">
        <v>2612</v>
      </c>
      <c r="G368" s="191">
        <v>21</v>
      </c>
      <c r="H368" s="192">
        <v>0</v>
      </c>
      <c r="I368" s="192">
        <v>404.64</v>
      </c>
      <c r="J368" s="192">
        <f>SUM(H368:I368)</f>
        <v>404.64</v>
      </c>
    </row>
    <row r="369" spans="1:10" outlineLevel="2">
      <c r="A369" s="191" t="s">
        <v>265</v>
      </c>
      <c r="B369" s="191" t="s">
        <v>257</v>
      </c>
      <c r="C369" s="191" t="s">
        <v>258</v>
      </c>
      <c r="D369" s="191" t="s">
        <v>1720</v>
      </c>
      <c r="E369" s="191" t="s">
        <v>2594</v>
      </c>
      <c r="F369" s="191" t="s">
        <v>2588</v>
      </c>
      <c r="G369" s="191">
        <v>14</v>
      </c>
      <c r="H369" s="192">
        <v>0</v>
      </c>
      <c r="I369" s="192">
        <v>301.27999999999997</v>
      </c>
      <c r="J369" s="192">
        <f>SUM(H369:I369)</f>
        <v>301.27999999999997</v>
      </c>
    </row>
    <row r="370" spans="1:10" outlineLevel="1">
      <c r="A370" s="193" t="s">
        <v>2999</v>
      </c>
      <c r="B370" s="194"/>
      <c r="C370" s="194"/>
      <c r="D370" s="194"/>
      <c r="E370" s="194"/>
      <c r="F370" s="194"/>
      <c r="G370" s="194">
        <f>SUBTOTAL(9,G357:G369)</f>
        <v>217</v>
      </c>
      <c r="H370" s="195">
        <f>SUBTOTAL(9,H357:H369)</f>
        <v>200</v>
      </c>
      <c r="I370" s="195">
        <f>SUBTOTAL(9,I357:I369)</f>
        <v>3849.3199999999997</v>
      </c>
      <c r="J370" s="195">
        <f>SUBTOTAL(9,J357:J369)</f>
        <v>4049.3199999999997</v>
      </c>
    </row>
    <row r="371" spans="1:10" outlineLevel="2">
      <c r="A371" s="191" t="s">
        <v>269</v>
      </c>
      <c r="B371" s="191" t="s">
        <v>266</v>
      </c>
      <c r="C371" s="191" t="s">
        <v>267</v>
      </c>
      <c r="D371" s="191" t="s">
        <v>1722</v>
      </c>
      <c r="E371" s="191" t="s">
        <v>1479</v>
      </c>
      <c r="F371" s="191" t="s">
        <v>2612</v>
      </c>
      <c r="G371" s="191">
        <v>28</v>
      </c>
      <c r="H371" s="192">
        <v>0</v>
      </c>
      <c r="I371" s="192">
        <v>546.36</v>
      </c>
      <c r="J371" s="192">
        <f>SUM(H371:I371)</f>
        <v>546.36</v>
      </c>
    </row>
    <row r="372" spans="1:10" outlineLevel="1">
      <c r="A372" s="193" t="s">
        <v>3000</v>
      </c>
      <c r="B372" s="194"/>
      <c r="C372" s="194"/>
      <c r="D372" s="194"/>
      <c r="E372" s="194"/>
      <c r="F372" s="194"/>
      <c r="G372" s="194">
        <f>SUBTOTAL(9,G371:G371)</f>
        <v>28</v>
      </c>
      <c r="H372" s="195">
        <f>SUBTOTAL(9,H371:H371)</f>
        <v>0</v>
      </c>
      <c r="I372" s="195">
        <f>SUBTOTAL(9,I371:I371)</f>
        <v>546.36</v>
      </c>
      <c r="J372" s="195">
        <f>SUBTOTAL(9,J371:J371)</f>
        <v>546.36</v>
      </c>
    </row>
    <row r="373" spans="1:10" outlineLevel="2">
      <c r="A373" s="191" t="s">
        <v>272</v>
      </c>
      <c r="B373" s="191" t="s">
        <v>273</v>
      </c>
      <c r="C373" s="191" t="s">
        <v>270</v>
      </c>
      <c r="D373" s="191" t="s">
        <v>1723</v>
      </c>
      <c r="E373" s="191" t="s">
        <v>2624</v>
      </c>
      <c r="F373" s="191" t="s">
        <v>1496</v>
      </c>
      <c r="G373" s="191">
        <v>21</v>
      </c>
      <c r="H373" s="192">
        <v>0</v>
      </c>
      <c r="I373" s="192">
        <v>556.20000000000005</v>
      </c>
      <c r="J373" s="192">
        <f>SUM(H373:I373)</f>
        <v>556.20000000000005</v>
      </c>
    </row>
    <row r="374" spans="1:10" outlineLevel="2">
      <c r="A374" s="191" t="s">
        <v>272</v>
      </c>
      <c r="B374" s="191" t="s">
        <v>273</v>
      </c>
      <c r="C374" s="191" t="s">
        <v>270</v>
      </c>
      <c r="D374" s="191" t="s">
        <v>1724</v>
      </c>
      <c r="E374" s="191" t="s">
        <v>2699</v>
      </c>
      <c r="F374" s="191" t="s">
        <v>2600</v>
      </c>
      <c r="G374" s="191">
        <v>28</v>
      </c>
      <c r="H374" s="192">
        <v>0</v>
      </c>
      <c r="I374" s="192">
        <v>741.6</v>
      </c>
      <c r="J374" s="192">
        <f>SUM(H374:I374)</f>
        <v>741.6</v>
      </c>
    </row>
    <row r="375" spans="1:10" outlineLevel="2">
      <c r="A375" s="191" t="s">
        <v>274</v>
      </c>
      <c r="B375" s="191" t="s">
        <v>271</v>
      </c>
      <c r="C375" s="191" t="s">
        <v>270</v>
      </c>
      <c r="D375" s="191" t="s">
        <v>1725</v>
      </c>
      <c r="E375" s="191" t="s">
        <v>2700</v>
      </c>
      <c r="F375" s="191" t="s">
        <v>2614</v>
      </c>
      <c r="G375" s="191">
        <v>14</v>
      </c>
      <c r="H375" s="192">
        <v>0</v>
      </c>
      <c r="I375" s="192">
        <v>297.88</v>
      </c>
      <c r="J375" s="192">
        <f>SUM(H375:I375)</f>
        <v>297.88</v>
      </c>
    </row>
    <row r="376" spans="1:10" outlineLevel="2">
      <c r="A376" s="191" t="s">
        <v>274</v>
      </c>
      <c r="B376" s="191" t="s">
        <v>271</v>
      </c>
      <c r="C376" s="191" t="s">
        <v>270</v>
      </c>
      <c r="D376" s="191" t="s">
        <v>1726</v>
      </c>
      <c r="E376" s="191" t="s">
        <v>2701</v>
      </c>
      <c r="F376" s="191" t="s">
        <v>2590</v>
      </c>
      <c r="G376" s="191">
        <v>35</v>
      </c>
      <c r="H376" s="192">
        <v>0</v>
      </c>
      <c r="I376" s="192">
        <v>748.35</v>
      </c>
      <c r="J376" s="192">
        <f>SUM(H376:I376)</f>
        <v>748.35</v>
      </c>
    </row>
    <row r="377" spans="1:10" outlineLevel="2">
      <c r="A377" s="191" t="s">
        <v>275</v>
      </c>
      <c r="B377" s="191" t="s">
        <v>271</v>
      </c>
      <c r="C377" s="191" t="s">
        <v>270</v>
      </c>
      <c r="D377" s="191" t="s">
        <v>1727</v>
      </c>
      <c r="E377" s="191" t="s">
        <v>2702</v>
      </c>
      <c r="F377" s="191" t="s">
        <v>2702</v>
      </c>
      <c r="G377" s="191">
        <v>7</v>
      </c>
      <c r="H377" s="192">
        <v>0</v>
      </c>
      <c r="I377" s="192">
        <v>135.54</v>
      </c>
      <c r="J377" s="192">
        <f>SUM(H377:I377)</f>
        <v>135.54</v>
      </c>
    </row>
    <row r="378" spans="1:10" outlineLevel="2">
      <c r="A378" s="191" t="s">
        <v>275</v>
      </c>
      <c r="B378" s="191" t="s">
        <v>271</v>
      </c>
      <c r="C378" s="191" t="s">
        <v>270</v>
      </c>
      <c r="D378" s="191" t="s">
        <v>1723</v>
      </c>
      <c r="E378" s="191" t="s">
        <v>1495</v>
      </c>
      <c r="F378" s="191" t="s">
        <v>1496</v>
      </c>
      <c r="G378" s="191">
        <v>14</v>
      </c>
      <c r="H378" s="192">
        <v>0</v>
      </c>
      <c r="I378" s="192">
        <v>269.76</v>
      </c>
      <c r="J378" s="192">
        <f>SUM(H378:I378)</f>
        <v>269.76</v>
      </c>
    </row>
    <row r="379" spans="1:10" outlineLevel="2">
      <c r="A379" s="191" t="s">
        <v>276</v>
      </c>
      <c r="B379" s="191" t="s">
        <v>271</v>
      </c>
      <c r="C379" s="191" t="s">
        <v>270</v>
      </c>
      <c r="D379" s="191" t="s">
        <v>1724</v>
      </c>
      <c r="E379" s="191" t="s">
        <v>2699</v>
      </c>
      <c r="F379" s="191" t="s">
        <v>2600</v>
      </c>
      <c r="G379" s="191" t="s">
        <v>2760</v>
      </c>
      <c r="H379" s="192">
        <v>0</v>
      </c>
      <c r="I379" s="192">
        <v>0</v>
      </c>
      <c r="J379" s="192">
        <f>SUM(H379:I379)</f>
        <v>0</v>
      </c>
    </row>
    <row r="380" spans="1:10" outlineLevel="2">
      <c r="A380" s="191" t="s">
        <v>277</v>
      </c>
      <c r="B380" s="191" t="s">
        <v>271</v>
      </c>
      <c r="C380" s="191" t="s">
        <v>270</v>
      </c>
      <c r="D380" s="191" t="s">
        <v>1728</v>
      </c>
      <c r="E380" s="191" t="s">
        <v>2610</v>
      </c>
      <c r="F380" s="191" t="s">
        <v>2610</v>
      </c>
      <c r="G380" s="191">
        <v>7</v>
      </c>
      <c r="H380" s="192">
        <v>0</v>
      </c>
      <c r="I380" s="192">
        <v>182.19</v>
      </c>
      <c r="J380" s="192">
        <f>SUM(H380:I380)</f>
        <v>182.19</v>
      </c>
    </row>
    <row r="381" spans="1:10" outlineLevel="2">
      <c r="A381" s="191" t="s">
        <v>277</v>
      </c>
      <c r="B381" s="191" t="s">
        <v>271</v>
      </c>
      <c r="C381" s="191" t="s">
        <v>270</v>
      </c>
      <c r="D381" s="191" t="s">
        <v>1728</v>
      </c>
      <c r="E381" s="191" t="s">
        <v>2678</v>
      </c>
      <c r="F381" s="191" t="s">
        <v>2609</v>
      </c>
      <c r="G381" s="191">
        <v>28</v>
      </c>
      <c r="H381" s="192">
        <v>0</v>
      </c>
      <c r="I381" s="192">
        <v>728.76</v>
      </c>
      <c r="J381" s="192">
        <f>SUM(H381:I381)</f>
        <v>728.76</v>
      </c>
    </row>
    <row r="382" spans="1:10" outlineLevel="2">
      <c r="A382" s="191" t="s">
        <v>278</v>
      </c>
      <c r="B382" s="191" t="s">
        <v>279</v>
      </c>
      <c r="C382" s="191" t="s">
        <v>270</v>
      </c>
      <c r="D382" s="191" t="s">
        <v>1723</v>
      </c>
      <c r="E382" s="191" t="s">
        <v>2624</v>
      </c>
      <c r="F382" s="191" t="s">
        <v>1496</v>
      </c>
      <c r="G382" s="191">
        <v>21</v>
      </c>
      <c r="H382" s="192">
        <v>0</v>
      </c>
      <c r="I382" s="192">
        <v>572.52</v>
      </c>
      <c r="J382" s="192">
        <f>SUM(H382:I382)</f>
        <v>572.52</v>
      </c>
    </row>
    <row r="383" spans="1:10" outlineLevel="2">
      <c r="A383" s="191" t="s">
        <v>278</v>
      </c>
      <c r="B383" s="191" t="s">
        <v>279</v>
      </c>
      <c r="C383" s="191" t="s">
        <v>270</v>
      </c>
      <c r="D383" s="191" t="s">
        <v>1729</v>
      </c>
      <c r="E383" s="191" t="s">
        <v>2701</v>
      </c>
      <c r="F383" s="191" t="s">
        <v>2590</v>
      </c>
      <c r="G383" s="191">
        <v>35</v>
      </c>
      <c r="H383" s="192">
        <v>0</v>
      </c>
      <c r="I383" s="192">
        <v>545.1</v>
      </c>
      <c r="J383" s="192">
        <f>SUM(H383:I383)</f>
        <v>545.1</v>
      </c>
    </row>
    <row r="384" spans="1:10" outlineLevel="1">
      <c r="A384" s="193" t="s">
        <v>3001</v>
      </c>
      <c r="B384" s="194"/>
      <c r="C384" s="194"/>
      <c r="D384" s="194"/>
      <c r="E384" s="194"/>
      <c r="F384" s="194"/>
      <c r="G384" s="194">
        <f>SUBTOTAL(9,G373:G383)</f>
        <v>210</v>
      </c>
      <c r="H384" s="195">
        <f>SUBTOTAL(9,H373:H383)</f>
        <v>0</v>
      </c>
      <c r="I384" s="195">
        <f>SUBTOTAL(9,I373:I383)</f>
        <v>4777.8999999999996</v>
      </c>
      <c r="J384" s="195">
        <f>SUBTOTAL(9,J373:J383)</f>
        <v>4777.8999999999996</v>
      </c>
    </row>
    <row r="385" spans="1:10" outlineLevel="2">
      <c r="A385" s="191" t="s">
        <v>280</v>
      </c>
      <c r="B385" s="191" t="s">
        <v>281</v>
      </c>
      <c r="C385" s="191" t="s">
        <v>282</v>
      </c>
      <c r="D385" s="191" t="s">
        <v>1730</v>
      </c>
      <c r="E385" s="191" t="s">
        <v>2633</v>
      </c>
      <c r="F385" s="191" t="s">
        <v>2633</v>
      </c>
      <c r="G385" s="191">
        <v>7</v>
      </c>
      <c r="H385" s="192">
        <v>0</v>
      </c>
      <c r="I385" s="192">
        <v>172.78</v>
      </c>
      <c r="J385" s="192">
        <f>SUM(H385:I385)</f>
        <v>172.78</v>
      </c>
    </row>
    <row r="386" spans="1:10" outlineLevel="2">
      <c r="A386" s="191" t="s">
        <v>280</v>
      </c>
      <c r="B386" s="191" t="s">
        <v>281</v>
      </c>
      <c r="C386" s="191" t="s">
        <v>282</v>
      </c>
      <c r="D386" s="191" t="s">
        <v>1731</v>
      </c>
      <c r="E386" s="191" t="s">
        <v>2652</v>
      </c>
      <c r="F386" s="191" t="s">
        <v>1481</v>
      </c>
      <c r="G386" s="191">
        <v>14</v>
      </c>
      <c r="H386" s="192">
        <v>100</v>
      </c>
      <c r="I386" s="192">
        <v>343.88</v>
      </c>
      <c r="J386" s="192">
        <f>SUM(H386:I386)</f>
        <v>443.88</v>
      </c>
    </row>
    <row r="387" spans="1:10" outlineLevel="2">
      <c r="A387" s="191" t="s">
        <v>280</v>
      </c>
      <c r="B387" s="191" t="s">
        <v>281</v>
      </c>
      <c r="C387" s="191" t="s">
        <v>282</v>
      </c>
      <c r="D387" s="191" t="s">
        <v>1732</v>
      </c>
      <c r="E387" s="191" t="s">
        <v>1495</v>
      </c>
      <c r="F387" s="191" t="s">
        <v>1496</v>
      </c>
      <c r="G387" s="191">
        <v>14</v>
      </c>
      <c r="H387" s="192">
        <v>0</v>
      </c>
      <c r="I387" s="192">
        <v>332.78</v>
      </c>
      <c r="J387" s="192">
        <f>SUM(H387:I387)</f>
        <v>332.78</v>
      </c>
    </row>
    <row r="388" spans="1:10" outlineLevel="2">
      <c r="A388" s="191" t="s">
        <v>280</v>
      </c>
      <c r="B388" s="191" t="s">
        <v>281</v>
      </c>
      <c r="C388" s="191" t="s">
        <v>282</v>
      </c>
      <c r="D388" s="191" t="s">
        <v>1733</v>
      </c>
      <c r="E388" s="191" t="s">
        <v>2703</v>
      </c>
      <c r="F388" s="191" t="s">
        <v>2676</v>
      </c>
      <c r="G388" s="191">
        <v>21</v>
      </c>
      <c r="H388" s="192">
        <v>0</v>
      </c>
      <c r="I388" s="192">
        <v>518.34</v>
      </c>
      <c r="J388" s="192">
        <f>SUM(H388:I388)</f>
        <v>518.34</v>
      </c>
    </row>
    <row r="389" spans="1:10" outlineLevel="2">
      <c r="A389" s="191" t="s">
        <v>283</v>
      </c>
      <c r="B389" s="191" t="s">
        <v>284</v>
      </c>
      <c r="C389" s="191" t="s">
        <v>282</v>
      </c>
      <c r="D389" s="191" t="s">
        <v>1560</v>
      </c>
      <c r="E389" s="191" t="s">
        <v>2637</v>
      </c>
      <c r="F389" s="191" t="s">
        <v>2608</v>
      </c>
      <c r="G389" s="191">
        <v>28</v>
      </c>
      <c r="H389" s="192">
        <v>0</v>
      </c>
      <c r="I389" s="192">
        <v>544.52</v>
      </c>
      <c r="J389" s="192">
        <f>SUM(H389:I389)</f>
        <v>544.52</v>
      </c>
    </row>
    <row r="390" spans="1:10" outlineLevel="1">
      <c r="A390" s="193" t="s">
        <v>3002</v>
      </c>
      <c r="B390" s="194"/>
      <c r="C390" s="194"/>
      <c r="D390" s="194"/>
      <c r="E390" s="194"/>
      <c r="F390" s="194"/>
      <c r="G390" s="194">
        <f>SUBTOTAL(9,G385:G389)</f>
        <v>84</v>
      </c>
      <c r="H390" s="195">
        <f>SUBTOTAL(9,H385:H389)</f>
        <v>100</v>
      </c>
      <c r="I390" s="195">
        <f>SUBTOTAL(9,I385:I389)</f>
        <v>1912.3</v>
      </c>
      <c r="J390" s="195">
        <f>SUBTOTAL(9,J385:J389)</f>
        <v>2012.3</v>
      </c>
    </row>
    <row r="391" spans="1:10" outlineLevel="2">
      <c r="A391" s="191" t="s">
        <v>2822</v>
      </c>
      <c r="B391" s="191" t="s">
        <v>2786</v>
      </c>
      <c r="C391" s="191" t="s">
        <v>2762</v>
      </c>
      <c r="D391" s="191" t="s">
        <v>1559</v>
      </c>
      <c r="E391" s="191" t="s">
        <v>2635</v>
      </c>
      <c r="F391" s="191" t="s">
        <v>2636</v>
      </c>
      <c r="G391" s="191">
        <v>21</v>
      </c>
      <c r="H391" s="192">
        <v>0</v>
      </c>
      <c r="I391" s="192">
        <v>483.69</v>
      </c>
      <c r="J391" s="192">
        <f>SUM(H391:I391)</f>
        <v>483.69</v>
      </c>
    </row>
    <row r="392" spans="1:10" outlineLevel="2">
      <c r="A392" s="191" t="s">
        <v>2823</v>
      </c>
      <c r="B392" s="191" t="s">
        <v>2824</v>
      </c>
      <c r="C392" s="191" t="s">
        <v>2762</v>
      </c>
      <c r="D392" s="191" t="s">
        <v>1567</v>
      </c>
      <c r="E392" s="191" t="s">
        <v>1490</v>
      </c>
      <c r="F392" s="191" t="s">
        <v>1490</v>
      </c>
      <c r="G392" s="191">
        <v>7</v>
      </c>
      <c r="H392" s="192">
        <v>0</v>
      </c>
      <c r="I392" s="192">
        <v>203.25</v>
      </c>
      <c r="J392" s="192">
        <f>SUM(H392:I392)</f>
        <v>203.25</v>
      </c>
    </row>
    <row r="393" spans="1:10" outlineLevel="1">
      <c r="A393" s="193" t="s">
        <v>3003</v>
      </c>
      <c r="B393" s="194"/>
      <c r="C393" s="194"/>
      <c r="D393" s="194"/>
      <c r="E393" s="194"/>
      <c r="F393" s="194"/>
      <c r="G393" s="194">
        <f>SUBTOTAL(9,G391:G392)</f>
        <v>28</v>
      </c>
      <c r="H393" s="195">
        <f>SUBTOTAL(9,H391:H392)</f>
        <v>0</v>
      </c>
      <c r="I393" s="195">
        <f>SUBTOTAL(9,I391:I392)</f>
        <v>686.94</v>
      </c>
      <c r="J393" s="195">
        <f>SUBTOTAL(9,J391:J392)</f>
        <v>686.94</v>
      </c>
    </row>
    <row r="394" spans="1:10" outlineLevel="2">
      <c r="A394" s="191" t="s">
        <v>2825</v>
      </c>
      <c r="B394" s="191" t="s">
        <v>287</v>
      </c>
      <c r="C394" s="191" t="s">
        <v>286</v>
      </c>
      <c r="D394" s="191" t="s">
        <v>1734</v>
      </c>
      <c r="E394" s="191" t="s">
        <v>1500</v>
      </c>
      <c r="F394" s="191" t="s">
        <v>1500</v>
      </c>
      <c r="G394" s="191" t="s">
        <v>2760</v>
      </c>
      <c r="H394" s="192">
        <v>0</v>
      </c>
      <c r="I394" s="192">
        <v>0</v>
      </c>
      <c r="J394" s="192">
        <f>SUM(H394:I394)</f>
        <v>0</v>
      </c>
    </row>
    <row r="395" spans="1:10" outlineLevel="2">
      <c r="A395" s="191" t="s">
        <v>285</v>
      </c>
      <c r="B395" s="191" t="s">
        <v>287</v>
      </c>
      <c r="C395" s="191" t="s">
        <v>286</v>
      </c>
      <c r="D395" s="191" t="s">
        <v>1735</v>
      </c>
      <c r="E395" s="191" t="s">
        <v>2645</v>
      </c>
      <c r="F395" s="191" t="s">
        <v>2640</v>
      </c>
      <c r="G395" s="191">
        <v>14</v>
      </c>
      <c r="H395" s="192">
        <v>0</v>
      </c>
      <c r="I395" s="192">
        <v>186.16</v>
      </c>
      <c r="J395" s="192">
        <f>SUM(H395:I395)</f>
        <v>186.16</v>
      </c>
    </row>
    <row r="396" spans="1:10" outlineLevel="2">
      <c r="A396" s="191" t="s">
        <v>2826</v>
      </c>
      <c r="B396" s="191" t="s">
        <v>287</v>
      </c>
      <c r="C396" s="191" t="s">
        <v>286</v>
      </c>
      <c r="D396" s="191" t="s">
        <v>1734</v>
      </c>
      <c r="E396" s="191" t="s">
        <v>1500</v>
      </c>
      <c r="F396" s="191" t="s">
        <v>1500</v>
      </c>
      <c r="G396" s="191" t="s">
        <v>2760</v>
      </c>
      <c r="H396" s="192">
        <v>0</v>
      </c>
      <c r="I396" s="192">
        <v>133.83000000000001</v>
      </c>
      <c r="J396" s="192">
        <f>SUM(H396:I396)</f>
        <v>133.83000000000001</v>
      </c>
    </row>
    <row r="397" spans="1:10" outlineLevel="2">
      <c r="A397" s="191" t="s">
        <v>290</v>
      </c>
      <c r="B397" s="191" t="s">
        <v>287</v>
      </c>
      <c r="C397" s="191" t="s">
        <v>286</v>
      </c>
      <c r="D397" s="191" t="s">
        <v>1736</v>
      </c>
      <c r="E397" s="191" t="s">
        <v>2704</v>
      </c>
      <c r="F397" s="191" t="s">
        <v>2704</v>
      </c>
      <c r="G397" s="191">
        <v>7</v>
      </c>
      <c r="H397" s="192">
        <v>90</v>
      </c>
      <c r="I397" s="192">
        <v>134.88</v>
      </c>
      <c r="J397" s="192">
        <f>SUM(H397:I397)</f>
        <v>224.88</v>
      </c>
    </row>
    <row r="398" spans="1:10" outlineLevel="1">
      <c r="A398" s="193" t="s">
        <v>3004</v>
      </c>
      <c r="B398" s="194"/>
      <c r="C398" s="194"/>
      <c r="D398" s="194"/>
      <c r="E398" s="194"/>
      <c r="F398" s="194"/>
      <c r="G398" s="194">
        <f>SUBTOTAL(9,G394:G397)</f>
        <v>21</v>
      </c>
      <c r="H398" s="195">
        <f>SUBTOTAL(9,H394:H397)</f>
        <v>90</v>
      </c>
      <c r="I398" s="195">
        <f>SUBTOTAL(9,I394:I397)</f>
        <v>454.87</v>
      </c>
      <c r="J398" s="195">
        <f>SUBTOTAL(9,J394:J397)</f>
        <v>544.87</v>
      </c>
    </row>
    <row r="399" spans="1:10" outlineLevel="2">
      <c r="A399" s="191" t="s">
        <v>292</v>
      </c>
      <c r="B399" s="191" t="s">
        <v>293</v>
      </c>
      <c r="C399" s="191" t="s">
        <v>294</v>
      </c>
      <c r="D399" s="191" t="s">
        <v>1737</v>
      </c>
      <c r="E399" s="191" t="s">
        <v>2663</v>
      </c>
      <c r="F399" s="191" t="s">
        <v>2663</v>
      </c>
      <c r="G399" s="191">
        <v>7</v>
      </c>
      <c r="H399" s="192">
        <v>0</v>
      </c>
      <c r="I399" s="192">
        <v>153.75</v>
      </c>
      <c r="J399" s="192">
        <f>SUM(H399:I399)</f>
        <v>153.75</v>
      </c>
    </row>
    <row r="400" spans="1:10" outlineLevel="2">
      <c r="A400" s="191" t="s">
        <v>292</v>
      </c>
      <c r="B400" s="191" t="s">
        <v>293</v>
      </c>
      <c r="C400" s="191" t="s">
        <v>294</v>
      </c>
      <c r="D400" s="191" t="s">
        <v>1738</v>
      </c>
      <c r="E400" s="191" t="s">
        <v>2601</v>
      </c>
      <c r="F400" s="191" t="s">
        <v>2590</v>
      </c>
      <c r="G400" s="191">
        <v>14</v>
      </c>
      <c r="H400" s="192">
        <v>0</v>
      </c>
      <c r="I400" s="192">
        <v>277.94</v>
      </c>
      <c r="J400" s="192">
        <f>SUM(H400:I400)</f>
        <v>277.94</v>
      </c>
    </row>
    <row r="401" spans="1:10" outlineLevel="2">
      <c r="A401" s="191" t="s">
        <v>292</v>
      </c>
      <c r="B401" s="191" t="s">
        <v>293</v>
      </c>
      <c r="C401" s="191" t="s">
        <v>294</v>
      </c>
      <c r="D401" s="191" t="s">
        <v>1739</v>
      </c>
      <c r="E401" s="191" t="s">
        <v>2630</v>
      </c>
      <c r="F401" s="191" t="s">
        <v>2617</v>
      </c>
      <c r="G401" s="191">
        <v>14</v>
      </c>
      <c r="H401" s="192">
        <v>0</v>
      </c>
      <c r="I401" s="192">
        <v>277.94</v>
      </c>
      <c r="J401" s="192">
        <f>SUM(H401:I401)</f>
        <v>277.94</v>
      </c>
    </row>
    <row r="402" spans="1:10" outlineLevel="2">
      <c r="A402" s="191" t="s">
        <v>292</v>
      </c>
      <c r="B402" s="191" t="s">
        <v>293</v>
      </c>
      <c r="C402" s="191" t="s">
        <v>294</v>
      </c>
      <c r="D402" s="191" t="s">
        <v>1737</v>
      </c>
      <c r="E402" s="191" t="s">
        <v>2705</v>
      </c>
      <c r="F402" s="191" t="s">
        <v>2706</v>
      </c>
      <c r="G402" s="191">
        <v>14</v>
      </c>
      <c r="H402" s="192">
        <v>0</v>
      </c>
      <c r="I402" s="192">
        <v>307.5</v>
      </c>
      <c r="J402" s="192">
        <f>SUM(H402:I402)</f>
        <v>307.5</v>
      </c>
    </row>
    <row r="403" spans="1:10" outlineLevel="2">
      <c r="A403" s="191" t="s">
        <v>295</v>
      </c>
      <c r="B403" s="191" t="s">
        <v>293</v>
      </c>
      <c r="C403" s="191" t="s">
        <v>294</v>
      </c>
      <c r="D403" s="191" t="s">
        <v>1740</v>
      </c>
      <c r="E403" s="191" t="s">
        <v>2707</v>
      </c>
      <c r="F403" s="191" t="s">
        <v>2707</v>
      </c>
      <c r="G403" s="191">
        <v>7</v>
      </c>
      <c r="H403" s="192">
        <v>0</v>
      </c>
      <c r="I403" s="192">
        <v>159.94</v>
      </c>
      <c r="J403" s="192">
        <f>SUM(H403:I403)</f>
        <v>159.94</v>
      </c>
    </row>
    <row r="404" spans="1:10" outlineLevel="2">
      <c r="A404" s="191" t="s">
        <v>295</v>
      </c>
      <c r="B404" s="191" t="s">
        <v>293</v>
      </c>
      <c r="C404" s="191" t="s">
        <v>294</v>
      </c>
      <c r="D404" s="191" t="s">
        <v>1741</v>
      </c>
      <c r="E404" s="191" t="s">
        <v>2660</v>
      </c>
      <c r="F404" s="191" t="s">
        <v>2660</v>
      </c>
      <c r="G404" s="191">
        <v>7</v>
      </c>
      <c r="H404" s="192">
        <v>0</v>
      </c>
      <c r="I404" s="192">
        <v>159.94</v>
      </c>
      <c r="J404" s="192">
        <f>SUM(H404:I404)</f>
        <v>159.94</v>
      </c>
    </row>
    <row r="405" spans="1:10" outlineLevel="2">
      <c r="A405" s="191" t="s">
        <v>295</v>
      </c>
      <c r="B405" s="191" t="s">
        <v>293</v>
      </c>
      <c r="C405" s="191" t="s">
        <v>294</v>
      </c>
      <c r="D405" s="191" t="s">
        <v>1742</v>
      </c>
      <c r="E405" s="191" t="s">
        <v>2661</v>
      </c>
      <c r="F405" s="191" t="s">
        <v>2661</v>
      </c>
      <c r="G405" s="191">
        <v>7</v>
      </c>
      <c r="H405" s="192">
        <v>0</v>
      </c>
      <c r="I405" s="192">
        <v>159.94</v>
      </c>
      <c r="J405" s="192">
        <f>SUM(H405:I405)</f>
        <v>159.94</v>
      </c>
    </row>
    <row r="406" spans="1:10" outlineLevel="2">
      <c r="A406" s="191" t="s">
        <v>295</v>
      </c>
      <c r="B406" s="191" t="s">
        <v>293</v>
      </c>
      <c r="C406" s="191" t="s">
        <v>294</v>
      </c>
      <c r="D406" s="191" t="s">
        <v>1743</v>
      </c>
      <c r="E406" s="191" t="s">
        <v>1496</v>
      </c>
      <c r="F406" s="191" t="s">
        <v>1496</v>
      </c>
      <c r="G406" s="191">
        <v>7</v>
      </c>
      <c r="H406" s="192">
        <v>0</v>
      </c>
      <c r="I406" s="192">
        <v>159.94</v>
      </c>
      <c r="J406" s="192">
        <f>SUM(H406:I406)</f>
        <v>159.94</v>
      </c>
    </row>
    <row r="407" spans="1:10" outlineLevel="2">
      <c r="A407" s="191" t="s">
        <v>295</v>
      </c>
      <c r="B407" s="191" t="s">
        <v>293</v>
      </c>
      <c r="C407" s="191" t="s">
        <v>294</v>
      </c>
      <c r="D407" s="191" t="s">
        <v>1744</v>
      </c>
      <c r="E407" s="191" t="s">
        <v>2640</v>
      </c>
      <c r="F407" s="191" t="s">
        <v>2640</v>
      </c>
      <c r="G407" s="191">
        <v>7</v>
      </c>
      <c r="H407" s="192">
        <v>0</v>
      </c>
      <c r="I407" s="192">
        <v>160.72999999999999</v>
      </c>
      <c r="J407" s="192">
        <f>SUM(H407:I407)</f>
        <v>160.72999999999999</v>
      </c>
    </row>
    <row r="408" spans="1:10" outlineLevel="2">
      <c r="A408" s="191" t="s">
        <v>295</v>
      </c>
      <c r="B408" s="191" t="s">
        <v>293</v>
      </c>
      <c r="C408" s="191" t="s">
        <v>294</v>
      </c>
      <c r="D408" s="191" t="s">
        <v>1745</v>
      </c>
      <c r="E408" s="191" t="s">
        <v>2591</v>
      </c>
      <c r="F408" s="191" t="s">
        <v>1486</v>
      </c>
      <c r="G408" s="191">
        <v>14</v>
      </c>
      <c r="H408" s="192">
        <v>0</v>
      </c>
      <c r="I408" s="192">
        <v>319.88</v>
      </c>
      <c r="J408" s="192">
        <f>SUM(H408:I408)</f>
        <v>319.88</v>
      </c>
    </row>
    <row r="409" spans="1:10" outlineLevel="2">
      <c r="A409" s="191" t="s">
        <v>296</v>
      </c>
      <c r="B409" s="191" t="s">
        <v>293</v>
      </c>
      <c r="C409" s="191" t="s">
        <v>294</v>
      </c>
      <c r="D409" s="191" t="s">
        <v>1746</v>
      </c>
      <c r="E409" s="191" t="s">
        <v>2669</v>
      </c>
      <c r="F409" s="191" t="s">
        <v>2589</v>
      </c>
      <c r="G409" s="191">
        <v>21</v>
      </c>
      <c r="H409" s="192">
        <v>0</v>
      </c>
      <c r="I409" s="192">
        <v>502.86</v>
      </c>
      <c r="J409" s="192">
        <f>SUM(H409:I409)</f>
        <v>502.86</v>
      </c>
    </row>
    <row r="410" spans="1:10" outlineLevel="2">
      <c r="A410" s="191" t="s">
        <v>296</v>
      </c>
      <c r="B410" s="191" t="s">
        <v>293</v>
      </c>
      <c r="C410" s="191" t="s">
        <v>294</v>
      </c>
      <c r="D410" s="191" t="s">
        <v>1745</v>
      </c>
      <c r="E410" s="191" t="s">
        <v>1485</v>
      </c>
      <c r="F410" s="191" t="s">
        <v>1486</v>
      </c>
      <c r="G410" s="191">
        <v>21</v>
      </c>
      <c r="H410" s="192">
        <v>0</v>
      </c>
      <c r="I410" s="192">
        <v>553.91999999999996</v>
      </c>
      <c r="J410" s="192">
        <f>SUM(H410:I410)</f>
        <v>553.91999999999996</v>
      </c>
    </row>
    <row r="411" spans="1:10" outlineLevel="2">
      <c r="A411" s="191" t="s">
        <v>297</v>
      </c>
      <c r="B411" s="191" t="s">
        <v>298</v>
      </c>
      <c r="C411" s="191" t="s">
        <v>294</v>
      </c>
      <c r="D411" s="191" t="s">
        <v>1747</v>
      </c>
      <c r="E411" s="191" t="s">
        <v>2708</v>
      </c>
      <c r="F411" s="191" t="s">
        <v>2634</v>
      </c>
      <c r="G411" s="191">
        <v>14</v>
      </c>
      <c r="H411" s="192">
        <v>0</v>
      </c>
      <c r="I411" s="192">
        <v>262.64</v>
      </c>
      <c r="J411" s="192">
        <f>SUM(H411:I411)</f>
        <v>262.64</v>
      </c>
    </row>
    <row r="412" spans="1:10" outlineLevel="2">
      <c r="A412" s="191" t="s">
        <v>297</v>
      </c>
      <c r="B412" s="191" t="s">
        <v>298</v>
      </c>
      <c r="C412" s="191" t="s">
        <v>294</v>
      </c>
      <c r="D412" s="191" t="s">
        <v>1745</v>
      </c>
      <c r="E412" s="191" t="s">
        <v>1485</v>
      </c>
      <c r="F412" s="191" t="s">
        <v>1486</v>
      </c>
      <c r="G412" s="191">
        <v>21</v>
      </c>
      <c r="H412" s="192">
        <v>0</v>
      </c>
      <c r="I412" s="192">
        <v>566.07000000000005</v>
      </c>
      <c r="J412" s="192">
        <f>SUM(H412:I412)</f>
        <v>566.07000000000005</v>
      </c>
    </row>
    <row r="413" spans="1:10" outlineLevel="2">
      <c r="A413" s="191" t="s">
        <v>297</v>
      </c>
      <c r="B413" s="191" t="s">
        <v>298</v>
      </c>
      <c r="C413" s="191" t="s">
        <v>294</v>
      </c>
      <c r="D413" s="191" t="s">
        <v>1748</v>
      </c>
      <c r="E413" s="191" t="s">
        <v>2624</v>
      </c>
      <c r="F413" s="191" t="s">
        <v>1496</v>
      </c>
      <c r="G413" s="191">
        <v>21</v>
      </c>
      <c r="H413" s="192">
        <v>0</v>
      </c>
      <c r="I413" s="192">
        <v>566.07000000000005</v>
      </c>
      <c r="J413" s="192">
        <f>SUM(H413:I413)</f>
        <v>566.07000000000005</v>
      </c>
    </row>
    <row r="414" spans="1:10" outlineLevel="2">
      <c r="A414" s="191" t="s">
        <v>299</v>
      </c>
      <c r="B414" s="191" t="s">
        <v>293</v>
      </c>
      <c r="C414" s="191" t="s">
        <v>294</v>
      </c>
      <c r="D414" s="191" t="s">
        <v>1741</v>
      </c>
      <c r="E414" s="191" t="s">
        <v>2660</v>
      </c>
      <c r="F414" s="191" t="s">
        <v>2660</v>
      </c>
      <c r="G414" s="191">
        <v>7</v>
      </c>
      <c r="H414" s="192">
        <v>0</v>
      </c>
      <c r="I414" s="192">
        <v>160.09</v>
      </c>
      <c r="J414" s="192">
        <f>SUM(H414:I414)</f>
        <v>160.09</v>
      </c>
    </row>
    <row r="415" spans="1:10" outlineLevel="2">
      <c r="A415" s="191" t="s">
        <v>299</v>
      </c>
      <c r="B415" s="191" t="s">
        <v>293</v>
      </c>
      <c r="C415" s="191" t="s">
        <v>294</v>
      </c>
      <c r="D415" s="191" t="s">
        <v>1749</v>
      </c>
      <c r="E415" s="191" t="s">
        <v>2591</v>
      </c>
      <c r="F415" s="191" t="s">
        <v>1486</v>
      </c>
      <c r="G415" s="191">
        <v>14</v>
      </c>
      <c r="H415" s="192">
        <v>0</v>
      </c>
      <c r="I415" s="192">
        <v>320.18</v>
      </c>
      <c r="J415" s="192">
        <f>SUM(H415:I415)</f>
        <v>320.18</v>
      </c>
    </row>
    <row r="416" spans="1:10" outlineLevel="2">
      <c r="A416" s="191" t="s">
        <v>299</v>
      </c>
      <c r="B416" s="191" t="s">
        <v>293</v>
      </c>
      <c r="C416" s="191" t="s">
        <v>294</v>
      </c>
      <c r="D416" s="191" t="s">
        <v>1750</v>
      </c>
      <c r="E416" s="191" t="s">
        <v>2634</v>
      </c>
      <c r="F416" s="191" t="s">
        <v>2626</v>
      </c>
      <c r="G416" s="191">
        <v>14</v>
      </c>
      <c r="H416" s="192">
        <v>0</v>
      </c>
      <c r="I416" s="192">
        <v>321.74</v>
      </c>
      <c r="J416" s="192">
        <f>SUM(H416:I416)</f>
        <v>321.74</v>
      </c>
    </row>
    <row r="417" spans="1:10" outlineLevel="2">
      <c r="A417" s="191" t="s">
        <v>299</v>
      </c>
      <c r="B417" s="191" t="s">
        <v>293</v>
      </c>
      <c r="C417" s="191" t="s">
        <v>294</v>
      </c>
      <c r="D417" s="191" t="s">
        <v>1751</v>
      </c>
      <c r="E417" s="191" t="s">
        <v>2669</v>
      </c>
      <c r="F417" s="191" t="s">
        <v>2589</v>
      </c>
      <c r="G417" s="191">
        <v>21</v>
      </c>
      <c r="H417" s="192">
        <v>0</v>
      </c>
      <c r="I417" s="192">
        <v>480.27</v>
      </c>
      <c r="J417" s="192">
        <f>SUM(H417:I417)</f>
        <v>480.27</v>
      </c>
    </row>
    <row r="418" spans="1:10" outlineLevel="2">
      <c r="A418" s="191" t="s">
        <v>300</v>
      </c>
      <c r="B418" s="191" t="s">
        <v>293</v>
      </c>
      <c r="C418" s="191" t="s">
        <v>294</v>
      </c>
      <c r="D418" s="191" t="s">
        <v>1746</v>
      </c>
      <c r="E418" s="191" t="s">
        <v>2669</v>
      </c>
      <c r="F418" s="191" t="s">
        <v>2589</v>
      </c>
      <c r="G418" s="191">
        <v>21</v>
      </c>
      <c r="H418" s="192">
        <v>0</v>
      </c>
      <c r="I418" s="192">
        <v>497.76</v>
      </c>
      <c r="J418" s="192">
        <f>SUM(H418:I418)</f>
        <v>497.76</v>
      </c>
    </row>
    <row r="419" spans="1:10" outlineLevel="2">
      <c r="A419" s="191" t="s">
        <v>300</v>
      </c>
      <c r="B419" s="191" t="s">
        <v>293</v>
      </c>
      <c r="C419" s="191" t="s">
        <v>294</v>
      </c>
      <c r="D419" s="191" t="s">
        <v>1745</v>
      </c>
      <c r="E419" s="191" t="s">
        <v>1485</v>
      </c>
      <c r="F419" s="191" t="s">
        <v>1486</v>
      </c>
      <c r="G419" s="191">
        <v>21</v>
      </c>
      <c r="H419" s="192">
        <v>0</v>
      </c>
      <c r="I419" s="192">
        <v>497.76</v>
      </c>
      <c r="J419" s="192">
        <f>SUM(H419:I419)</f>
        <v>497.76</v>
      </c>
    </row>
    <row r="420" spans="1:10" outlineLevel="2">
      <c r="A420" s="191" t="s">
        <v>301</v>
      </c>
      <c r="B420" s="191" t="s">
        <v>302</v>
      </c>
      <c r="C420" s="191" t="s">
        <v>294</v>
      </c>
      <c r="D420" s="191" t="s">
        <v>1752</v>
      </c>
      <c r="E420" s="191" t="s">
        <v>2614</v>
      </c>
      <c r="F420" s="191" t="s">
        <v>2614</v>
      </c>
      <c r="G420" s="191">
        <v>7</v>
      </c>
      <c r="H420" s="192">
        <v>0</v>
      </c>
      <c r="I420" s="192">
        <v>215.88</v>
      </c>
      <c r="J420" s="192">
        <f>SUM(H420:I420)</f>
        <v>215.88</v>
      </c>
    </row>
    <row r="421" spans="1:10" outlineLevel="2">
      <c r="A421" s="191" t="s">
        <v>301</v>
      </c>
      <c r="B421" s="191" t="s">
        <v>302</v>
      </c>
      <c r="C421" s="191" t="s">
        <v>294</v>
      </c>
      <c r="D421" s="191" t="s">
        <v>1752</v>
      </c>
      <c r="E421" s="191" t="s">
        <v>2623</v>
      </c>
      <c r="F421" s="191" t="s">
        <v>2709</v>
      </c>
      <c r="G421" s="191">
        <v>14</v>
      </c>
      <c r="H421" s="192">
        <v>0</v>
      </c>
      <c r="I421" s="192">
        <v>431.76</v>
      </c>
      <c r="J421" s="192">
        <f>SUM(H421:I421)</f>
        <v>431.76</v>
      </c>
    </row>
    <row r="422" spans="1:10" outlineLevel="2">
      <c r="A422" s="191" t="s">
        <v>301</v>
      </c>
      <c r="B422" s="191" t="s">
        <v>302</v>
      </c>
      <c r="C422" s="191" t="s">
        <v>294</v>
      </c>
      <c r="D422" s="191" t="s">
        <v>1747</v>
      </c>
      <c r="E422" s="191" t="s">
        <v>2634</v>
      </c>
      <c r="F422" s="191" t="s">
        <v>2626</v>
      </c>
      <c r="G422" s="191">
        <v>14</v>
      </c>
      <c r="H422" s="192">
        <v>0</v>
      </c>
      <c r="I422" s="192">
        <v>434.4</v>
      </c>
      <c r="J422" s="192">
        <f>SUM(H422:I422)</f>
        <v>434.4</v>
      </c>
    </row>
    <row r="423" spans="1:10" outlineLevel="2">
      <c r="A423" s="191" t="s">
        <v>303</v>
      </c>
      <c r="B423" s="191" t="s">
        <v>293</v>
      </c>
      <c r="C423" s="191" t="s">
        <v>294</v>
      </c>
      <c r="D423" s="191" t="s">
        <v>1745</v>
      </c>
      <c r="E423" s="191" t="s">
        <v>1485</v>
      </c>
      <c r="F423" s="191" t="s">
        <v>1486</v>
      </c>
      <c r="G423" s="191">
        <v>21</v>
      </c>
      <c r="H423" s="192">
        <v>0</v>
      </c>
      <c r="I423" s="192">
        <v>409.77</v>
      </c>
      <c r="J423" s="192">
        <f>SUM(H423:I423)</f>
        <v>409.77</v>
      </c>
    </row>
    <row r="424" spans="1:10" outlineLevel="2">
      <c r="A424" s="191" t="s">
        <v>304</v>
      </c>
      <c r="B424" s="191" t="s">
        <v>293</v>
      </c>
      <c r="C424" s="191" t="s">
        <v>294</v>
      </c>
      <c r="D424" s="191" t="s">
        <v>1753</v>
      </c>
      <c r="E424" s="191" t="s">
        <v>2596</v>
      </c>
      <c r="F424" s="191" t="s">
        <v>2596</v>
      </c>
      <c r="G424" s="191">
        <v>7</v>
      </c>
      <c r="H424" s="192">
        <v>0</v>
      </c>
      <c r="I424" s="192">
        <v>147.37</v>
      </c>
      <c r="J424" s="192">
        <f>SUM(H424:I424)</f>
        <v>147.37</v>
      </c>
    </row>
    <row r="425" spans="1:10" outlineLevel="2">
      <c r="A425" s="191" t="s">
        <v>304</v>
      </c>
      <c r="B425" s="191" t="s">
        <v>293</v>
      </c>
      <c r="C425" s="191" t="s">
        <v>294</v>
      </c>
      <c r="D425" s="191" t="s">
        <v>1754</v>
      </c>
      <c r="E425" s="191" t="s">
        <v>2640</v>
      </c>
      <c r="F425" s="191" t="s">
        <v>2640</v>
      </c>
      <c r="G425" s="191">
        <v>7</v>
      </c>
      <c r="H425" s="192">
        <v>0</v>
      </c>
      <c r="I425" s="192">
        <v>153.03</v>
      </c>
      <c r="J425" s="192">
        <f>SUM(H425:I425)</f>
        <v>153.03</v>
      </c>
    </row>
    <row r="426" spans="1:10" outlineLevel="2">
      <c r="A426" s="191" t="s">
        <v>304</v>
      </c>
      <c r="B426" s="191" t="s">
        <v>293</v>
      </c>
      <c r="C426" s="191" t="s">
        <v>294</v>
      </c>
      <c r="D426" s="191" t="s">
        <v>1751</v>
      </c>
      <c r="E426" s="191" t="s">
        <v>2669</v>
      </c>
      <c r="F426" s="191" t="s">
        <v>2589</v>
      </c>
      <c r="G426" s="191">
        <v>21</v>
      </c>
      <c r="H426" s="192">
        <v>0</v>
      </c>
      <c r="I426" s="192">
        <v>371.58</v>
      </c>
      <c r="J426" s="192">
        <f>SUM(H426:I426)</f>
        <v>371.58</v>
      </c>
    </row>
    <row r="427" spans="1:10" outlineLevel="2">
      <c r="A427" s="191" t="s">
        <v>304</v>
      </c>
      <c r="B427" s="191" t="s">
        <v>293</v>
      </c>
      <c r="C427" s="191" t="s">
        <v>294</v>
      </c>
      <c r="D427" s="191" t="s">
        <v>1750</v>
      </c>
      <c r="E427" s="191" t="s">
        <v>2708</v>
      </c>
      <c r="F427" s="191" t="s">
        <v>2626</v>
      </c>
      <c r="G427" s="191">
        <v>21</v>
      </c>
      <c r="H427" s="192">
        <v>0</v>
      </c>
      <c r="I427" s="192">
        <v>373.38</v>
      </c>
      <c r="J427" s="192">
        <f>SUM(H427:I427)</f>
        <v>373.38</v>
      </c>
    </row>
    <row r="428" spans="1:10" outlineLevel="2">
      <c r="A428" s="191" t="s">
        <v>305</v>
      </c>
      <c r="B428" s="191" t="s">
        <v>116</v>
      </c>
      <c r="C428" s="191" t="s">
        <v>294</v>
      </c>
      <c r="D428" s="191" t="s">
        <v>1755</v>
      </c>
      <c r="E428" s="191" t="s">
        <v>1481</v>
      </c>
      <c r="F428" s="191" t="s">
        <v>1481</v>
      </c>
      <c r="G428" s="191">
        <v>7</v>
      </c>
      <c r="H428" s="192">
        <v>0</v>
      </c>
      <c r="I428" s="192">
        <v>63.11</v>
      </c>
      <c r="J428" s="192">
        <f>SUM(H428:I428)</f>
        <v>63.11</v>
      </c>
    </row>
    <row r="429" spans="1:10" outlineLevel="2">
      <c r="A429" s="191" t="s">
        <v>305</v>
      </c>
      <c r="B429" s="191" t="s">
        <v>116</v>
      </c>
      <c r="C429" s="191" t="s">
        <v>294</v>
      </c>
      <c r="D429" s="191" t="s">
        <v>127</v>
      </c>
      <c r="E429" s="191" t="s">
        <v>2589</v>
      </c>
      <c r="F429" s="191" t="s">
        <v>2589</v>
      </c>
      <c r="G429" s="191">
        <v>7</v>
      </c>
      <c r="H429" s="192">
        <v>0</v>
      </c>
      <c r="I429" s="192">
        <v>63.11</v>
      </c>
      <c r="J429" s="192">
        <f>SUM(H429:I429)</f>
        <v>63.11</v>
      </c>
    </row>
    <row r="430" spans="1:10" outlineLevel="2">
      <c r="A430" s="191" t="s">
        <v>305</v>
      </c>
      <c r="B430" s="191" t="s">
        <v>116</v>
      </c>
      <c r="C430" s="191" t="s">
        <v>294</v>
      </c>
      <c r="D430" s="191" t="s">
        <v>1756</v>
      </c>
      <c r="E430" s="191" t="s">
        <v>2710</v>
      </c>
      <c r="F430" s="191" t="s">
        <v>2660</v>
      </c>
      <c r="G430" s="191">
        <v>14</v>
      </c>
      <c r="H430" s="192">
        <v>0</v>
      </c>
      <c r="I430" s="192">
        <v>126.22</v>
      </c>
      <c r="J430" s="192">
        <f>SUM(H430:I430)</f>
        <v>126.22</v>
      </c>
    </row>
    <row r="431" spans="1:10" outlineLevel="2">
      <c r="A431" s="191" t="s">
        <v>2827</v>
      </c>
      <c r="B431" s="191" t="s">
        <v>141</v>
      </c>
      <c r="C431" s="191" t="s">
        <v>294</v>
      </c>
      <c r="D431" s="191" t="s">
        <v>1757</v>
      </c>
      <c r="E431" s="191" t="s">
        <v>2646</v>
      </c>
      <c r="F431" s="191" t="s">
        <v>2646</v>
      </c>
      <c r="G431" s="191">
        <v>7</v>
      </c>
      <c r="H431" s="192">
        <v>0</v>
      </c>
      <c r="I431" s="192">
        <v>50.97</v>
      </c>
      <c r="J431" s="192">
        <f>SUM(H431:I431)</f>
        <v>50.97</v>
      </c>
    </row>
    <row r="432" spans="1:10" outlineLevel="2">
      <c r="A432" s="191" t="s">
        <v>306</v>
      </c>
      <c r="B432" s="191" t="s">
        <v>293</v>
      </c>
      <c r="C432" s="191" t="s">
        <v>294</v>
      </c>
      <c r="D432" s="191" t="s">
        <v>1758</v>
      </c>
      <c r="E432" s="191" t="s">
        <v>1486</v>
      </c>
      <c r="F432" s="191" t="s">
        <v>1486</v>
      </c>
      <c r="G432" s="191">
        <v>7</v>
      </c>
      <c r="H432" s="192">
        <v>0</v>
      </c>
      <c r="I432" s="192">
        <v>111.52</v>
      </c>
      <c r="J432" s="192">
        <f>SUM(H432:I432)</f>
        <v>111.52</v>
      </c>
    </row>
    <row r="433" spans="1:10" outlineLevel="2">
      <c r="A433" s="191" t="s">
        <v>306</v>
      </c>
      <c r="B433" s="191" t="s">
        <v>293</v>
      </c>
      <c r="C433" s="191" t="s">
        <v>294</v>
      </c>
      <c r="D433" s="191" t="s">
        <v>1747</v>
      </c>
      <c r="E433" s="191" t="s">
        <v>2708</v>
      </c>
      <c r="F433" s="191" t="s">
        <v>2626</v>
      </c>
      <c r="G433" s="191">
        <v>21</v>
      </c>
      <c r="H433" s="192">
        <v>0</v>
      </c>
      <c r="I433" s="192">
        <v>288.18</v>
      </c>
      <c r="J433" s="192">
        <f>SUM(H433:I433)</f>
        <v>288.18</v>
      </c>
    </row>
    <row r="434" spans="1:10" outlineLevel="2">
      <c r="A434" s="191" t="s">
        <v>307</v>
      </c>
      <c r="B434" s="191" t="s">
        <v>293</v>
      </c>
      <c r="C434" s="191" t="s">
        <v>294</v>
      </c>
      <c r="D434" s="191" t="s">
        <v>1755</v>
      </c>
      <c r="E434" s="191" t="s">
        <v>1481</v>
      </c>
      <c r="F434" s="191" t="s">
        <v>1481</v>
      </c>
      <c r="G434" s="191">
        <v>7</v>
      </c>
      <c r="H434" s="192">
        <v>0</v>
      </c>
      <c r="I434" s="192">
        <v>150.61000000000001</v>
      </c>
      <c r="J434" s="192">
        <f>SUM(H434:I434)</f>
        <v>150.61000000000001</v>
      </c>
    </row>
    <row r="435" spans="1:10" outlineLevel="2">
      <c r="A435" s="191" t="s">
        <v>307</v>
      </c>
      <c r="B435" s="191" t="s">
        <v>293</v>
      </c>
      <c r="C435" s="191" t="s">
        <v>294</v>
      </c>
      <c r="D435" s="191" t="s">
        <v>1744</v>
      </c>
      <c r="E435" s="191" t="s">
        <v>2640</v>
      </c>
      <c r="F435" s="191" t="s">
        <v>2640</v>
      </c>
      <c r="G435" s="191">
        <v>7</v>
      </c>
      <c r="H435" s="192">
        <v>0</v>
      </c>
      <c r="I435" s="192">
        <v>151.35</v>
      </c>
      <c r="J435" s="192">
        <f>SUM(H435:I435)</f>
        <v>151.35</v>
      </c>
    </row>
    <row r="436" spans="1:10" outlineLevel="2">
      <c r="A436" s="191" t="s">
        <v>307</v>
      </c>
      <c r="B436" s="191" t="s">
        <v>293</v>
      </c>
      <c r="C436" s="191" t="s">
        <v>294</v>
      </c>
      <c r="D436" s="191" t="s">
        <v>1759</v>
      </c>
      <c r="E436" s="191" t="s">
        <v>2710</v>
      </c>
      <c r="F436" s="191" t="s">
        <v>2660</v>
      </c>
      <c r="G436" s="191">
        <v>14</v>
      </c>
      <c r="H436" s="192">
        <v>0</v>
      </c>
      <c r="I436" s="192">
        <v>301.22000000000003</v>
      </c>
      <c r="J436" s="192">
        <f>SUM(H436:I436)</f>
        <v>301.22000000000003</v>
      </c>
    </row>
    <row r="437" spans="1:10" outlineLevel="2">
      <c r="A437" s="191" t="s">
        <v>307</v>
      </c>
      <c r="B437" s="191" t="s">
        <v>293</v>
      </c>
      <c r="C437" s="191" t="s">
        <v>294</v>
      </c>
      <c r="D437" s="191" t="s">
        <v>1760</v>
      </c>
      <c r="E437" s="191" t="s">
        <v>2711</v>
      </c>
      <c r="F437" s="191" t="s">
        <v>2589</v>
      </c>
      <c r="G437" s="191">
        <v>14</v>
      </c>
      <c r="H437" s="192">
        <v>0</v>
      </c>
      <c r="I437" s="192">
        <v>301.22000000000003</v>
      </c>
      <c r="J437" s="192">
        <f>SUM(H437:I437)</f>
        <v>301.22000000000003</v>
      </c>
    </row>
    <row r="438" spans="1:10" outlineLevel="2">
      <c r="A438" s="191" t="s">
        <v>308</v>
      </c>
      <c r="B438" s="191" t="s">
        <v>112</v>
      </c>
      <c r="C438" s="191" t="s">
        <v>294</v>
      </c>
      <c r="D438" s="191" t="s">
        <v>1745</v>
      </c>
      <c r="E438" s="191" t="s">
        <v>2591</v>
      </c>
      <c r="F438" s="191" t="s">
        <v>1486</v>
      </c>
      <c r="G438" s="191">
        <v>14</v>
      </c>
      <c r="H438" s="192">
        <v>0</v>
      </c>
      <c r="I438" s="192">
        <v>117.38</v>
      </c>
      <c r="J438" s="192">
        <f>SUM(H438:I438)</f>
        <v>117.38</v>
      </c>
    </row>
    <row r="439" spans="1:10" outlineLevel="2">
      <c r="A439" s="191" t="s">
        <v>308</v>
      </c>
      <c r="B439" s="191" t="s">
        <v>116</v>
      </c>
      <c r="C439" s="191" t="s">
        <v>294</v>
      </c>
      <c r="D439" s="191" t="s">
        <v>1744</v>
      </c>
      <c r="E439" s="191" t="s">
        <v>2640</v>
      </c>
      <c r="F439" s="191" t="s">
        <v>2640</v>
      </c>
      <c r="G439" s="191">
        <v>7</v>
      </c>
      <c r="H439" s="192">
        <v>0</v>
      </c>
      <c r="I439" s="192">
        <v>63.42</v>
      </c>
      <c r="J439" s="192">
        <f>SUM(H439:I439)</f>
        <v>63.42</v>
      </c>
    </row>
    <row r="440" spans="1:10" outlineLevel="2">
      <c r="A440" s="191" t="s">
        <v>309</v>
      </c>
      <c r="B440" s="191" t="s">
        <v>293</v>
      </c>
      <c r="C440" s="191" t="s">
        <v>294</v>
      </c>
      <c r="D440" s="191" t="s">
        <v>1761</v>
      </c>
      <c r="E440" s="191" t="s">
        <v>2608</v>
      </c>
      <c r="F440" s="191" t="s">
        <v>2608</v>
      </c>
      <c r="G440" s="191">
        <v>7</v>
      </c>
      <c r="H440" s="192">
        <v>0</v>
      </c>
      <c r="I440" s="192">
        <v>136.59</v>
      </c>
      <c r="J440" s="192">
        <f>SUM(H440:I440)</f>
        <v>136.59</v>
      </c>
    </row>
    <row r="441" spans="1:10" outlineLevel="2">
      <c r="A441" s="191" t="s">
        <v>309</v>
      </c>
      <c r="B441" s="191" t="s">
        <v>293</v>
      </c>
      <c r="C441" s="191" t="s">
        <v>294</v>
      </c>
      <c r="D441" s="191" t="s">
        <v>1762</v>
      </c>
      <c r="E441" s="191" t="s">
        <v>2682</v>
      </c>
      <c r="F441" s="191" t="s">
        <v>2682</v>
      </c>
      <c r="G441" s="191">
        <v>7</v>
      </c>
      <c r="H441" s="192">
        <v>0</v>
      </c>
      <c r="I441" s="192">
        <v>137.25</v>
      </c>
      <c r="J441" s="192">
        <f>SUM(H441:I441)</f>
        <v>137.25</v>
      </c>
    </row>
    <row r="442" spans="1:10" outlineLevel="2">
      <c r="A442" s="191" t="s">
        <v>309</v>
      </c>
      <c r="B442" s="191" t="s">
        <v>293</v>
      </c>
      <c r="C442" s="191" t="s">
        <v>294</v>
      </c>
      <c r="D442" s="191" t="s">
        <v>1763</v>
      </c>
      <c r="E442" s="191" t="s">
        <v>2700</v>
      </c>
      <c r="F442" s="191" t="s">
        <v>2614</v>
      </c>
      <c r="G442" s="191">
        <v>14</v>
      </c>
      <c r="H442" s="192">
        <v>0</v>
      </c>
      <c r="I442" s="192">
        <v>273.18</v>
      </c>
      <c r="J442" s="192">
        <f>SUM(H442:I442)</f>
        <v>273.18</v>
      </c>
    </row>
    <row r="443" spans="1:10" outlineLevel="2">
      <c r="A443" s="191" t="s">
        <v>309</v>
      </c>
      <c r="B443" s="191" t="s">
        <v>293</v>
      </c>
      <c r="C443" s="191" t="s">
        <v>294</v>
      </c>
      <c r="D443" s="191" t="s">
        <v>1763</v>
      </c>
      <c r="E443" s="191" t="s">
        <v>2623</v>
      </c>
      <c r="F443" s="191" t="s">
        <v>2627</v>
      </c>
      <c r="G443" s="191">
        <v>21</v>
      </c>
      <c r="H443" s="192">
        <v>0</v>
      </c>
      <c r="I443" s="192">
        <v>409.77</v>
      </c>
      <c r="J443" s="192">
        <f>SUM(H443:I443)</f>
        <v>409.77</v>
      </c>
    </row>
    <row r="444" spans="1:10" outlineLevel="2">
      <c r="A444" s="191" t="s">
        <v>310</v>
      </c>
      <c r="B444" s="191" t="s">
        <v>147</v>
      </c>
      <c r="C444" s="191" t="s">
        <v>294</v>
      </c>
      <c r="D444" s="191" t="s">
        <v>1745</v>
      </c>
      <c r="E444" s="191" t="s">
        <v>1485</v>
      </c>
      <c r="F444" s="191" t="s">
        <v>1486</v>
      </c>
      <c r="G444" s="191">
        <v>21</v>
      </c>
      <c r="H444" s="192">
        <v>0</v>
      </c>
      <c r="I444" s="192">
        <v>166.32</v>
      </c>
      <c r="J444" s="192">
        <f>SUM(H444:I444)</f>
        <v>166.32</v>
      </c>
    </row>
    <row r="445" spans="1:10" outlineLevel="2">
      <c r="A445" s="191" t="s">
        <v>310</v>
      </c>
      <c r="B445" s="191" t="s">
        <v>112</v>
      </c>
      <c r="C445" s="191" t="s">
        <v>294</v>
      </c>
      <c r="D445" s="191" t="s">
        <v>1764</v>
      </c>
      <c r="E445" s="191" t="s">
        <v>2650</v>
      </c>
      <c r="F445" s="191" t="s">
        <v>2650</v>
      </c>
      <c r="G445" s="191">
        <v>7</v>
      </c>
      <c r="H445" s="192">
        <v>0</v>
      </c>
      <c r="I445" s="192">
        <v>58.97</v>
      </c>
      <c r="J445" s="192">
        <f>SUM(H445:I445)</f>
        <v>58.97</v>
      </c>
    </row>
    <row r="446" spans="1:10" outlineLevel="2">
      <c r="A446" s="191" t="s">
        <v>310</v>
      </c>
      <c r="B446" s="191" t="s">
        <v>112</v>
      </c>
      <c r="C446" s="191" t="s">
        <v>294</v>
      </c>
      <c r="D446" s="191" t="s">
        <v>1765</v>
      </c>
      <c r="E446" s="191" t="s">
        <v>2625</v>
      </c>
      <c r="F446" s="191" t="s">
        <v>2626</v>
      </c>
      <c r="G446" s="191">
        <v>28</v>
      </c>
      <c r="H446" s="192">
        <v>0</v>
      </c>
      <c r="I446" s="192">
        <v>235.88</v>
      </c>
      <c r="J446" s="192">
        <f>SUM(H446:I446)</f>
        <v>235.88</v>
      </c>
    </row>
    <row r="447" spans="1:10" outlineLevel="2">
      <c r="A447" s="191" t="s">
        <v>311</v>
      </c>
      <c r="B447" s="191" t="s">
        <v>293</v>
      </c>
      <c r="C447" s="191" t="s">
        <v>294</v>
      </c>
      <c r="D447" s="191" t="s">
        <v>1755</v>
      </c>
      <c r="E447" s="191" t="s">
        <v>1481</v>
      </c>
      <c r="F447" s="191" t="s">
        <v>1481</v>
      </c>
      <c r="G447" s="191">
        <v>7</v>
      </c>
      <c r="H447" s="192">
        <v>0</v>
      </c>
      <c r="I447" s="192">
        <v>141.01</v>
      </c>
      <c r="J447" s="192">
        <f>SUM(H447:I447)</f>
        <v>141.01</v>
      </c>
    </row>
    <row r="448" spans="1:10" outlineLevel="2">
      <c r="A448" s="191" t="s">
        <v>311</v>
      </c>
      <c r="B448" s="191" t="s">
        <v>293</v>
      </c>
      <c r="C448" s="191" t="s">
        <v>294</v>
      </c>
      <c r="D448" s="191" t="s">
        <v>1741</v>
      </c>
      <c r="E448" s="191" t="s">
        <v>2660</v>
      </c>
      <c r="F448" s="191" t="s">
        <v>2660</v>
      </c>
      <c r="G448" s="191">
        <v>7</v>
      </c>
      <c r="H448" s="192">
        <v>0</v>
      </c>
      <c r="I448" s="192">
        <v>141.01</v>
      </c>
      <c r="J448" s="192">
        <f>SUM(H448:I448)</f>
        <v>141.01</v>
      </c>
    </row>
    <row r="449" spans="1:10" outlineLevel="2">
      <c r="A449" s="191" t="s">
        <v>312</v>
      </c>
      <c r="B449" s="191" t="s">
        <v>147</v>
      </c>
      <c r="C449" s="191" t="s">
        <v>294</v>
      </c>
      <c r="D449" s="191" t="s">
        <v>1766</v>
      </c>
      <c r="E449" s="191" t="s">
        <v>1485</v>
      </c>
      <c r="F449" s="191" t="s">
        <v>1486</v>
      </c>
      <c r="G449" s="191">
        <v>21</v>
      </c>
      <c r="H449" s="192">
        <v>0</v>
      </c>
      <c r="I449" s="192">
        <v>160.68</v>
      </c>
      <c r="J449" s="192">
        <f>SUM(H449:I449)</f>
        <v>160.68</v>
      </c>
    </row>
    <row r="450" spans="1:10" outlineLevel="1">
      <c r="A450" s="193" t="s">
        <v>3005</v>
      </c>
      <c r="B450" s="194"/>
      <c r="C450" s="194"/>
      <c r="D450" s="194"/>
      <c r="E450" s="194"/>
      <c r="F450" s="194"/>
      <c r="G450" s="194">
        <f>SUBTOTAL(9,G399:G449)</f>
        <v>672</v>
      </c>
      <c r="H450" s="195">
        <f>SUBTOTAL(9,H399:H449)</f>
        <v>0</v>
      </c>
      <c r="I450" s="195">
        <f>SUBTOTAL(9,I399:I449)</f>
        <v>13053</v>
      </c>
      <c r="J450" s="195">
        <f>SUBTOTAL(9,J399:J449)</f>
        <v>13053</v>
      </c>
    </row>
    <row r="451" spans="1:10" outlineLevel="2">
      <c r="A451" s="191" t="s">
        <v>2828</v>
      </c>
      <c r="B451" s="191" t="s">
        <v>314</v>
      </c>
      <c r="C451" s="191" t="s">
        <v>315</v>
      </c>
      <c r="D451" s="191" t="s">
        <v>1767</v>
      </c>
      <c r="E451" s="191" t="s">
        <v>2646</v>
      </c>
      <c r="F451" s="191" t="s">
        <v>2646</v>
      </c>
      <c r="G451" s="191">
        <v>7</v>
      </c>
      <c r="H451" s="192">
        <v>0</v>
      </c>
      <c r="I451" s="192">
        <v>159.51</v>
      </c>
      <c r="J451" s="192">
        <f>SUM(H451:I451)</f>
        <v>159.51</v>
      </c>
    </row>
    <row r="452" spans="1:10" outlineLevel="2">
      <c r="A452" s="191" t="s">
        <v>313</v>
      </c>
      <c r="B452" s="191" t="s">
        <v>314</v>
      </c>
      <c r="C452" s="191" t="s">
        <v>315</v>
      </c>
      <c r="D452" s="191" t="s">
        <v>1768</v>
      </c>
      <c r="E452" s="191" t="s">
        <v>2625</v>
      </c>
      <c r="F452" s="191" t="s">
        <v>2625</v>
      </c>
      <c r="G452" s="191">
        <v>7</v>
      </c>
      <c r="H452" s="192">
        <v>0</v>
      </c>
      <c r="I452" s="192">
        <v>161.22999999999999</v>
      </c>
      <c r="J452" s="192">
        <f>SUM(H452:I452)</f>
        <v>161.22999999999999</v>
      </c>
    </row>
    <row r="453" spans="1:10" outlineLevel="2">
      <c r="A453" s="191" t="s">
        <v>313</v>
      </c>
      <c r="B453" s="191" t="s">
        <v>314</v>
      </c>
      <c r="C453" s="191" t="s">
        <v>315</v>
      </c>
      <c r="D453" s="191" t="s">
        <v>1769</v>
      </c>
      <c r="E453" s="191" t="s">
        <v>2610</v>
      </c>
      <c r="F453" s="191" t="s">
        <v>2615</v>
      </c>
      <c r="G453" s="191">
        <v>14</v>
      </c>
      <c r="H453" s="192">
        <v>0</v>
      </c>
      <c r="I453" s="192">
        <v>322.45999999999998</v>
      </c>
      <c r="J453" s="192">
        <f>SUM(H453:I453)</f>
        <v>322.45999999999998</v>
      </c>
    </row>
    <row r="454" spans="1:10" outlineLevel="2">
      <c r="A454" s="191" t="s">
        <v>313</v>
      </c>
      <c r="B454" s="191" t="s">
        <v>314</v>
      </c>
      <c r="C454" s="191" t="s">
        <v>315</v>
      </c>
      <c r="D454" s="191" t="s">
        <v>1770</v>
      </c>
      <c r="E454" s="191" t="s">
        <v>2627</v>
      </c>
      <c r="F454" s="191" t="s">
        <v>1482</v>
      </c>
      <c r="G454" s="191">
        <v>21</v>
      </c>
      <c r="H454" s="192">
        <v>0</v>
      </c>
      <c r="I454" s="192">
        <v>481.32</v>
      </c>
      <c r="J454" s="192">
        <f>SUM(H454:I454)</f>
        <v>481.32</v>
      </c>
    </row>
    <row r="455" spans="1:10" outlineLevel="2">
      <c r="A455" s="191" t="s">
        <v>316</v>
      </c>
      <c r="B455" s="191" t="s">
        <v>314</v>
      </c>
      <c r="C455" s="191" t="s">
        <v>315</v>
      </c>
      <c r="D455" s="191" t="s">
        <v>1771</v>
      </c>
      <c r="E455" s="191" t="s">
        <v>2601</v>
      </c>
      <c r="F455" s="191" t="s">
        <v>2590</v>
      </c>
      <c r="G455" s="191">
        <v>14</v>
      </c>
      <c r="H455" s="192">
        <v>0</v>
      </c>
      <c r="I455" s="192">
        <v>262.33999999999997</v>
      </c>
      <c r="J455" s="192">
        <f>SUM(H455:I455)</f>
        <v>262.33999999999997</v>
      </c>
    </row>
    <row r="456" spans="1:10" outlineLevel="2">
      <c r="A456" s="191" t="s">
        <v>316</v>
      </c>
      <c r="B456" s="191" t="s">
        <v>314</v>
      </c>
      <c r="C456" s="191" t="s">
        <v>315</v>
      </c>
      <c r="D456" s="191" t="s">
        <v>1770</v>
      </c>
      <c r="E456" s="191" t="s">
        <v>2627</v>
      </c>
      <c r="F456" s="191" t="s">
        <v>1482</v>
      </c>
      <c r="G456" s="191">
        <v>21</v>
      </c>
      <c r="H456" s="192">
        <v>0</v>
      </c>
      <c r="I456" s="192">
        <v>404.64</v>
      </c>
      <c r="J456" s="192">
        <f>SUM(H456:I456)</f>
        <v>404.64</v>
      </c>
    </row>
    <row r="457" spans="1:10" outlineLevel="2">
      <c r="A457" s="191" t="s">
        <v>317</v>
      </c>
      <c r="B457" s="191" t="s">
        <v>318</v>
      </c>
      <c r="C457" s="191" t="s">
        <v>315</v>
      </c>
      <c r="D457" s="191" t="s">
        <v>1768</v>
      </c>
      <c r="E457" s="191" t="s">
        <v>2625</v>
      </c>
      <c r="F457" s="191" t="s">
        <v>2625</v>
      </c>
      <c r="G457" s="191">
        <v>7</v>
      </c>
      <c r="H457" s="192">
        <v>0</v>
      </c>
      <c r="I457" s="192">
        <v>169.36</v>
      </c>
      <c r="J457" s="192">
        <f>SUM(H457:I457)</f>
        <v>169.36</v>
      </c>
    </row>
    <row r="458" spans="1:10" outlineLevel="2">
      <c r="A458" s="191" t="s">
        <v>317</v>
      </c>
      <c r="B458" s="191" t="s">
        <v>318</v>
      </c>
      <c r="C458" s="191" t="s">
        <v>315</v>
      </c>
      <c r="D458" s="191" t="s">
        <v>1772</v>
      </c>
      <c r="E458" s="191" t="s">
        <v>1480</v>
      </c>
      <c r="F458" s="191" t="s">
        <v>1480</v>
      </c>
      <c r="G458" s="191">
        <v>7</v>
      </c>
      <c r="H458" s="192">
        <v>0</v>
      </c>
      <c r="I458" s="192">
        <v>169.36</v>
      </c>
      <c r="J458" s="192">
        <f>SUM(H458:I458)</f>
        <v>169.36</v>
      </c>
    </row>
    <row r="459" spans="1:10" outlineLevel="2">
      <c r="A459" s="191" t="s">
        <v>317</v>
      </c>
      <c r="B459" s="191" t="s">
        <v>318</v>
      </c>
      <c r="C459" s="191" t="s">
        <v>315</v>
      </c>
      <c r="D459" s="191" t="s">
        <v>1773</v>
      </c>
      <c r="E459" s="191" t="s">
        <v>2610</v>
      </c>
      <c r="F459" s="191" t="s">
        <v>2615</v>
      </c>
      <c r="G459" s="191">
        <v>14</v>
      </c>
      <c r="H459" s="192">
        <v>0</v>
      </c>
      <c r="I459" s="192">
        <v>327.8</v>
      </c>
      <c r="J459" s="192">
        <f>SUM(H459:I459)</f>
        <v>327.8</v>
      </c>
    </row>
    <row r="460" spans="1:10" outlineLevel="2">
      <c r="A460" s="191" t="s">
        <v>317</v>
      </c>
      <c r="B460" s="191" t="s">
        <v>318</v>
      </c>
      <c r="C460" s="191" t="s">
        <v>315</v>
      </c>
      <c r="D460" s="191" t="s">
        <v>1770</v>
      </c>
      <c r="E460" s="191" t="s">
        <v>2627</v>
      </c>
      <c r="F460" s="191" t="s">
        <v>1482</v>
      </c>
      <c r="G460" s="191">
        <v>21</v>
      </c>
      <c r="H460" s="192">
        <v>0</v>
      </c>
      <c r="I460" s="192">
        <v>505.59</v>
      </c>
      <c r="J460" s="192">
        <f>SUM(H460:I460)</f>
        <v>505.59</v>
      </c>
    </row>
    <row r="461" spans="1:10" outlineLevel="2">
      <c r="A461" s="191" t="s">
        <v>319</v>
      </c>
      <c r="B461" s="191" t="s">
        <v>314</v>
      </c>
      <c r="C461" s="191" t="s">
        <v>315</v>
      </c>
      <c r="D461" s="191" t="s">
        <v>1770</v>
      </c>
      <c r="E461" s="191" t="s">
        <v>2627</v>
      </c>
      <c r="F461" s="191" t="s">
        <v>2658</v>
      </c>
      <c r="G461" s="191">
        <v>14</v>
      </c>
      <c r="H461" s="192">
        <v>0</v>
      </c>
      <c r="I461" s="192">
        <v>273.18</v>
      </c>
      <c r="J461" s="192">
        <f>SUM(H461:I461)</f>
        <v>273.18</v>
      </c>
    </row>
    <row r="462" spans="1:10" outlineLevel="2">
      <c r="A462" s="191" t="s">
        <v>2829</v>
      </c>
      <c r="B462" s="191" t="s">
        <v>314</v>
      </c>
      <c r="C462" s="191" t="s">
        <v>315</v>
      </c>
      <c r="D462" s="191" t="s">
        <v>1774</v>
      </c>
      <c r="E462" s="191" t="s">
        <v>2712</v>
      </c>
      <c r="F462" s="191" t="s">
        <v>2713</v>
      </c>
      <c r="G462" s="191">
        <v>14</v>
      </c>
      <c r="H462" s="192">
        <v>0</v>
      </c>
      <c r="I462" s="192">
        <v>266.36</v>
      </c>
      <c r="J462" s="192">
        <f>SUM(H462:I462)</f>
        <v>266.36</v>
      </c>
    </row>
    <row r="463" spans="1:10" outlineLevel="2">
      <c r="A463" s="191" t="s">
        <v>2829</v>
      </c>
      <c r="B463" s="191" t="s">
        <v>314</v>
      </c>
      <c r="C463" s="191" t="s">
        <v>315</v>
      </c>
      <c r="D463" s="191" t="s">
        <v>1775</v>
      </c>
      <c r="E463" s="191" t="s">
        <v>1485</v>
      </c>
      <c r="F463" s="191" t="s">
        <v>1486</v>
      </c>
      <c r="G463" s="191">
        <v>21</v>
      </c>
      <c r="H463" s="192">
        <v>0</v>
      </c>
      <c r="I463" s="192">
        <v>399.54</v>
      </c>
      <c r="J463" s="192">
        <f>SUM(H463:I463)</f>
        <v>399.54</v>
      </c>
    </row>
    <row r="464" spans="1:10" outlineLevel="2">
      <c r="A464" s="191" t="s">
        <v>320</v>
      </c>
      <c r="B464" s="191" t="s">
        <v>314</v>
      </c>
      <c r="C464" s="191" t="s">
        <v>315</v>
      </c>
      <c r="D464" s="191" t="s">
        <v>1776</v>
      </c>
      <c r="E464" s="191" t="s">
        <v>2714</v>
      </c>
      <c r="F464" s="191" t="s">
        <v>2714</v>
      </c>
      <c r="G464" s="191">
        <v>7</v>
      </c>
      <c r="H464" s="192">
        <v>0</v>
      </c>
      <c r="I464" s="192">
        <v>265.14</v>
      </c>
      <c r="J464" s="192">
        <f>SUM(H464:I464)</f>
        <v>265.14</v>
      </c>
    </row>
    <row r="465" spans="1:10" outlineLevel="2">
      <c r="A465" s="191" t="s">
        <v>320</v>
      </c>
      <c r="B465" s="191" t="s">
        <v>314</v>
      </c>
      <c r="C465" s="191" t="s">
        <v>315</v>
      </c>
      <c r="D465" s="191" t="s">
        <v>1777</v>
      </c>
      <c r="E465" s="191" t="s">
        <v>1489</v>
      </c>
      <c r="F465" s="191" t="s">
        <v>1490</v>
      </c>
      <c r="G465" s="191">
        <v>14</v>
      </c>
      <c r="H465" s="192">
        <v>0</v>
      </c>
      <c r="I465" s="192">
        <v>382.18</v>
      </c>
      <c r="J465" s="192">
        <f>SUM(H465:I465)</f>
        <v>382.18</v>
      </c>
    </row>
    <row r="466" spans="1:10" outlineLevel="2">
      <c r="A466" s="191" t="s">
        <v>321</v>
      </c>
      <c r="B466" s="191" t="s">
        <v>314</v>
      </c>
      <c r="C466" s="191" t="s">
        <v>315</v>
      </c>
      <c r="D466" s="191" t="s">
        <v>1774</v>
      </c>
      <c r="E466" s="191" t="s">
        <v>2712</v>
      </c>
      <c r="F466" s="191" t="s">
        <v>2715</v>
      </c>
      <c r="G466" s="191">
        <v>21</v>
      </c>
      <c r="H466" s="192">
        <v>0</v>
      </c>
      <c r="I466" s="192">
        <v>446.82</v>
      </c>
      <c r="J466" s="192">
        <f>SUM(H466:I466)</f>
        <v>446.82</v>
      </c>
    </row>
    <row r="467" spans="1:10" outlineLevel="2">
      <c r="A467" s="191" t="s">
        <v>321</v>
      </c>
      <c r="B467" s="191" t="s">
        <v>314</v>
      </c>
      <c r="C467" s="191" t="s">
        <v>315</v>
      </c>
      <c r="D467" s="191" t="s">
        <v>1778</v>
      </c>
      <c r="E467" s="191" t="s">
        <v>1485</v>
      </c>
      <c r="F467" s="191" t="s">
        <v>1486</v>
      </c>
      <c r="G467" s="191">
        <v>21</v>
      </c>
      <c r="H467" s="192">
        <v>0</v>
      </c>
      <c r="I467" s="192">
        <v>451.92</v>
      </c>
      <c r="J467" s="192">
        <f>SUM(H467:I467)</f>
        <v>451.92</v>
      </c>
    </row>
    <row r="468" spans="1:10" outlineLevel="2">
      <c r="A468" s="191" t="s">
        <v>322</v>
      </c>
      <c r="B468" s="191" t="s">
        <v>314</v>
      </c>
      <c r="C468" s="191" t="s">
        <v>315</v>
      </c>
      <c r="D468" s="191" t="s">
        <v>1779</v>
      </c>
      <c r="E468" s="191" t="s">
        <v>2676</v>
      </c>
      <c r="F468" s="191" t="s">
        <v>2609</v>
      </c>
      <c r="G468" s="191">
        <v>21</v>
      </c>
      <c r="H468" s="192">
        <v>0</v>
      </c>
      <c r="I468" s="192">
        <v>411.75</v>
      </c>
      <c r="J468" s="192">
        <f>SUM(H468:I468)</f>
        <v>411.75</v>
      </c>
    </row>
    <row r="469" spans="1:10" outlineLevel="2">
      <c r="A469" s="191" t="s">
        <v>323</v>
      </c>
      <c r="B469" s="191" t="s">
        <v>314</v>
      </c>
      <c r="C469" s="191" t="s">
        <v>315</v>
      </c>
      <c r="D469" s="191" t="s">
        <v>1774</v>
      </c>
      <c r="E469" s="191" t="s">
        <v>2712</v>
      </c>
      <c r="F469" s="191" t="s">
        <v>2715</v>
      </c>
      <c r="G469" s="191">
        <v>21</v>
      </c>
      <c r="H469" s="192">
        <v>0</v>
      </c>
      <c r="I469" s="192">
        <v>288.24</v>
      </c>
      <c r="J469" s="192">
        <f>SUM(H469:I469)</f>
        <v>288.24</v>
      </c>
    </row>
    <row r="470" spans="1:10" outlineLevel="2">
      <c r="A470" s="191" t="s">
        <v>324</v>
      </c>
      <c r="B470" s="191" t="s">
        <v>112</v>
      </c>
      <c r="C470" s="191" t="s">
        <v>315</v>
      </c>
      <c r="D470" s="191" t="s">
        <v>1770</v>
      </c>
      <c r="E470" s="191" t="s">
        <v>2627</v>
      </c>
      <c r="F470" s="191" t="s">
        <v>1482</v>
      </c>
      <c r="G470" s="191">
        <v>21</v>
      </c>
      <c r="H470" s="192">
        <v>0</v>
      </c>
      <c r="I470" s="192">
        <v>176.07</v>
      </c>
      <c r="J470" s="192">
        <f>SUM(H470:I470)</f>
        <v>176.07</v>
      </c>
    </row>
    <row r="471" spans="1:10" outlineLevel="2">
      <c r="A471" s="191" t="s">
        <v>324</v>
      </c>
      <c r="B471" s="191" t="s">
        <v>116</v>
      </c>
      <c r="C471" s="191" t="s">
        <v>315</v>
      </c>
      <c r="D471" s="191" t="s">
        <v>1780</v>
      </c>
      <c r="E471" s="191" t="s">
        <v>2640</v>
      </c>
      <c r="F471" s="191" t="s">
        <v>2640</v>
      </c>
      <c r="G471" s="191">
        <v>7</v>
      </c>
      <c r="H471" s="192">
        <v>0</v>
      </c>
      <c r="I471" s="192">
        <v>63.42</v>
      </c>
      <c r="J471" s="192">
        <f>SUM(H471:I471)</f>
        <v>63.42</v>
      </c>
    </row>
    <row r="472" spans="1:10" outlineLevel="2">
      <c r="A472" s="191" t="s">
        <v>2830</v>
      </c>
      <c r="B472" s="191" t="s">
        <v>314</v>
      </c>
      <c r="C472" s="191" t="s">
        <v>315</v>
      </c>
      <c r="D472" s="191" t="s">
        <v>1768</v>
      </c>
      <c r="E472" s="191" t="s">
        <v>2625</v>
      </c>
      <c r="F472" s="191" t="s">
        <v>2625</v>
      </c>
      <c r="G472" s="191">
        <v>7</v>
      </c>
      <c r="H472" s="192">
        <v>0</v>
      </c>
      <c r="I472" s="192">
        <v>171.07</v>
      </c>
      <c r="J472" s="192">
        <f>SUM(H472:I472)</f>
        <v>171.07</v>
      </c>
    </row>
    <row r="473" spans="1:10" outlineLevel="2">
      <c r="A473" s="191" t="s">
        <v>2830</v>
      </c>
      <c r="B473" s="191" t="s">
        <v>314</v>
      </c>
      <c r="C473" s="191" t="s">
        <v>315</v>
      </c>
      <c r="D473" s="191" t="s">
        <v>1781</v>
      </c>
      <c r="E473" s="191" t="s">
        <v>2603</v>
      </c>
      <c r="F473" s="191" t="s">
        <v>2603</v>
      </c>
      <c r="G473" s="191">
        <v>7</v>
      </c>
      <c r="H473" s="192">
        <v>0</v>
      </c>
      <c r="I473" s="192">
        <v>171.07</v>
      </c>
      <c r="J473" s="192">
        <f>SUM(H473:I473)</f>
        <v>171.07</v>
      </c>
    </row>
    <row r="474" spans="1:10" outlineLevel="2">
      <c r="A474" s="191" t="s">
        <v>2831</v>
      </c>
      <c r="B474" s="191" t="s">
        <v>314</v>
      </c>
      <c r="C474" s="191" t="s">
        <v>315</v>
      </c>
      <c r="D474" s="191" t="s">
        <v>1782</v>
      </c>
      <c r="E474" s="191" t="s">
        <v>1489</v>
      </c>
      <c r="F474" s="191" t="s">
        <v>1490</v>
      </c>
      <c r="G474" s="191">
        <v>14</v>
      </c>
      <c r="H474" s="192">
        <v>0</v>
      </c>
      <c r="I474" s="192">
        <v>441.46</v>
      </c>
      <c r="J474" s="192">
        <f>SUM(H474:I474)</f>
        <v>441.46</v>
      </c>
    </row>
    <row r="475" spans="1:10" outlineLevel="2">
      <c r="A475" s="191" t="s">
        <v>2832</v>
      </c>
      <c r="B475" s="191" t="s">
        <v>314</v>
      </c>
      <c r="C475" s="191" t="s">
        <v>315</v>
      </c>
      <c r="D475" s="191" t="s">
        <v>1768</v>
      </c>
      <c r="E475" s="191" t="s">
        <v>2625</v>
      </c>
      <c r="F475" s="191" t="s">
        <v>2625</v>
      </c>
      <c r="G475" s="191">
        <v>7</v>
      </c>
      <c r="H475" s="192">
        <v>0</v>
      </c>
      <c r="I475" s="192">
        <v>144.86000000000001</v>
      </c>
      <c r="J475" s="192">
        <f>SUM(H475:I475)</f>
        <v>144.86000000000001</v>
      </c>
    </row>
    <row r="476" spans="1:10" outlineLevel="2">
      <c r="A476" s="191" t="s">
        <v>325</v>
      </c>
      <c r="B476" s="191" t="s">
        <v>116</v>
      </c>
      <c r="C476" s="191" t="s">
        <v>315</v>
      </c>
      <c r="D476" s="191" t="s">
        <v>1774</v>
      </c>
      <c r="E476" s="191" t="s">
        <v>2715</v>
      </c>
      <c r="F476" s="191" t="s">
        <v>2715</v>
      </c>
      <c r="G476" s="191">
        <v>7</v>
      </c>
      <c r="H476" s="192">
        <v>0</v>
      </c>
      <c r="I476" s="192">
        <v>63.11</v>
      </c>
      <c r="J476" s="192">
        <f>SUM(H476:I476)</f>
        <v>63.11</v>
      </c>
    </row>
    <row r="477" spans="1:10" outlineLevel="2">
      <c r="A477" s="191" t="s">
        <v>325</v>
      </c>
      <c r="B477" s="191" t="s">
        <v>116</v>
      </c>
      <c r="C477" s="191" t="s">
        <v>315</v>
      </c>
      <c r="D477" s="191" t="s">
        <v>1783</v>
      </c>
      <c r="E477" s="191" t="s">
        <v>2596</v>
      </c>
      <c r="F477" s="191" t="s">
        <v>2596</v>
      </c>
      <c r="G477" s="191">
        <v>7</v>
      </c>
      <c r="H477" s="192">
        <v>0</v>
      </c>
      <c r="I477" s="192">
        <v>63.11</v>
      </c>
      <c r="J477" s="192">
        <f>SUM(H477:I477)</f>
        <v>63.11</v>
      </c>
    </row>
    <row r="478" spans="1:10" outlineLevel="2">
      <c r="A478" s="191" t="s">
        <v>325</v>
      </c>
      <c r="B478" s="191" t="s">
        <v>116</v>
      </c>
      <c r="C478" s="191" t="s">
        <v>315</v>
      </c>
      <c r="D478" s="191" t="s">
        <v>1770</v>
      </c>
      <c r="E478" s="191" t="s">
        <v>2658</v>
      </c>
      <c r="F478" s="191" t="s">
        <v>1482</v>
      </c>
      <c r="G478" s="191">
        <v>14</v>
      </c>
      <c r="H478" s="192">
        <v>0</v>
      </c>
      <c r="I478" s="192">
        <v>126.22</v>
      </c>
      <c r="J478" s="192">
        <f>SUM(H478:I478)</f>
        <v>126.22</v>
      </c>
    </row>
    <row r="479" spans="1:10" outlineLevel="2">
      <c r="A479" s="191" t="s">
        <v>2833</v>
      </c>
      <c r="B479" s="191" t="s">
        <v>314</v>
      </c>
      <c r="C479" s="191" t="s">
        <v>315</v>
      </c>
      <c r="D479" s="191" t="s">
        <v>1782</v>
      </c>
      <c r="E479" s="191" t="s">
        <v>1489</v>
      </c>
      <c r="F479" s="191" t="s">
        <v>1490</v>
      </c>
      <c r="G479" s="191">
        <v>14</v>
      </c>
      <c r="H479" s="192">
        <v>0</v>
      </c>
      <c r="I479" s="192">
        <v>271.08</v>
      </c>
      <c r="J479" s="192">
        <f>SUM(H479:I479)</f>
        <v>271.08</v>
      </c>
    </row>
    <row r="480" spans="1:10" outlineLevel="2">
      <c r="A480" s="191" t="s">
        <v>326</v>
      </c>
      <c r="B480" s="191" t="s">
        <v>314</v>
      </c>
      <c r="C480" s="191" t="s">
        <v>315</v>
      </c>
      <c r="D480" s="191" t="s">
        <v>1784</v>
      </c>
      <c r="E480" s="191" t="s">
        <v>2601</v>
      </c>
      <c r="F480" s="191" t="s">
        <v>2590</v>
      </c>
      <c r="G480" s="191">
        <v>14</v>
      </c>
      <c r="H480" s="192">
        <v>0</v>
      </c>
      <c r="I480" s="192">
        <v>331.88</v>
      </c>
      <c r="J480" s="192">
        <f>SUM(H480:I480)</f>
        <v>331.88</v>
      </c>
    </row>
    <row r="481" spans="1:10" outlineLevel="2">
      <c r="A481" s="191" t="s">
        <v>326</v>
      </c>
      <c r="B481" s="191" t="s">
        <v>314</v>
      </c>
      <c r="C481" s="191" t="s">
        <v>315</v>
      </c>
      <c r="D481" s="191" t="s">
        <v>1785</v>
      </c>
      <c r="E481" s="191" t="s">
        <v>2666</v>
      </c>
      <c r="F481" s="191" t="s">
        <v>2588</v>
      </c>
      <c r="G481" s="191">
        <v>21</v>
      </c>
      <c r="H481" s="192">
        <v>0</v>
      </c>
      <c r="I481" s="192">
        <v>490.29</v>
      </c>
      <c r="J481" s="192">
        <f>SUM(H481:I481)</f>
        <v>490.29</v>
      </c>
    </row>
    <row r="482" spans="1:10" outlineLevel="2">
      <c r="A482" s="191" t="s">
        <v>326</v>
      </c>
      <c r="B482" s="191" t="s">
        <v>314</v>
      </c>
      <c r="C482" s="191" t="s">
        <v>315</v>
      </c>
      <c r="D482" s="191" t="s">
        <v>1770</v>
      </c>
      <c r="E482" s="191" t="s">
        <v>2627</v>
      </c>
      <c r="F482" s="191" t="s">
        <v>1482</v>
      </c>
      <c r="G482" s="191">
        <v>21</v>
      </c>
      <c r="H482" s="192">
        <v>0</v>
      </c>
      <c r="I482" s="192">
        <v>495.39</v>
      </c>
      <c r="J482" s="192">
        <f>SUM(H482:I482)</f>
        <v>495.39</v>
      </c>
    </row>
    <row r="483" spans="1:10" outlineLevel="2">
      <c r="A483" s="191" t="s">
        <v>2834</v>
      </c>
      <c r="B483" s="191" t="s">
        <v>314</v>
      </c>
      <c r="C483" s="191" t="s">
        <v>315</v>
      </c>
      <c r="D483" s="191" t="s">
        <v>1786</v>
      </c>
      <c r="E483" s="191" t="s">
        <v>2611</v>
      </c>
      <c r="F483" s="191" t="s">
        <v>2612</v>
      </c>
      <c r="G483" s="191">
        <v>14</v>
      </c>
      <c r="H483" s="192">
        <v>0</v>
      </c>
      <c r="I483" s="192">
        <v>273.18</v>
      </c>
      <c r="J483" s="192">
        <f>SUM(H483:I483)</f>
        <v>273.18</v>
      </c>
    </row>
    <row r="484" spans="1:10" outlineLevel="2">
      <c r="A484" s="191" t="s">
        <v>2834</v>
      </c>
      <c r="B484" s="191" t="s">
        <v>314</v>
      </c>
      <c r="C484" s="191" t="s">
        <v>315</v>
      </c>
      <c r="D484" s="191" t="s">
        <v>1787</v>
      </c>
      <c r="E484" s="191" t="s">
        <v>2601</v>
      </c>
      <c r="F484" s="191" t="s">
        <v>2590</v>
      </c>
      <c r="G484" s="191">
        <v>14</v>
      </c>
      <c r="H484" s="192">
        <v>0</v>
      </c>
      <c r="I484" s="192">
        <v>274.5</v>
      </c>
      <c r="J484" s="192">
        <f>SUM(H484:I484)</f>
        <v>274.5</v>
      </c>
    </row>
    <row r="485" spans="1:10" outlineLevel="2">
      <c r="A485" s="191" t="s">
        <v>2835</v>
      </c>
      <c r="B485" s="191" t="s">
        <v>314</v>
      </c>
      <c r="C485" s="191" t="s">
        <v>315</v>
      </c>
      <c r="D485" s="191" t="s">
        <v>1788</v>
      </c>
      <c r="E485" s="191" t="s">
        <v>2714</v>
      </c>
      <c r="F485" s="191" t="s">
        <v>2714</v>
      </c>
      <c r="G485" s="191">
        <v>7</v>
      </c>
      <c r="H485" s="192">
        <v>0</v>
      </c>
      <c r="I485" s="192">
        <v>148.94</v>
      </c>
      <c r="J485" s="192">
        <f>SUM(H485:I485)</f>
        <v>148.94</v>
      </c>
    </row>
    <row r="486" spans="1:10" outlineLevel="2">
      <c r="A486" s="191" t="s">
        <v>2836</v>
      </c>
      <c r="B486" s="191" t="s">
        <v>112</v>
      </c>
      <c r="C486" s="191" t="s">
        <v>315</v>
      </c>
      <c r="D486" s="191" t="s">
        <v>1781</v>
      </c>
      <c r="E486" s="191" t="s">
        <v>2603</v>
      </c>
      <c r="F486" s="191" t="s">
        <v>2603</v>
      </c>
      <c r="G486" s="191">
        <v>7</v>
      </c>
      <c r="H486" s="192">
        <v>0</v>
      </c>
      <c r="I486" s="192">
        <v>58.97</v>
      </c>
      <c r="J486" s="192">
        <f>SUM(H486:I486)</f>
        <v>58.97</v>
      </c>
    </row>
    <row r="487" spans="1:10" outlineLevel="2">
      <c r="A487" s="191" t="s">
        <v>2837</v>
      </c>
      <c r="B487" s="191" t="s">
        <v>141</v>
      </c>
      <c r="C487" s="191" t="s">
        <v>315</v>
      </c>
      <c r="D487" s="191" t="s">
        <v>1781</v>
      </c>
      <c r="E487" s="191" t="s">
        <v>2603</v>
      </c>
      <c r="F487" s="191" t="s">
        <v>2603</v>
      </c>
      <c r="G487" s="191">
        <v>7</v>
      </c>
      <c r="H487" s="192">
        <v>0</v>
      </c>
      <c r="I487" s="192">
        <v>50.97</v>
      </c>
      <c r="J487" s="192">
        <f>SUM(H487:I487)</f>
        <v>50.97</v>
      </c>
    </row>
    <row r="488" spans="1:10" outlineLevel="2">
      <c r="A488" s="191" t="s">
        <v>327</v>
      </c>
      <c r="B488" s="191" t="s">
        <v>112</v>
      </c>
      <c r="C488" s="191" t="s">
        <v>315</v>
      </c>
      <c r="D488" s="191" t="s">
        <v>1770</v>
      </c>
      <c r="E488" s="191" t="s">
        <v>2627</v>
      </c>
      <c r="F488" s="191" t="s">
        <v>1482</v>
      </c>
      <c r="G488" s="191">
        <v>21</v>
      </c>
      <c r="H488" s="192">
        <v>0</v>
      </c>
      <c r="I488" s="192">
        <v>176.07</v>
      </c>
      <c r="J488" s="192">
        <f>SUM(H488:I488)</f>
        <v>176.07</v>
      </c>
    </row>
    <row r="489" spans="1:10" outlineLevel="2">
      <c r="A489" s="191" t="s">
        <v>327</v>
      </c>
      <c r="B489" s="191" t="s">
        <v>116</v>
      </c>
      <c r="C489" s="191" t="s">
        <v>315</v>
      </c>
      <c r="D489" s="191" t="s">
        <v>1789</v>
      </c>
      <c r="E489" s="191" t="s">
        <v>2640</v>
      </c>
      <c r="F489" s="191" t="s">
        <v>2640</v>
      </c>
      <c r="G489" s="191">
        <v>7</v>
      </c>
      <c r="H489" s="192">
        <v>100</v>
      </c>
      <c r="I489" s="192">
        <v>63.42</v>
      </c>
      <c r="J489" s="192">
        <f>SUM(H489:I489)</f>
        <v>163.42000000000002</v>
      </c>
    </row>
    <row r="490" spans="1:10" outlineLevel="1">
      <c r="A490" s="193" t="s">
        <v>3006</v>
      </c>
      <c r="B490" s="194"/>
      <c r="C490" s="194"/>
      <c r="D490" s="194"/>
      <c r="E490" s="194"/>
      <c r="F490" s="194"/>
      <c r="G490" s="194">
        <f>SUBTOTAL(9,G451:G489)</f>
        <v>525</v>
      </c>
      <c r="H490" s="195">
        <f>SUBTOTAL(9,H451:H489)</f>
        <v>100</v>
      </c>
      <c r="I490" s="195">
        <f>SUBTOTAL(9,I451:I489)</f>
        <v>10203.819999999998</v>
      </c>
      <c r="J490" s="195">
        <f>SUBTOTAL(9,J451:J489)</f>
        <v>10303.819999999998</v>
      </c>
    </row>
    <row r="491" spans="1:10" outlineLevel="2">
      <c r="A491" s="191" t="s">
        <v>330</v>
      </c>
      <c r="B491" s="191" t="s">
        <v>328</v>
      </c>
      <c r="C491" s="191" t="s">
        <v>329</v>
      </c>
      <c r="D491" s="191" t="s">
        <v>1790</v>
      </c>
      <c r="E491" s="191" t="s">
        <v>1489</v>
      </c>
      <c r="F491" s="191" t="s">
        <v>1490</v>
      </c>
      <c r="G491" s="191">
        <v>14</v>
      </c>
      <c r="H491" s="192">
        <v>0</v>
      </c>
      <c r="I491" s="192">
        <v>356.32</v>
      </c>
      <c r="J491" s="192">
        <f>SUM(H491:I491)</f>
        <v>356.32</v>
      </c>
    </row>
    <row r="492" spans="1:10" outlineLevel="2">
      <c r="A492" s="191" t="s">
        <v>330</v>
      </c>
      <c r="B492" s="191" t="s">
        <v>328</v>
      </c>
      <c r="C492" s="191" t="s">
        <v>329</v>
      </c>
      <c r="D492" s="191" t="s">
        <v>1791</v>
      </c>
      <c r="E492" s="191" t="s">
        <v>2697</v>
      </c>
      <c r="F492" s="191" t="s">
        <v>2596</v>
      </c>
      <c r="G492" s="191">
        <v>21</v>
      </c>
      <c r="H492" s="192">
        <v>0</v>
      </c>
      <c r="I492" s="192">
        <v>530.97</v>
      </c>
      <c r="J492" s="192">
        <f>SUM(H492:I492)</f>
        <v>530.97</v>
      </c>
    </row>
    <row r="493" spans="1:10" outlineLevel="2">
      <c r="A493" s="191" t="s">
        <v>330</v>
      </c>
      <c r="B493" s="191" t="s">
        <v>328</v>
      </c>
      <c r="C493" s="191" t="s">
        <v>329</v>
      </c>
      <c r="D493" s="191" t="s">
        <v>1792</v>
      </c>
      <c r="E493" s="191" t="s">
        <v>2677</v>
      </c>
      <c r="F493" s="191" t="s">
        <v>2683</v>
      </c>
      <c r="G493" s="191">
        <v>21</v>
      </c>
      <c r="H493" s="192">
        <v>0</v>
      </c>
      <c r="I493" s="192">
        <v>530.97</v>
      </c>
      <c r="J493" s="192">
        <f>SUM(H493:I493)</f>
        <v>530.97</v>
      </c>
    </row>
    <row r="494" spans="1:10" outlineLevel="2">
      <c r="A494" s="191" t="s">
        <v>331</v>
      </c>
      <c r="B494" s="191" t="s">
        <v>328</v>
      </c>
      <c r="C494" s="191" t="s">
        <v>329</v>
      </c>
      <c r="D494" s="191" t="s">
        <v>1793</v>
      </c>
      <c r="E494" s="191" t="s">
        <v>1487</v>
      </c>
      <c r="F494" s="191" t="s">
        <v>1487</v>
      </c>
      <c r="G494" s="191">
        <v>7</v>
      </c>
      <c r="H494" s="192">
        <v>0</v>
      </c>
      <c r="I494" s="192">
        <v>150.63999999999999</v>
      </c>
      <c r="J494" s="192">
        <f>SUM(H494:I494)</f>
        <v>150.63999999999999</v>
      </c>
    </row>
    <row r="495" spans="1:10" outlineLevel="2">
      <c r="A495" s="191" t="s">
        <v>331</v>
      </c>
      <c r="B495" s="191" t="s">
        <v>328</v>
      </c>
      <c r="C495" s="191" t="s">
        <v>329</v>
      </c>
      <c r="D495" s="191" t="s">
        <v>1794</v>
      </c>
      <c r="E495" s="191" t="s">
        <v>2640</v>
      </c>
      <c r="F495" s="191" t="s">
        <v>2640</v>
      </c>
      <c r="G495" s="191">
        <v>7</v>
      </c>
      <c r="H495" s="192">
        <v>0</v>
      </c>
      <c r="I495" s="192">
        <v>151.38</v>
      </c>
      <c r="J495" s="192">
        <f>SUM(H495:I495)</f>
        <v>151.38</v>
      </c>
    </row>
    <row r="496" spans="1:10" outlineLevel="2">
      <c r="A496" s="191" t="s">
        <v>331</v>
      </c>
      <c r="B496" s="191" t="s">
        <v>328</v>
      </c>
      <c r="C496" s="191" t="s">
        <v>329</v>
      </c>
      <c r="D496" s="191" t="s">
        <v>1792</v>
      </c>
      <c r="E496" s="191" t="s">
        <v>2677</v>
      </c>
      <c r="F496" s="191" t="s">
        <v>1479</v>
      </c>
      <c r="G496" s="191">
        <v>14</v>
      </c>
      <c r="H496" s="192">
        <v>0</v>
      </c>
      <c r="I496" s="192">
        <v>291.56</v>
      </c>
      <c r="J496" s="192">
        <f>SUM(H496:I496)</f>
        <v>291.56</v>
      </c>
    </row>
    <row r="497" spans="1:10" outlineLevel="2">
      <c r="A497" s="191" t="s">
        <v>331</v>
      </c>
      <c r="B497" s="191" t="s">
        <v>328</v>
      </c>
      <c r="C497" s="191" t="s">
        <v>329</v>
      </c>
      <c r="D497" s="191" t="s">
        <v>1795</v>
      </c>
      <c r="E497" s="191" t="s">
        <v>2607</v>
      </c>
      <c r="F497" s="191" t="s">
        <v>1500</v>
      </c>
      <c r="G497" s="191">
        <v>21</v>
      </c>
      <c r="H497" s="192">
        <v>0</v>
      </c>
      <c r="I497" s="192">
        <v>454.14</v>
      </c>
      <c r="J497" s="192">
        <f>SUM(H497:I497)</f>
        <v>454.14</v>
      </c>
    </row>
    <row r="498" spans="1:10" outlineLevel="2">
      <c r="A498" s="191" t="s">
        <v>332</v>
      </c>
      <c r="B498" s="191" t="s">
        <v>147</v>
      </c>
      <c r="C498" s="191" t="s">
        <v>329</v>
      </c>
      <c r="D498" s="191" t="s">
        <v>1796</v>
      </c>
      <c r="E498" s="191" t="s">
        <v>2647</v>
      </c>
      <c r="F498" s="191" t="s">
        <v>2600</v>
      </c>
      <c r="G498" s="191">
        <v>21</v>
      </c>
      <c r="H498" s="192">
        <v>0</v>
      </c>
      <c r="I498" s="192">
        <v>162.78</v>
      </c>
      <c r="J498" s="192">
        <f>SUM(H498:I498)</f>
        <v>162.78</v>
      </c>
    </row>
    <row r="499" spans="1:10" outlineLevel="2">
      <c r="A499" s="191" t="s">
        <v>332</v>
      </c>
      <c r="B499" s="191" t="s">
        <v>112</v>
      </c>
      <c r="C499" s="191" t="s">
        <v>329</v>
      </c>
      <c r="D499" s="191" t="s">
        <v>1795</v>
      </c>
      <c r="E499" s="191" t="s">
        <v>2607</v>
      </c>
      <c r="F499" s="191" t="s">
        <v>1500</v>
      </c>
      <c r="G499" s="191">
        <v>21</v>
      </c>
      <c r="H499" s="192">
        <v>0</v>
      </c>
      <c r="I499" s="192">
        <v>176.91</v>
      </c>
      <c r="J499" s="192">
        <f>SUM(H499:I499)</f>
        <v>176.91</v>
      </c>
    </row>
    <row r="500" spans="1:10" outlineLevel="2">
      <c r="A500" s="191" t="s">
        <v>333</v>
      </c>
      <c r="B500" s="191" t="s">
        <v>328</v>
      </c>
      <c r="C500" s="191" t="s">
        <v>329</v>
      </c>
      <c r="D500" s="191" t="s">
        <v>1797</v>
      </c>
      <c r="E500" s="191" t="s">
        <v>2595</v>
      </c>
      <c r="F500" s="191" t="s">
        <v>2596</v>
      </c>
      <c r="G500" s="191">
        <v>14</v>
      </c>
      <c r="H500" s="192">
        <v>0</v>
      </c>
      <c r="I500" s="192">
        <v>273.12</v>
      </c>
      <c r="J500" s="192">
        <f>SUM(H500:I500)</f>
        <v>273.12</v>
      </c>
    </row>
    <row r="501" spans="1:10" outlineLevel="2">
      <c r="A501" s="191" t="s">
        <v>333</v>
      </c>
      <c r="B501" s="191" t="s">
        <v>328</v>
      </c>
      <c r="C501" s="191" t="s">
        <v>329</v>
      </c>
      <c r="D501" s="191" t="s">
        <v>1798</v>
      </c>
      <c r="E501" s="191" t="s">
        <v>2599</v>
      </c>
      <c r="F501" s="191" t="s">
        <v>2600</v>
      </c>
      <c r="G501" s="191">
        <v>14</v>
      </c>
      <c r="H501" s="192">
        <v>0</v>
      </c>
      <c r="I501" s="192">
        <v>273.12</v>
      </c>
      <c r="J501" s="192">
        <f>SUM(H501:I501)</f>
        <v>273.12</v>
      </c>
    </row>
    <row r="502" spans="1:10" outlineLevel="2">
      <c r="A502" s="191" t="s">
        <v>333</v>
      </c>
      <c r="B502" s="191" t="s">
        <v>328</v>
      </c>
      <c r="C502" s="191" t="s">
        <v>329</v>
      </c>
      <c r="D502" s="191" t="s">
        <v>1795</v>
      </c>
      <c r="E502" s="191" t="s">
        <v>2607</v>
      </c>
      <c r="F502" s="191" t="s">
        <v>1500</v>
      </c>
      <c r="G502" s="191">
        <v>21</v>
      </c>
      <c r="H502" s="192">
        <v>0</v>
      </c>
      <c r="I502" s="192">
        <v>416.82</v>
      </c>
      <c r="J502" s="192">
        <f>SUM(H502:I502)</f>
        <v>416.82</v>
      </c>
    </row>
    <row r="503" spans="1:10" outlineLevel="2">
      <c r="A503" s="191" t="s">
        <v>334</v>
      </c>
      <c r="B503" s="191" t="s">
        <v>328</v>
      </c>
      <c r="C503" s="191" t="s">
        <v>329</v>
      </c>
      <c r="D503" s="191" t="s">
        <v>1799</v>
      </c>
      <c r="E503" s="191" t="s">
        <v>2677</v>
      </c>
      <c r="F503" s="191" t="s">
        <v>2677</v>
      </c>
      <c r="G503" s="191">
        <v>7</v>
      </c>
      <c r="H503" s="192">
        <v>0</v>
      </c>
      <c r="I503" s="192">
        <v>133.18</v>
      </c>
      <c r="J503" s="192">
        <f>SUM(H503:I503)</f>
        <v>133.18</v>
      </c>
    </row>
    <row r="504" spans="1:10" outlineLevel="2">
      <c r="A504" s="191" t="s">
        <v>334</v>
      </c>
      <c r="B504" s="191" t="s">
        <v>328</v>
      </c>
      <c r="C504" s="191" t="s">
        <v>329</v>
      </c>
      <c r="D504" s="191" t="s">
        <v>1796</v>
      </c>
      <c r="E504" s="191" t="s">
        <v>2647</v>
      </c>
      <c r="F504" s="191" t="s">
        <v>2600</v>
      </c>
      <c r="G504" s="191">
        <v>21</v>
      </c>
      <c r="H504" s="192">
        <v>0</v>
      </c>
      <c r="I504" s="192">
        <v>399.54</v>
      </c>
      <c r="J504" s="192">
        <f>SUM(H504:I504)</f>
        <v>399.54</v>
      </c>
    </row>
    <row r="505" spans="1:10" outlineLevel="2">
      <c r="A505" s="191" t="s">
        <v>334</v>
      </c>
      <c r="B505" s="191" t="s">
        <v>328</v>
      </c>
      <c r="C505" s="191" t="s">
        <v>329</v>
      </c>
      <c r="D505" s="191" t="s">
        <v>1800</v>
      </c>
      <c r="E505" s="191" t="s">
        <v>2601</v>
      </c>
      <c r="F505" s="191" t="s">
        <v>2590</v>
      </c>
      <c r="G505" s="191" t="s">
        <v>2760</v>
      </c>
      <c r="H505" s="192">
        <v>0</v>
      </c>
      <c r="I505" s="192">
        <v>0</v>
      </c>
      <c r="J505" s="192">
        <f>SUM(H505:I505)</f>
        <v>0</v>
      </c>
    </row>
    <row r="506" spans="1:10" outlineLevel="2">
      <c r="A506" s="191" t="s">
        <v>335</v>
      </c>
      <c r="B506" s="191" t="s">
        <v>328</v>
      </c>
      <c r="C506" s="191" t="s">
        <v>329</v>
      </c>
      <c r="D506" s="191" t="s">
        <v>1795</v>
      </c>
      <c r="E506" s="191" t="s">
        <v>2607</v>
      </c>
      <c r="F506" s="191" t="s">
        <v>1500</v>
      </c>
      <c r="G506" s="191">
        <v>21</v>
      </c>
      <c r="H506" s="192">
        <v>0</v>
      </c>
      <c r="I506" s="192">
        <v>329.88</v>
      </c>
      <c r="J506" s="192">
        <f>SUM(H506:I506)</f>
        <v>329.88</v>
      </c>
    </row>
    <row r="507" spans="1:10" outlineLevel="2">
      <c r="A507" s="191" t="s">
        <v>335</v>
      </c>
      <c r="B507" s="191" t="s">
        <v>328</v>
      </c>
      <c r="C507" s="191" t="s">
        <v>329</v>
      </c>
      <c r="D507" s="191" t="s">
        <v>1801</v>
      </c>
      <c r="E507" s="191" t="s">
        <v>2625</v>
      </c>
      <c r="F507" s="191" t="s">
        <v>2708</v>
      </c>
      <c r="G507" s="191" t="s">
        <v>2760</v>
      </c>
      <c r="H507" s="192">
        <v>0</v>
      </c>
      <c r="I507" s="192">
        <v>0</v>
      </c>
      <c r="J507" s="192">
        <f>SUM(H507:I507)</f>
        <v>0</v>
      </c>
    </row>
    <row r="508" spans="1:10" outlineLevel="2">
      <c r="A508" s="191" t="s">
        <v>336</v>
      </c>
      <c r="B508" s="191" t="s">
        <v>337</v>
      </c>
      <c r="C508" s="191" t="s">
        <v>329</v>
      </c>
      <c r="D508" s="191" t="s">
        <v>1794</v>
      </c>
      <c r="E508" s="191" t="s">
        <v>2640</v>
      </c>
      <c r="F508" s="191" t="s">
        <v>2640</v>
      </c>
      <c r="G508" s="191">
        <v>7</v>
      </c>
      <c r="H508" s="192">
        <v>0</v>
      </c>
      <c r="I508" s="192">
        <v>209.49</v>
      </c>
      <c r="J508" s="192">
        <f>SUM(H508:I508)</f>
        <v>209.49</v>
      </c>
    </row>
    <row r="509" spans="1:10" outlineLevel="2">
      <c r="A509" s="191" t="s">
        <v>336</v>
      </c>
      <c r="B509" s="191" t="s">
        <v>337</v>
      </c>
      <c r="C509" s="191" t="s">
        <v>329</v>
      </c>
      <c r="D509" s="191" t="s">
        <v>1795</v>
      </c>
      <c r="E509" s="191" t="s">
        <v>2607</v>
      </c>
      <c r="F509" s="191" t="s">
        <v>1500</v>
      </c>
      <c r="G509" s="191">
        <v>21</v>
      </c>
      <c r="H509" s="192">
        <v>0</v>
      </c>
      <c r="I509" s="192">
        <v>628.47</v>
      </c>
      <c r="J509" s="192">
        <f>SUM(H509:I509)</f>
        <v>628.47</v>
      </c>
    </row>
    <row r="510" spans="1:10" outlineLevel="2">
      <c r="A510" s="191" t="s">
        <v>338</v>
      </c>
      <c r="B510" s="191" t="s">
        <v>339</v>
      </c>
      <c r="C510" s="191" t="s">
        <v>329</v>
      </c>
      <c r="D510" s="191" t="s">
        <v>1802</v>
      </c>
      <c r="E510" s="191" t="s">
        <v>2699</v>
      </c>
      <c r="F510" s="191" t="s">
        <v>2600</v>
      </c>
      <c r="G510" s="191">
        <v>28</v>
      </c>
      <c r="H510" s="192">
        <v>0</v>
      </c>
      <c r="I510" s="192">
        <v>680.92</v>
      </c>
      <c r="J510" s="192">
        <f>SUM(H510:I510)</f>
        <v>680.92</v>
      </c>
    </row>
    <row r="511" spans="1:10" outlineLevel="2">
      <c r="A511" s="191" t="s">
        <v>338</v>
      </c>
      <c r="B511" s="191" t="s">
        <v>328</v>
      </c>
      <c r="C511" s="191" t="s">
        <v>329</v>
      </c>
      <c r="D511" s="191" t="s">
        <v>1803</v>
      </c>
      <c r="E511" s="191" t="s">
        <v>2598</v>
      </c>
      <c r="F511" s="191" t="s">
        <v>2598</v>
      </c>
      <c r="G511" s="191">
        <v>7</v>
      </c>
      <c r="H511" s="192">
        <v>0</v>
      </c>
      <c r="I511" s="192">
        <v>172.78</v>
      </c>
      <c r="J511" s="192">
        <f>SUM(H511:I511)</f>
        <v>172.78</v>
      </c>
    </row>
    <row r="512" spans="1:10" outlineLevel="2">
      <c r="A512" s="191" t="s">
        <v>338</v>
      </c>
      <c r="B512" s="191" t="s">
        <v>328</v>
      </c>
      <c r="C512" s="191" t="s">
        <v>329</v>
      </c>
      <c r="D512" s="191" t="s">
        <v>1803</v>
      </c>
      <c r="E512" s="191" t="s">
        <v>2625</v>
      </c>
      <c r="F512" s="191" t="s">
        <v>2625</v>
      </c>
      <c r="G512" s="191">
        <v>7</v>
      </c>
      <c r="H512" s="192">
        <v>0</v>
      </c>
      <c r="I512" s="192">
        <v>172.78</v>
      </c>
      <c r="J512" s="192">
        <f>SUM(H512:I512)</f>
        <v>172.78</v>
      </c>
    </row>
    <row r="513" spans="1:10" outlineLevel="2">
      <c r="A513" s="191" t="s">
        <v>340</v>
      </c>
      <c r="B513" s="191" t="s">
        <v>328</v>
      </c>
      <c r="C513" s="191" t="s">
        <v>329</v>
      </c>
      <c r="D513" s="191" t="s">
        <v>1794</v>
      </c>
      <c r="E513" s="191" t="s">
        <v>2640</v>
      </c>
      <c r="F513" s="191" t="s">
        <v>2640</v>
      </c>
      <c r="G513" s="191">
        <v>7</v>
      </c>
      <c r="H513" s="192">
        <v>0</v>
      </c>
      <c r="I513" s="192">
        <v>141.99</v>
      </c>
      <c r="J513" s="192">
        <f>SUM(H513:I513)</f>
        <v>141.99</v>
      </c>
    </row>
    <row r="514" spans="1:10" outlineLevel="2">
      <c r="A514" s="191" t="s">
        <v>340</v>
      </c>
      <c r="B514" s="191" t="s">
        <v>328</v>
      </c>
      <c r="C514" s="191" t="s">
        <v>329</v>
      </c>
      <c r="D514" s="191" t="s">
        <v>1796</v>
      </c>
      <c r="E514" s="191" t="s">
        <v>2647</v>
      </c>
      <c r="F514" s="191" t="s">
        <v>2600</v>
      </c>
      <c r="G514" s="191">
        <v>21</v>
      </c>
      <c r="H514" s="192">
        <v>0</v>
      </c>
      <c r="I514" s="192">
        <v>404.64</v>
      </c>
      <c r="J514" s="192">
        <f>SUM(H514:I514)</f>
        <v>404.64</v>
      </c>
    </row>
    <row r="515" spans="1:10" outlineLevel="2">
      <c r="A515" s="191" t="s">
        <v>340</v>
      </c>
      <c r="B515" s="191" t="s">
        <v>328</v>
      </c>
      <c r="C515" s="191" t="s">
        <v>329</v>
      </c>
      <c r="D515" s="191" t="s">
        <v>1795</v>
      </c>
      <c r="E515" s="191" t="s">
        <v>2607</v>
      </c>
      <c r="F515" s="191" t="s">
        <v>1500</v>
      </c>
      <c r="G515" s="191">
        <v>21</v>
      </c>
      <c r="H515" s="192">
        <v>0</v>
      </c>
      <c r="I515" s="192">
        <v>393.51</v>
      </c>
      <c r="J515" s="192">
        <f>SUM(H515:I515)</f>
        <v>393.51</v>
      </c>
    </row>
    <row r="516" spans="1:10" outlineLevel="2">
      <c r="A516" s="191" t="s">
        <v>341</v>
      </c>
      <c r="B516" s="191" t="s">
        <v>141</v>
      </c>
      <c r="C516" s="191" t="s">
        <v>329</v>
      </c>
      <c r="D516" s="191" t="s">
        <v>1796</v>
      </c>
      <c r="E516" s="191" t="s">
        <v>2647</v>
      </c>
      <c r="F516" s="191" t="s">
        <v>2600</v>
      </c>
      <c r="G516" s="191">
        <v>21</v>
      </c>
      <c r="H516" s="192">
        <v>0</v>
      </c>
      <c r="I516" s="192">
        <v>152.16</v>
      </c>
      <c r="J516" s="192">
        <f>SUM(H516:I516)</f>
        <v>152.16</v>
      </c>
    </row>
    <row r="517" spans="1:10" outlineLevel="2">
      <c r="A517" s="191" t="s">
        <v>341</v>
      </c>
      <c r="B517" s="191" t="s">
        <v>147</v>
      </c>
      <c r="C517" s="191" t="s">
        <v>329</v>
      </c>
      <c r="D517" s="191" t="s">
        <v>1794</v>
      </c>
      <c r="E517" s="191" t="s">
        <v>2640</v>
      </c>
      <c r="F517" s="191" t="s">
        <v>2640</v>
      </c>
      <c r="G517" s="191">
        <v>7</v>
      </c>
      <c r="H517" s="192">
        <v>0</v>
      </c>
      <c r="I517" s="192">
        <v>54.53</v>
      </c>
      <c r="J517" s="192">
        <f>SUM(H517:I517)</f>
        <v>54.53</v>
      </c>
    </row>
    <row r="518" spans="1:10" outlineLevel="2">
      <c r="A518" s="191" t="s">
        <v>341</v>
      </c>
      <c r="B518" s="191" t="s">
        <v>147</v>
      </c>
      <c r="C518" s="191" t="s">
        <v>329</v>
      </c>
      <c r="D518" s="191" t="s">
        <v>1804</v>
      </c>
      <c r="E518" s="191" t="s">
        <v>2607</v>
      </c>
      <c r="F518" s="191" t="s">
        <v>1500</v>
      </c>
      <c r="G518" s="191">
        <v>21</v>
      </c>
      <c r="H518" s="192">
        <v>0</v>
      </c>
      <c r="I518" s="192">
        <v>158.31</v>
      </c>
      <c r="J518" s="192">
        <f>SUM(H518:I518)</f>
        <v>158.31</v>
      </c>
    </row>
    <row r="519" spans="1:10" outlineLevel="2">
      <c r="A519" s="191" t="s">
        <v>2838</v>
      </c>
      <c r="B519" s="191" t="s">
        <v>141</v>
      </c>
      <c r="C519" s="191" t="s">
        <v>329</v>
      </c>
      <c r="D519" s="191" t="s">
        <v>1804</v>
      </c>
      <c r="E519" s="191" t="s">
        <v>2607</v>
      </c>
      <c r="F519" s="191" t="s">
        <v>1500</v>
      </c>
      <c r="G519" s="191">
        <v>21</v>
      </c>
      <c r="H519" s="192">
        <v>0</v>
      </c>
      <c r="I519" s="192">
        <v>147.99</v>
      </c>
      <c r="J519" s="192">
        <f>SUM(H519:I519)</f>
        <v>147.99</v>
      </c>
    </row>
    <row r="520" spans="1:10" outlineLevel="2">
      <c r="A520" s="191" t="s">
        <v>342</v>
      </c>
      <c r="B520" s="191" t="s">
        <v>116</v>
      </c>
      <c r="C520" s="191" t="s">
        <v>329</v>
      </c>
      <c r="D520" s="191" t="s">
        <v>1805</v>
      </c>
      <c r="E520" s="191" t="s">
        <v>1486</v>
      </c>
      <c r="F520" s="191" t="s">
        <v>1486</v>
      </c>
      <c r="G520" s="191">
        <v>7</v>
      </c>
      <c r="H520" s="192">
        <v>0</v>
      </c>
      <c r="I520" s="192">
        <v>63.11</v>
      </c>
      <c r="J520" s="192">
        <f>SUM(H520:I520)</f>
        <v>63.11</v>
      </c>
    </row>
    <row r="521" spans="1:10" outlineLevel="2">
      <c r="A521" s="191" t="s">
        <v>342</v>
      </c>
      <c r="B521" s="191" t="s">
        <v>116</v>
      </c>
      <c r="C521" s="191" t="s">
        <v>329</v>
      </c>
      <c r="D521" s="191" t="s">
        <v>1805</v>
      </c>
      <c r="E521" s="191" t="s">
        <v>2677</v>
      </c>
      <c r="F521" s="191" t="s">
        <v>1479</v>
      </c>
      <c r="G521" s="191">
        <v>14</v>
      </c>
      <c r="H521" s="192">
        <v>0</v>
      </c>
      <c r="I521" s="192">
        <v>126.22</v>
      </c>
      <c r="J521" s="192">
        <f>SUM(H521:I521)</f>
        <v>126.22</v>
      </c>
    </row>
    <row r="522" spans="1:10" outlineLevel="2">
      <c r="A522" s="191" t="s">
        <v>342</v>
      </c>
      <c r="B522" s="191" t="s">
        <v>328</v>
      </c>
      <c r="C522" s="191" t="s">
        <v>329</v>
      </c>
      <c r="D522" s="191" t="s">
        <v>1806</v>
      </c>
      <c r="E522" s="191" t="s">
        <v>2601</v>
      </c>
      <c r="F522" s="191" t="s">
        <v>2590</v>
      </c>
      <c r="G522" s="191">
        <v>14</v>
      </c>
      <c r="H522" s="192">
        <v>0</v>
      </c>
      <c r="I522" s="192">
        <v>271.08</v>
      </c>
      <c r="J522" s="192">
        <f>SUM(H522:I522)</f>
        <v>271.08</v>
      </c>
    </row>
    <row r="523" spans="1:10" outlineLevel="2">
      <c r="A523" s="191" t="s">
        <v>343</v>
      </c>
      <c r="B523" s="191" t="s">
        <v>112</v>
      </c>
      <c r="C523" s="191" t="s">
        <v>329</v>
      </c>
      <c r="D523" s="191" t="s">
        <v>1807</v>
      </c>
      <c r="E523" s="191" t="s">
        <v>2647</v>
      </c>
      <c r="F523" s="191" t="s">
        <v>2647</v>
      </c>
      <c r="G523" s="191">
        <v>7</v>
      </c>
      <c r="H523" s="192">
        <v>0</v>
      </c>
      <c r="I523" s="192">
        <v>58.69</v>
      </c>
      <c r="J523" s="192">
        <f>SUM(H523:I523)</f>
        <v>58.69</v>
      </c>
    </row>
    <row r="524" spans="1:10" outlineLevel="2">
      <c r="A524" s="191" t="s">
        <v>343</v>
      </c>
      <c r="B524" s="191" t="s">
        <v>112</v>
      </c>
      <c r="C524" s="191" t="s">
        <v>329</v>
      </c>
      <c r="D524" s="191" t="s">
        <v>1808</v>
      </c>
      <c r="E524" s="191" t="s">
        <v>2711</v>
      </c>
      <c r="F524" s="191" t="s">
        <v>2589</v>
      </c>
      <c r="G524" s="191">
        <v>14</v>
      </c>
      <c r="H524" s="192">
        <v>0</v>
      </c>
      <c r="I524" s="192">
        <v>117.38</v>
      </c>
      <c r="J524" s="192">
        <f>SUM(H524:I524)</f>
        <v>117.38</v>
      </c>
    </row>
    <row r="525" spans="1:10" outlineLevel="2">
      <c r="A525" s="191" t="s">
        <v>344</v>
      </c>
      <c r="B525" s="191" t="s">
        <v>328</v>
      </c>
      <c r="C525" s="191" t="s">
        <v>329</v>
      </c>
      <c r="D525" s="191" t="s">
        <v>1809</v>
      </c>
      <c r="E525" s="191" t="s">
        <v>2617</v>
      </c>
      <c r="F525" s="191" t="s">
        <v>2617</v>
      </c>
      <c r="G525" s="191">
        <v>7</v>
      </c>
      <c r="H525" s="192">
        <v>0</v>
      </c>
      <c r="I525" s="192">
        <v>163.72999999999999</v>
      </c>
      <c r="J525" s="192">
        <f>SUM(H525:I525)</f>
        <v>163.72999999999999</v>
      </c>
    </row>
    <row r="526" spans="1:10" outlineLevel="2">
      <c r="A526" s="191" t="s">
        <v>344</v>
      </c>
      <c r="B526" s="191" t="s">
        <v>328</v>
      </c>
      <c r="C526" s="191" t="s">
        <v>329</v>
      </c>
      <c r="D526" s="191" t="s">
        <v>1810</v>
      </c>
      <c r="E526" s="191" t="s">
        <v>2689</v>
      </c>
      <c r="F526" s="191" t="s">
        <v>2661</v>
      </c>
      <c r="G526" s="191">
        <v>14</v>
      </c>
      <c r="H526" s="192">
        <v>0</v>
      </c>
      <c r="I526" s="192">
        <v>325.86</v>
      </c>
      <c r="J526" s="192">
        <f>SUM(H526:I526)</f>
        <v>325.86</v>
      </c>
    </row>
    <row r="527" spans="1:10" outlineLevel="2">
      <c r="A527" s="191" t="s">
        <v>344</v>
      </c>
      <c r="B527" s="191" t="s">
        <v>328</v>
      </c>
      <c r="C527" s="191" t="s">
        <v>329</v>
      </c>
      <c r="D527" s="191" t="s">
        <v>1806</v>
      </c>
      <c r="E527" s="191" t="s">
        <v>2601</v>
      </c>
      <c r="F527" s="191" t="s">
        <v>2590</v>
      </c>
      <c r="G527" s="191">
        <v>14</v>
      </c>
      <c r="H527" s="192">
        <v>0</v>
      </c>
      <c r="I527" s="192">
        <v>327.45999999999998</v>
      </c>
      <c r="J527" s="192">
        <f>SUM(H527:I527)</f>
        <v>327.45999999999998</v>
      </c>
    </row>
    <row r="528" spans="1:10" outlineLevel="2">
      <c r="A528" s="191" t="s">
        <v>344</v>
      </c>
      <c r="B528" s="191" t="s">
        <v>328</v>
      </c>
      <c r="C528" s="191" t="s">
        <v>329</v>
      </c>
      <c r="D528" s="191" t="s">
        <v>1811</v>
      </c>
      <c r="E528" s="191" t="s">
        <v>2697</v>
      </c>
      <c r="F528" s="191" t="s">
        <v>2596</v>
      </c>
      <c r="G528" s="191">
        <v>21</v>
      </c>
      <c r="H528" s="192">
        <v>0</v>
      </c>
      <c r="I528" s="192">
        <v>488.79</v>
      </c>
      <c r="J528" s="192">
        <f>SUM(H528:I528)</f>
        <v>488.79</v>
      </c>
    </row>
    <row r="529" spans="1:10" outlineLevel="2">
      <c r="A529" s="191" t="s">
        <v>345</v>
      </c>
      <c r="B529" s="191" t="s">
        <v>328</v>
      </c>
      <c r="C529" s="191" t="s">
        <v>329</v>
      </c>
      <c r="D529" s="191" t="s">
        <v>1812</v>
      </c>
      <c r="E529" s="191" t="s">
        <v>2659</v>
      </c>
      <c r="F529" s="191" t="s">
        <v>2628</v>
      </c>
      <c r="G529" s="191">
        <v>14</v>
      </c>
      <c r="H529" s="192">
        <v>0</v>
      </c>
      <c r="I529" s="192">
        <v>297.88</v>
      </c>
      <c r="J529" s="192">
        <f>SUM(H529:I529)</f>
        <v>297.88</v>
      </c>
    </row>
    <row r="530" spans="1:10" outlineLevel="2">
      <c r="A530" s="191" t="s">
        <v>345</v>
      </c>
      <c r="B530" s="191" t="s">
        <v>328</v>
      </c>
      <c r="C530" s="191" t="s">
        <v>329</v>
      </c>
      <c r="D530" s="191" t="s">
        <v>1806</v>
      </c>
      <c r="E530" s="191" t="s">
        <v>2601</v>
      </c>
      <c r="F530" s="191" t="s">
        <v>2590</v>
      </c>
      <c r="G530" s="191">
        <v>14</v>
      </c>
      <c r="H530" s="192">
        <v>0</v>
      </c>
      <c r="I530" s="192">
        <v>299.33999999999997</v>
      </c>
      <c r="J530" s="192">
        <f>SUM(H530:I530)</f>
        <v>299.33999999999997</v>
      </c>
    </row>
    <row r="531" spans="1:10" outlineLevel="2">
      <c r="A531" s="191" t="s">
        <v>345</v>
      </c>
      <c r="B531" s="191" t="s">
        <v>328</v>
      </c>
      <c r="C531" s="191" t="s">
        <v>329</v>
      </c>
      <c r="D531" s="191" t="s">
        <v>1804</v>
      </c>
      <c r="E531" s="191" t="s">
        <v>2607</v>
      </c>
      <c r="F531" s="191" t="s">
        <v>1500</v>
      </c>
      <c r="G531" s="191">
        <v>21</v>
      </c>
      <c r="H531" s="192">
        <v>0</v>
      </c>
      <c r="I531" s="192">
        <v>449.01</v>
      </c>
      <c r="J531" s="192">
        <f>SUM(H531:I531)</f>
        <v>449.01</v>
      </c>
    </row>
    <row r="532" spans="1:10" outlineLevel="2">
      <c r="A532" s="191" t="s">
        <v>346</v>
      </c>
      <c r="B532" s="191" t="s">
        <v>328</v>
      </c>
      <c r="C532" s="191" t="s">
        <v>329</v>
      </c>
      <c r="D532" s="191" t="s">
        <v>1795</v>
      </c>
      <c r="E532" s="191" t="s">
        <v>2607</v>
      </c>
      <c r="F532" s="191" t="s">
        <v>1500</v>
      </c>
      <c r="G532" s="191">
        <v>21</v>
      </c>
      <c r="H532" s="192">
        <v>0</v>
      </c>
      <c r="I532" s="192">
        <v>475.8</v>
      </c>
      <c r="J532" s="192">
        <f>SUM(H532:I532)</f>
        <v>475.8</v>
      </c>
    </row>
    <row r="533" spans="1:10" outlineLevel="1">
      <c r="A533" s="193" t="s">
        <v>3007</v>
      </c>
      <c r="B533" s="194"/>
      <c r="C533" s="194"/>
      <c r="D533" s="194"/>
      <c r="E533" s="194"/>
      <c r="F533" s="194"/>
      <c r="G533" s="194">
        <f>SUBTOTAL(9,G491:G532)</f>
        <v>616</v>
      </c>
      <c r="H533" s="195">
        <f>SUBTOTAL(9,H491:H532)</f>
        <v>0</v>
      </c>
      <c r="I533" s="195">
        <f>SUBTOTAL(9,I491:I532)</f>
        <v>11413.249999999998</v>
      </c>
      <c r="J533" s="195">
        <f>SUBTOTAL(9,J491:J532)</f>
        <v>11413.249999999998</v>
      </c>
    </row>
    <row r="534" spans="1:10" outlineLevel="2">
      <c r="A534" s="191" t="s">
        <v>347</v>
      </c>
      <c r="B534" s="191" t="s">
        <v>348</v>
      </c>
      <c r="C534" s="191" t="s">
        <v>349</v>
      </c>
      <c r="D534" s="191" t="s">
        <v>1813</v>
      </c>
      <c r="E534" s="191" t="s">
        <v>1487</v>
      </c>
      <c r="F534" s="191" t="s">
        <v>1487</v>
      </c>
      <c r="G534" s="191">
        <v>7</v>
      </c>
      <c r="H534" s="192">
        <v>0</v>
      </c>
      <c r="I534" s="192">
        <v>214.34</v>
      </c>
      <c r="J534" s="192">
        <f>SUM(H534:I534)</f>
        <v>214.34</v>
      </c>
    </row>
    <row r="535" spans="1:10" outlineLevel="2">
      <c r="A535" s="191" t="s">
        <v>347</v>
      </c>
      <c r="B535" s="191" t="s">
        <v>348</v>
      </c>
      <c r="C535" s="191" t="s">
        <v>349</v>
      </c>
      <c r="D535" s="191" t="s">
        <v>1814</v>
      </c>
      <c r="E535" s="191" t="s">
        <v>2603</v>
      </c>
      <c r="F535" s="191" t="s">
        <v>2603</v>
      </c>
      <c r="G535" s="191">
        <v>7</v>
      </c>
      <c r="H535" s="192">
        <v>0</v>
      </c>
      <c r="I535" s="192">
        <v>157.30000000000001</v>
      </c>
      <c r="J535" s="192">
        <f>SUM(H535:I535)</f>
        <v>157.30000000000001</v>
      </c>
    </row>
    <row r="536" spans="1:10" outlineLevel="2">
      <c r="A536" s="191" t="s">
        <v>347</v>
      </c>
      <c r="B536" s="191" t="s">
        <v>348</v>
      </c>
      <c r="C536" s="191" t="s">
        <v>349</v>
      </c>
      <c r="D536" s="191" t="s">
        <v>1815</v>
      </c>
      <c r="E536" s="191" t="s">
        <v>1480</v>
      </c>
      <c r="F536" s="191" t="s">
        <v>1480</v>
      </c>
      <c r="G536" s="191">
        <v>7</v>
      </c>
      <c r="H536" s="192">
        <v>0</v>
      </c>
      <c r="I536" s="192">
        <v>157.30000000000001</v>
      </c>
      <c r="J536" s="192">
        <f>SUM(H536:I536)</f>
        <v>157.30000000000001</v>
      </c>
    </row>
    <row r="537" spans="1:10" outlineLevel="2">
      <c r="A537" s="191" t="s">
        <v>347</v>
      </c>
      <c r="B537" s="191" t="s">
        <v>348</v>
      </c>
      <c r="C537" s="191" t="s">
        <v>349</v>
      </c>
      <c r="D537" s="191" t="s">
        <v>1816</v>
      </c>
      <c r="E537" s="191" t="s">
        <v>2702</v>
      </c>
      <c r="F537" s="191" t="s">
        <v>2640</v>
      </c>
      <c r="G537" s="191">
        <v>21</v>
      </c>
      <c r="H537" s="192">
        <v>0</v>
      </c>
      <c r="I537" s="192">
        <v>471.9</v>
      </c>
      <c r="J537" s="192">
        <f>SUM(H537:I537)</f>
        <v>471.9</v>
      </c>
    </row>
    <row r="538" spans="1:10" outlineLevel="2">
      <c r="A538" s="191" t="s">
        <v>350</v>
      </c>
      <c r="B538" s="191" t="s">
        <v>351</v>
      </c>
      <c r="C538" s="191" t="s">
        <v>349</v>
      </c>
      <c r="D538" s="191" t="s">
        <v>1817</v>
      </c>
      <c r="E538" s="191" t="s">
        <v>2702</v>
      </c>
      <c r="F538" s="191" t="s">
        <v>2640</v>
      </c>
      <c r="G538" s="191">
        <v>21</v>
      </c>
      <c r="H538" s="192">
        <v>0</v>
      </c>
      <c r="I538" s="192">
        <v>513.21</v>
      </c>
      <c r="J538" s="192">
        <f>SUM(H538:I538)</f>
        <v>513.21</v>
      </c>
    </row>
    <row r="539" spans="1:10" outlineLevel="2">
      <c r="A539" s="191" t="s">
        <v>352</v>
      </c>
      <c r="B539" s="191" t="s">
        <v>351</v>
      </c>
      <c r="C539" s="191" t="s">
        <v>349</v>
      </c>
      <c r="D539" s="191" t="s">
        <v>1818</v>
      </c>
      <c r="E539" s="191" t="s">
        <v>2715</v>
      </c>
      <c r="F539" s="191" t="s">
        <v>2715</v>
      </c>
      <c r="G539" s="191">
        <v>7</v>
      </c>
      <c r="H539" s="192">
        <v>0</v>
      </c>
      <c r="I539" s="192">
        <v>168.53</v>
      </c>
      <c r="J539" s="192">
        <f>SUM(H539:I539)</f>
        <v>168.53</v>
      </c>
    </row>
    <row r="540" spans="1:10" outlineLevel="2">
      <c r="A540" s="191" t="s">
        <v>352</v>
      </c>
      <c r="B540" s="191" t="s">
        <v>351</v>
      </c>
      <c r="C540" s="191" t="s">
        <v>349</v>
      </c>
      <c r="D540" s="191" t="s">
        <v>1813</v>
      </c>
      <c r="E540" s="191" t="s">
        <v>1487</v>
      </c>
      <c r="F540" s="191" t="s">
        <v>1487</v>
      </c>
      <c r="G540" s="191">
        <v>7</v>
      </c>
      <c r="H540" s="192">
        <v>0</v>
      </c>
      <c r="I540" s="192">
        <v>168.53</v>
      </c>
      <c r="J540" s="192">
        <f>SUM(H540:I540)</f>
        <v>168.53</v>
      </c>
    </row>
    <row r="541" spans="1:10" outlineLevel="2">
      <c r="A541" s="191" t="s">
        <v>352</v>
      </c>
      <c r="B541" s="191" t="s">
        <v>351</v>
      </c>
      <c r="C541" s="191" t="s">
        <v>349</v>
      </c>
      <c r="D541" s="191" t="s">
        <v>1819</v>
      </c>
      <c r="E541" s="191" t="s">
        <v>2714</v>
      </c>
      <c r="F541" s="191" t="s">
        <v>2716</v>
      </c>
      <c r="G541" s="191">
        <v>21</v>
      </c>
      <c r="H541" s="192">
        <v>0</v>
      </c>
      <c r="I541" s="192">
        <v>505.59</v>
      </c>
      <c r="J541" s="192">
        <f>SUM(H541:I541)</f>
        <v>505.59</v>
      </c>
    </row>
    <row r="542" spans="1:10" outlineLevel="2">
      <c r="A542" s="191" t="s">
        <v>352</v>
      </c>
      <c r="B542" s="191" t="s">
        <v>351</v>
      </c>
      <c r="C542" s="191" t="s">
        <v>349</v>
      </c>
      <c r="D542" s="191" t="s">
        <v>1820</v>
      </c>
      <c r="E542" s="191" t="s">
        <v>2717</v>
      </c>
      <c r="F542" s="191" t="s">
        <v>1490</v>
      </c>
      <c r="G542" s="191">
        <v>21</v>
      </c>
      <c r="H542" s="192">
        <v>0</v>
      </c>
      <c r="I542" s="192">
        <v>508.08</v>
      </c>
      <c r="J542" s="192">
        <f>SUM(H542:I542)</f>
        <v>508.08</v>
      </c>
    </row>
    <row r="543" spans="1:10" outlineLevel="2">
      <c r="A543" s="191" t="s">
        <v>353</v>
      </c>
      <c r="B543" s="191" t="s">
        <v>351</v>
      </c>
      <c r="C543" s="191" t="s">
        <v>349</v>
      </c>
      <c r="D543" s="191" t="s">
        <v>1821</v>
      </c>
      <c r="E543" s="191" t="s">
        <v>2599</v>
      </c>
      <c r="F543" s="191" t="s">
        <v>2600</v>
      </c>
      <c r="G543" s="191">
        <v>14</v>
      </c>
      <c r="H543" s="192">
        <v>0</v>
      </c>
      <c r="I543" s="192">
        <v>168.32</v>
      </c>
      <c r="J543" s="192">
        <f>SUM(H543:I543)</f>
        <v>168.32</v>
      </c>
    </row>
    <row r="544" spans="1:10" outlineLevel="2">
      <c r="A544" s="191" t="s">
        <v>353</v>
      </c>
      <c r="B544" s="191" t="s">
        <v>351</v>
      </c>
      <c r="C544" s="191" t="s">
        <v>349</v>
      </c>
      <c r="D544" s="191" t="s">
        <v>1822</v>
      </c>
      <c r="E544" s="191" t="s">
        <v>2634</v>
      </c>
      <c r="F544" s="191" t="s">
        <v>2626</v>
      </c>
      <c r="G544" s="191">
        <v>14</v>
      </c>
      <c r="H544" s="192">
        <v>0</v>
      </c>
      <c r="I544" s="192">
        <v>198.06</v>
      </c>
      <c r="J544" s="192">
        <f>SUM(H544:I544)</f>
        <v>198.06</v>
      </c>
    </row>
    <row r="545" spans="1:10" outlineLevel="2">
      <c r="A545" s="191" t="s">
        <v>354</v>
      </c>
      <c r="B545" s="191" t="s">
        <v>2839</v>
      </c>
      <c r="C545" s="191" t="s">
        <v>349</v>
      </c>
      <c r="D545" s="191" t="s">
        <v>1823</v>
      </c>
      <c r="E545" s="191" t="s">
        <v>2594</v>
      </c>
      <c r="F545" s="191" t="s">
        <v>2588</v>
      </c>
      <c r="G545" s="191">
        <v>14</v>
      </c>
      <c r="H545" s="192">
        <v>0</v>
      </c>
      <c r="I545" s="192">
        <v>289.04000000000002</v>
      </c>
      <c r="J545" s="192">
        <f>SUM(H545:I545)</f>
        <v>289.04000000000002</v>
      </c>
    </row>
    <row r="546" spans="1:10" outlineLevel="2">
      <c r="A546" s="191" t="s">
        <v>356</v>
      </c>
      <c r="B546" s="191" t="s">
        <v>351</v>
      </c>
      <c r="C546" s="191" t="s">
        <v>349</v>
      </c>
      <c r="D546" s="191" t="s">
        <v>1821</v>
      </c>
      <c r="E546" s="191" t="s">
        <v>2599</v>
      </c>
      <c r="F546" s="191" t="s">
        <v>2600</v>
      </c>
      <c r="G546" s="191">
        <v>14</v>
      </c>
      <c r="H546" s="192">
        <v>0</v>
      </c>
      <c r="I546" s="192">
        <v>243.18</v>
      </c>
      <c r="J546" s="192">
        <f>SUM(H546:I546)</f>
        <v>243.18</v>
      </c>
    </row>
    <row r="547" spans="1:10" outlineLevel="2">
      <c r="A547" s="191" t="s">
        <v>356</v>
      </c>
      <c r="B547" s="191" t="s">
        <v>351</v>
      </c>
      <c r="C547" s="191" t="s">
        <v>349</v>
      </c>
      <c r="D547" s="191" t="s">
        <v>1824</v>
      </c>
      <c r="E547" s="191" t="s">
        <v>2665</v>
      </c>
      <c r="F547" s="191" t="s">
        <v>1490</v>
      </c>
      <c r="G547" s="191">
        <v>28</v>
      </c>
      <c r="H547" s="192">
        <v>0</v>
      </c>
      <c r="I547" s="192">
        <v>550.88</v>
      </c>
      <c r="J547" s="192">
        <f>SUM(H547:I547)</f>
        <v>550.88</v>
      </c>
    </row>
    <row r="548" spans="1:10" outlineLevel="2">
      <c r="A548" s="191" t="s">
        <v>358</v>
      </c>
      <c r="B548" s="191" t="s">
        <v>284</v>
      </c>
      <c r="C548" s="191" t="s">
        <v>349</v>
      </c>
      <c r="D548" s="191" t="s">
        <v>1825</v>
      </c>
      <c r="E548" s="191" t="s">
        <v>2714</v>
      </c>
      <c r="F548" s="191" t="s">
        <v>2716</v>
      </c>
      <c r="G548" s="191">
        <v>21</v>
      </c>
      <c r="H548" s="192">
        <v>0</v>
      </c>
      <c r="I548" s="192">
        <v>391.83</v>
      </c>
      <c r="J548" s="192">
        <f>SUM(H548:I548)</f>
        <v>391.83</v>
      </c>
    </row>
    <row r="549" spans="1:10" outlineLevel="2">
      <c r="A549" s="191" t="s">
        <v>2840</v>
      </c>
      <c r="B549" s="191" t="s">
        <v>351</v>
      </c>
      <c r="C549" s="191" t="s">
        <v>349</v>
      </c>
      <c r="D549" s="191" t="s">
        <v>1819</v>
      </c>
      <c r="E549" s="191" t="s">
        <v>2714</v>
      </c>
      <c r="F549" s="191" t="s">
        <v>2716</v>
      </c>
      <c r="G549" s="191">
        <v>21</v>
      </c>
      <c r="H549" s="192">
        <v>0</v>
      </c>
      <c r="I549" s="192">
        <v>510.69</v>
      </c>
      <c r="J549" s="192">
        <f>SUM(H549:I549)</f>
        <v>510.69</v>
      </c>
    </row>
    <row r="550" spans="1:10" outlineLevel="2">
      <c r="A550" s="191" t="s">
        <v>2840</v>
      </c>
      <c r="B550" s="191" t="s">
        <v>351</v>
      </c>
      <c r="C550" s="191" t="s">
        <v>349</v>
      </c>
      <c r="D550" s="191" t="s">
        <v>1817</v>
      </c>
      <c r="E550" s="191" t="s">
        <v>2702</v>
      </c>
      <c r="F550" s="191" t="s">
        <v>2640</v>
      </c>
      <c r="G550" s="191">
        <v>21</v>
      </c>
      <c r="H550" s="192">
        <v>0</v>
      </c>
      <c r="I550" s="192">
        <v>513.21</v>
      </c>
      <c r="J550" s="192">
        <f>SUM(H550:I550)</f>
        <v>513.21</v>
      </c>
    </row>
    <row r="551" spans="1:10" outlineLevel="1">
      <c r="A551" s="193" t="s">
        <v>3008</v>
      </c>
      <c r="B551" s="194"/>
      <c r="C551" s="194"/>
      <c r="D551" s="194"/>
      <c r="E551" s="194"/>
      <c r="F551" s="194"/>
      <c r="G551" s="194">
        <f>SUBTOTAL(9,G534:G550)</f>
        <v>266</v>
      </c>
      <c r="H551" s="195">
        <f>SUBTOTAL(9,H534:H550)</f>
        <v>0</v>
      </c>
      <c r="I551" s="195">
        <f>SUBTOTAL(9,I534:I550)</f>
        <v>5729.99</v>
      </c>
      <c r="J551" s="195">
        <f>SUBTOTAL(9,J534:J550)</f>
        <v>5729.99</v>
      </c>
    </row>
    <row r="552" spans="1:10" outlineLevel="2">
      <c r="A552" s="191" t="s">
        <v>2841</v>
      </c>
      <c r="B552" s="191" t="s">
        <v>377</v>
      </c>
      <c r="C552" s="191" t="s">
        <v>361</v>
      </c>
      <c r="D552" s="191" t="s">
        <v>1826</v>
      </c>
      <c r="E552" s="191" t="s">
        <v>2718</v>
      </c>
      <c r="F552" s="191" t="s">
        <v>1480</v>
      </c>
      <c r="G552" s="191">
        <v>21</v>
      </c>
      <c r="H552" s="192">
        <v>0</v>
      </c>
      <c r="I552" s="192">
        <v>401.49</v>
      </c>
      <c r="J552" s="192">
        <f>SUM(H552:I552)</f>
        <v>401.49</v>
      </c>
    </row>
    <row r="553" spans="1:10" outlineLevel="2">
      <c r="A553" s="191" t="s">
        <v>359</v>
      </c>
      <c r="B553" s="191" t="s">
        <v>360</v>
      </c>
      <c r="C553" s="191" t="s">
        <v>361</v>
      </c>
      <c r="D553" s="191" t="s">
        <v>1827</v>
      </c>
      <c r="E553" s="191" t="s">
        <v>2594</v>
      </c>
      <c r="F553" s="191" t="s">
        <v>2594</v>
      </c>
      <c r="G553" s="191">
        <v>7</v>
      </c>
      <c r="H553" s="192">
        <v>0</v>
      </c>
      <c r="I553" s="192">
        <v>148.94</v>
      </c>
      <c r="J553" s="192">
        <f>SUM(H553:I553)</f>
        <v>148.94</v>
      </c>
    </row>
    <row r="554" spans="1:10" outlineLevel="2">
      <c r="A554" s="191" t="s">
        <v>359</v>
      </c>
      <c r="B554" s="191" t="s">
        <v>360</v>
      </c>
      <c r="C554" s="191" t="s">
        <v>361</v>
      </c>
      <c r="D554" s="191" t="s">
        <v>1828</v>
      </c>
      <c r="E554" s="191" t="s">
        <v>2607</v>
      </c>
      <c r="F554" s="191" t="s">
        <v>1499</v>
      </c>
      <c r="G554" s="191">
        <v>14</v>
      </c>
      <c r="H554" s="192">
        <v>0</v>
      </c>
      <c r="I554" s="192">
        <v>302.76</v>
      </c>
      <c r="J554" s="192">
        <f>SUM(H554:I554)</f>
        <v>302.76</v>
      </c>
    </row>
    <row r="555" spans="1:10" outlineLevel="2">
      <c r="A555" s="191" t="s">
        <v>362</v>
      </c>
      <c r="B555" s="191" t="s">
        <v>363</v>
      </c>
      <c r="C555" s="191" t="s">
        <v>361</v>
      </c>
      <c r="D555" s="191" t="s">
        <v>1829</v>
      </c>
      <c r="E555" s="191" t="s">
        <v>2719</v>
      </c>
      <c r="F555" s="191" t="s">
        <v>2608</v>
      </c>
      <c r="G555" s="191">
        <v>21</v>
      </c>
      <c r="H555" s="192">
        <v>0</v>
      </c>
      <c r="I555" s="192">
        <v>510.09</v>
      </c>
      <c r="J555" s="192">
        <f>SUM(H555:I555)</f>
        <v>510.09</v>
      </c>
    </row>
    <row r="556" spans="1:10" outlineLevel="2">
      <c r="A556" s="191" t="s">
        <v>362</v>
      </c>
      <c r="B556" s="191" t="s">
        <v>363</v>
      </c>
      <c r="C556" s="191" t="s">
        <v>361</v>
      </c>
      <c r="D556" s="191" t="s">
        <v>1830</v>
      </c>
      <c r="E556" s="191" t="s">
        <v>1497</v>
      </c>
      <c r="F556" s="191" t="s">
        <v>2720</v>
      </c>
      <c r="G556" s="191">
        <v>35</v>
      </c>
      <c r="H556" s="192">
        <v>0</v>
      </c>
      <c r="I556" s="192">
        <v>564.29999999999995</v>
      </c>
      <c r="J556" s="192">
        <f>SUM(H556:I556)</f>
        <v>564.29999999999995</v>
      </c>
    </row>
    <row r="557" spans="1:10" outlineLevel="2">
      <c r="A557" s="191" t="s">
        <v>364</v>
      </c>
      <c r="B557" s="191" t="s">
        <v>368</v>
      </c>
      <c r="C557" s="191" t="s">
        <v>361</v>
      </c>
      <c r="D557" s="191" t="s">
        <v>1831</v>
      </c>
      <c r="E557" s="191" t="s">
        <v>2721</v>
      </c>
      <c r="F557" s="191" t="s">
        <v>1480</v>
      </c>
      <c r="G557" s="191">
        <v>28</v>
      </c>
      <c r="H557" s="192">
        <v>0</v>
      </c>
      <c r="I557" s="192">
        <v>218.12</v>
      </c>
      <c r="J557" s="192">
        <f>SUM(H557:I557)</f>
        <v>218.12</v>
      </c>
    </row>
    <row r="558" spans="1:10" outlineLevel="2">
      <c r="A558" s="191" t="s">
        <v>365</v>
      </c>
      <c r="B558" s="191" t="s">
        <v>268</v>
      </c>
      <c r="C558" s="191" t="s">
        <v>361</v>
      </c>
      <c r="D558" s="191" t="s">
        <v>1827</v>
      </c>
      <c r="E558" s="191" t="s">
        <v>2666</v>
      </c>
      <c r="F558" s="191" t="s">
        <v>2594</v>
      </c>
      <c r="G558" s="191">
        <v>14</v>
      </c>
      <c r="H558" s="192">
        <v>0</v>
      </c>
      <c r="I558" s="192">
        <v>439.9</v>
      </c>
      <c r="J558" s="192">
        <f>SUM(H558:I558)</f>
        <v>439.9</v>
      </c>
    </row>
    <row r="559" spans="1:10" outlineLevel="2">
      <c r="A559" s="191" t="s">
        <v>2842</v>
      </c>
      <c r="B559" s="191" t="s">
        <v>360</v>
      </c>
      <c r="C559" s="191" t="s">
        <v>361</v>
      </c>
      <c r="D559" s="191" t="s">
        <v>1832</v>
      </c>
      <c r="E559" s="191" t="s">
        <v>2654</v>
      </c>
      <c r="F559" s="191" t="s">
        <v>2639</v>
      </c>
      <c r="G559" s="191">
        <v>28</v>
      </c>
      <c r="H559" s="192">
        <v>0</v>
      </c>
      <c r="I559" s="192">
        <v>602.55999999999995</v>
      </c>
      <c r="J559" s="192">
        <f>SUM(H559:I559)</f>
        <v>602.55999999999995</v>
      </c>
    </row>
    <row r="560" spans="1:10" outlineLevel="2">
      <c r="A560" s="191" t="s">
        <v>2843</v>
      </c>
      <c r="B560" s="191" t="s">
        <v>363</v>
      </c>
      <c r="C560" s="191" t="s">
        <v>361</v>
      </c>
      <c r="D560" s="191" t="s">
        <v>1833</v>
      </c>
      <c r="E560" s="191" t="s">
        <v>2719</v>
      </c>
      <c r="F560" s="191" t="s">
        <v>2608</v>
      </c>
      <c r="G560" s="191">
        <v>21</v>
      </c>
      <c r="H560" s="192">
        <v>0</v>
      </c>
      <c r="I560" s="192">
        <v>510.69</v>
      </c>
      <c r="J560" s="192">
        <f>SUM(H560:I560)</f>
        <v>510.69</v>
      </c>
    </row>
    <row r="561" spans="1:10" outlineLevel="2">
      <c r="A561" s="191" t="s">
        <v>2843</v>
      </c>
      <c r="B561" s="191" t="s">
        <v>363</v>
      </c>
      <c r="C561" s="191" t="s">
        <v>361</v>
      </c>
      <c r="D561" s="191" t="s">
        <v>1834</v>
      </c>
      <c r="E561" s="191" t="s">
        <v>1479</v>
      </c>
      <c r="F561" s="191" t="s">
        <v>2612</v>
      </c>
      <c r="G561" s="191">
        <v>28</v>
      </c>
      <c r="H561" s="192">
        <v>0</v>
      </c>
      <c r="I561" s="192">
        <v>680.92</v>
      </c>
      <c r="J561" s="192">
        <f>SUM(H561:I561)</f>
        <v>680.92</v>
      </c>
    </row>
    <row r="562" spans="1:10" outlineLevel="2">
      <c r="A562" s="191" t="s">
        <v>366</v>
      </c>
      <c r="B562" s="191" t="s">
        <v>360</v>
      </c>
      <c r="C562" s="191" t="s">
        <v>361</v>
      </c>
      <c r="D562" s="191" t="s">
        <v>1835</v>
      </c>
      <c r="E562" s="191" t="s">
        <v>2653</v>
      </c>
      <c r="F562" s="191" t="s">
        <v>2646</v>
      </c>
      <c r="G562" s="191">
        <v>21</v>
      </c>
      <c r="H562" s="192">
        <v>0</v>
      </c>
      <c r="I562" s="192">
        <v>449.01</v>
      </c>
      <c r="J562" s="192">
        <f>SUM(H562:I562)</f>
        <v>449.01</v>
      </c>
    </row>
    <row r="563" spans="1:10" outlineLevel="2">
      <c r="A563" s="191" t="s">
        <v>367</v>
      </c>
      <c r="B563" s="191" t="s">
        <v>378</v>
      </c>
      <c r="C563" s="191" t="s">
        <v>361</v>
      </c>
      <c r="D563" s="191" t="s">
        <v>1836</v>
      </c>
      <c r="E563" s="191" t="s">
        <v>2607</v>
      </c>
      <c r="F563" s="191" t="s">
        <v>1499</v>
      </c>
      <c r="G563" s="191">
        <v>14</v>
      </c>
      <c r="H563" s="192">
        <v>0</v>
      </c>
      <c r="I563" s="192">
        <v>117.94</v>
      </c>
      <c r="J563" s="192">
        <f>SUM(H563:I563)</f>
        <v>117.94</v>
      </c>
    </row>
    <row r="564" spans="1:10" outlineLevel="2">
      <c r="A564" s="191" t="s">
        <v>367</v>
      </c>
      <c r="B564" s="191" t="s">
        <v>378</v>
      </c>
      <c r="C564" s="191" t="s">
        <v>361</v>
      </c>
      <c r="D564" s="191" t="s">
        <v>1837</v>
      </c>
      <c r="E564" s="191" t="s">
        <v>2718</v>
      </c>
      <c r="F564" s="191" t="s">
        <v>1480</v>
      </c>
      <c r="G564" s="191">
        <v>21</v>
      </c>
      <c r="H564" s="192">
        <v>0</v>
      </c>
      <c r="I564" s="192">
        <v>176.91</v>
      </c>
      <c r="J564" s="192">
        <f>SUM(H564:I564)</f>
        <v>176.91</v>
      </c>
    </row>
    <row r="565" spans="1:10" outlineLevel="2">
      <c r="A565" s="191" t="s">
        <v>2844</v>
      </c>
      <c r="B565" s="191" t="s">
        <v>360</v>
      </c>
      <c r="C565" s="191" t="s">
        <v>361</v>
      </c>
      <c r="D565" s="191" t="s">
        <v>1826</v>
      </c>
      <c r="E565" s="191" t="s">
        <v>2721</v>
      </c>
      <c r="F565" s="191" t="s">
        <v>1480</v>
      </c>
      <c r="G565" s="191">
        <v>28</v>
      </c>
      <c r="H565" s="192">
        <v>0</v>
      </c>
      <c r="I565" s="192">
        <v>535.32000000000005</v>
      </c>
      <c r="J565" s="192">
        <f>SUM(H565:I565)</f>
        <v>535.32000000000005</v>
      </c>
    </row>
    <row r="566" spans="1:10" outlineLevel="2">
      <c r="A566" s="191" t="s">
        <v>369</v>
      </c>
      <c r="B566" s="191" t="s">
        <v>360</v>
      </c>
      <c r="C566" s="191" t="s">
        <v>361</v>
      </c>
      <c r="D566" s="191" t="s">
        <v>1838</v>
      </c>
      <c r="E566" s="191" t="s">
        <v>2604</v>
      </c>
      <c r="F566" s="191" t="s">
        <v>2605</v>
      </c>
      <c r="G566" s="191">
        <v>14</v>
      </c>
      <c r="H566" s="192">
        <v>0</v>
      </c>
      <c r="I566" s="192">
        <v>276.58</v>
      </c>
      <c r="J566" s="192">
        <f>SUM(H566:I566)</f>
        <v>276.58</v>
      </c>
    </row>
    <row r="567" spans="1:10" outlineLevel="2">
      <c r="A567" s="191" t="s">
        <v>369</v>
      </c>
      <c r="B567" s="191" t="s">
        <v>360</v>
      </c>
      <c r="C567" s="191" t="s">
        <v>361</v>
      </c>
      <c r="D567" s="191" t="s">
        <v>1839</v>
      </c>
      <c r="E567" s="191" t="s">
        <v>2606</v>
      </c>
      <c r="F567" s="191" t="s">
        <v>2593</v>
      </c>
      <c r="G567" s="191">
        <v>14</v>
      </c>
      <c r="H567" s="192">
        <v>0</v>
      </c>
      <c r="I567" s="192">
        <v>276.58</v>
      </c>
      <c r="J567" s="192">
        <f>SUM(H567:I567)</f>
        <v>276.58</v>
      </c>
    </row>
    <row r="568" spans="1:10" outlineLevel="2">
      <c r="A568" s="191" t="s">
        <v>369</v>
      </c>
      <c r="B568" s="191" t="s">
        <v>360</v>
      </c>
      <c r="C568" s="191" t="s">
        <v>361</v>
      </c>
      <c r="D568" s="191" t="s">
        <v>1839</v>
      </c>
      <c r="E568" s="191" t="s">
        <v>2654</v>
      </c>
      <c r="F568" s="191" t="s">
        <v>2639</v>
      </c>
      <c r="G568" s="191">
        <v>28</v>
      </c>
      <c r="H568" s="192">
        <v>0</v>
      </c>
      <c r="I568" s="192">
        <v>553.16</v>
      </c>
      <c r="J568" s="192">
        <f>SUM(H568:I568)</f>
        <v>553.16</v>
      </c>
    </row>
    <row r="569" spans="1:10" outlineLevel="2">
      <c r="A569" s="191" t="s">
        <v>370</v>
      </c>
      <c r="B569" s="191" t="s">
        <v>360</v>
      </c>
      <c r="C569" s="191" t="s">
        <v>361</v>
      </c>
      <c r="D569" s="191" t="s">
        <v>1840</v>
      </c>
      <c r="E569" s="191" t="s">
        <v>2675</v>
      </c>
      <c r="F569" s="191" t="s">
        <v>2675</v>
      </c>
      <c r="G569" s="191">
        <v>7</v>
      </c>
      <c r="H569" s="192">
        <v>0</v>
      </c>
      <c r="I569" s="192">
        <v>160.44</v>
      </c>
      <c r="J569" s="192">
        <f>SUM(H569:I569)</f>
        <v>160.44</v>
      </c>
    </row>
    <row r="570" spans="1:10" outlineLevel="2">
      <c r="A570" s="191" t="s">
        <v>370</v>
      </c>
      <c r="B570" s="191" t="s">
        <v>360</v>
      </c>
      <c r="C570" s="191" t="s">
        <v>361</v>
      </c>
      <c r="D570" s="191" t="s">
        <v>1841</v>
      </c>
      <c r="E570" s="191" t="s">
        <v>2718</v>
      </c>
      <c r="F570" s="191" t="s">
        <v>1480</v>
      </c>
      <c r="G570" s="191">
        <v>21</v>
      </c>
      <c r="H570" s="192">
        <v>0</v>
      </c>
      <c r="I570" s="192">
        <v>488.82</v>
      </c>
      <c r="J570" s="192">
        <f>SUM(H570:I570)</f>
        <v>488.82</v>
      </c>
    </row>
    <row r="571" spans="1:10" outlineLevel="2">
      <c r="A571" s="191" t="s">
        <v>370</v>
      </c>
      <c r="B571" s="191" t="s">
        <v>360</v>
      </c>
      <c r="C571" s="191" t="s">
        <v>361</v>
      </c>
      <c r="D571" s="191" t="s">
        <v>1842</v>
      </c>
      <c r="E571" s="191" t="s">
        <v>2722</v>
      </c>
      <c r="F571" s="191" t="s">
        <v>2646</v>
      </c>
      <c r="G571" s="191">
        <v>28</v>
      </c>
      <c r="H571" s="192">
        <v>0</v>
      </c>
      <c r="I571" s="192">
        <v>651.76</v>
      </c>
      <c r="J571" s="192">
        <f>SUM(H571:I571)</f>
        <v>651.76</v>
      </c>
    </row>
    <row r="572" spans="1:10" outlineLevel="2">
      <c r="A572" s="191" t="s">
        <v>371</v>
      </c>
      <c r="B572" s="191" t="s">
        <v>360</v>
      </c>
      <c r="C572" s="191" t="s">
        <v>361</v>
      </c>
      <c r="D572" s="191" t="s">
        <v>1843</v>
      </c>
      <c r="E572" s="191" t="s">
        <v>1504</v>
      </c>
      <c r="F572" s="191" t="s">
        <v>1504</v>
      </c>
      <c r="G572" s="191">
        <v>7</v>
      </c>
      <c r="H572" s="192">
        <v>0</v>
      </c>
      <c r="I572" s="192">
        <v>155.56</v>
      </c>
      <c r="J572" s="192">
        <f>SUM(H572:I572)</f>
        <v>155.56</v>
      </c>
    </row>
    <row r="573" spans="1:10" outlineLevel="2">
      <c r="A573" s="191" t="s">
        <v>372</v>
      </c>
      <c r="B573" s="191" t="s">
        <v>363</v>
      </c>
      <c r="C573" s="191" t="s">
        <v>361</v>
      </c>
      <c r="D573" s="191" t="s">
        <v>1844</v>
      </c>
      <c r="E573" s="191" t="s">
        <v>2723</v>
      </c>
      <c r="F573" s="191" t="s">
        <v>2723</v>
      </c>
      <c r="G573" s="191">
        <v>7</v>
      </c>
      <c r="H573" s="192">
        <v>0</v>
      </c>
      <c r="I573" s="192">
        <v>153.09</v>
      </c>
      <c r="J573" s="192">
        <f>SUM(H573:I573)</f>
        <v>153.09</v>
      </c>
    </row>
    <row r="574" spans="1:10" outlineLevel="2">
      <c r="A574" s="191" t="s">
        <v>372</v>
      </c>
      <c r="B574" s="191" t="s">
        <v>363</v>
      </c>
      <c r="C574" s="191" t="s">
        <v>361</v>
      </c>
      <c r="D574" s="191" t="s">
        <v>1845</v>
      </c>
      <c r="E574" s="191" t="s">
        <v>2724</v>
      </c>
      <c r="F574" s="191" t="s">
        <v>2724</v>
      </c>
      <c r="G574" s="191">
        <v>7</v>
      </c>
      <c r="H574" s="192">
        <v>0</v>
      </c>
      <c r="I574" s="192">
        <v>153.09</v>
      </c>
      <c r="J574" s="192">
        <f>SUM(H574:I574)</f>
        <v>153.09</v>
      </c>
    </row>
    <row r="575" spans="1:10" outlineLevel="2">
      <c r="A575" s="191" t="s">
        <v>373</v>
      </c>
      <c r="B575" s="191" t="s">
        <v>360</v>
      </c>
      <c r="C575" s="191" t="s">
        <v>361</v>
      </c>
      <c r="D575" s="191" t="s">
        <v>1846</v>
      </c>
      <c r="E575" s="191" t="s">
        <v>2654</v>
      </c>
      <c r="F575" s="191" t="s">
        <v>2639</v>
      </c>
      <c r="G575" s="191">
        <v>28</v>
      </c>
      <c r="H575" s="192">
        <v>0</v>
      </c>
      <c r="I575" s="192">
        <v>609.4</v>
      </c>
      <c r="J575" s="192">
        <f>SUM(H575:I575)</f>
        <v>609.4</v>
      </c>
    </row>
    <row r="576" spans="1:10" outlineLevel="2">
      <c r="A576" s="191" t="s">
        <v>374</v>
      </c>
      <c r="B576" s="191" t="s">
        <v>360</v>
      </c>
      <c r="C576" s="191" t="s">
        <v>361</v>
      </c>
      <c r="D576" s="191" t="s">
        <v>1847</v>
      </c>
      <c r="E576" s="191" t="s">
        <v>2648</v>
      </c>
      <c r="F576" s="191" t="s">
        <v>2649</v>
      </c>
      <c r="G576" s="191" t="s">
        <v>2760</v>
      </c>
      <c r="H576" s="192">
        <v>0</v>
      </c>
      <c r="I576" s="192">
        <v>0</v>
      </c>
      <c r="J576" s="192">
        <f>SUM(H576:I576)</f>
        <v>0</v>
      </c>
    </row>
    <row r="577" spans="1:10" outlineLevel="2">
      <c r="A577" s="191" t="s">
        <v>375</v>
      </c>
      <c r="B577" s="191" t="s">
        <v>360</v>
      </c>
      <c r="C577" s="191" t="s">
        <v>361</v>
      </c>
      <c r="D577" s="191" t="s">
        <v>1827</v>
      </c>
      <c r="E577" s="191" t="s">
        <v>2666</v>
      </c>
      <c r="F577" s="191" t="s">
        <v>2594</v>
      </c>
      <c r="G577" s="191">
        <v>14</v>
      </c>
      <c r="H577" s="192">
        <v>0</v>
      </c>
      <c r="I577" s="192">
        <v>347.28</v>
      </c>
      <c r="J577" s="192">
        <f>SUM(H577:I577)</f>
        <v>347.28</v>
      </c>
    </row>
    <row r="578" spans="1:10" outlineLevel="2">
      <c r="A578" s="191" t="s">
        <v>2845</v>
      </c>
      <c r="B578" s="191" t="s">
        <v>377</v>
      </c>
      <c r="C578" s="191" t="s">
        <v>361</v>
      </c>
      <c r="D578" s="191" t="s">
        <v>1848</v>
      </c>
      <c r="E578" s="191" t="s">
        <v>2710</v>
      </c>
      <c r="F578" s="191" t="s">
        <v>2710</v>
      </c>
      <c r="G578" s="191">
        <v>7</v>
      </c>
      <c r="H578" s="192">
        <v>0</v>
      </c>
      <c r="I578" s="192">
        <v>162.13999999999999</v>
      </c>
      <c r="J578" s="192">
        <f>SUM(H578:I578)</f>
        <v>162.13999999999999</v>
      </c>
    </row>
    <row r="579" spans="1:10" outlineLevel="2">
      <c r="A579" s="191" t="s">
        <v>376</v>
      </c>
      <c r="B579" s="191" t="s">
        <v>377</v>
      </c>
      <c r="C579" s="191" t="s">
        <v>361</v>
      </c>
      <c r="D579" s="191" t="s">
        <v>1849</v>
      </c>
      <c r="E579" s="191" t="s">
        <v>1504</v>
      </c>
      <c r="F579" s="191" t="s">
        <v>1504</v>
      </c>
      <c r="G579" s="191">
        <v>7</v>
      </c>
      <c r="H579" s="192">
        <v>0</v>
      </c>
      <c r="I579" s="192">
        <v>160.44</v>
      </c>
      <c r="J579" s="192">
        <f>SUM(H579:I579)</f>
        <v>160.44</v>
      </c>
    </row>
    <row r="580" spans="1:10" outlineLevel="2">
      <c r="A580" s="191" t="s">
        <v>379</v>
      </c>
      <c r="B580" s="191" t="s">
        <v>377</v>
      </c>
      <c r="C580" s="191" t="s">
        <v>361</v>
      </c>
      <c r="D580" s="191" t="s">
        <v>1850</v>
      </c>
      <c r="E580" s="191" t="s">
        <v>2710</v>
      </c>
      <c r="F580" s="191" t="s">
        <v>2710</v>
      </c>
      <c r="G580" s="191">
        <v>7</v>
      </c>
      <c r="H580" s="192">
        <v>0</v>
      </c>
      <c r="I580" s="192">
        <v>162.13999999999999</v>
      </c>
      <c r="J580" s="192">
        <f>SUM(H580:I580)</f>
        <v>162.13999999999999</v>
      </c>
    </row>
    <row r="581" spans="1:10" outlineLevel="2">
      <c r="A581" s="191" t="s">
        <v>380</v>
      </c>
      <c r="B581" s="191" t="s">
        <v>360</v>
      </c>
      <c r="C581" s="191" t="s">
        <v>361</v>
      </c>
      <c r="D581" s="191" t="s">
        <v>1851</v>
      </c>
      <c r="E581" s="191" t="s">
        <v>2654</v>
      </c>
      <c r="F581" s="191" t="s">
        <v>2608</v>
      </c>
      <c r="G581" s="191">
        <v>35</v>
      </c>
      <c r="H581" s="192">
        <v>0</v>
      </c>
      <c r="I581" s="192">
        <v>898</v>
      </c>
      <c r="J581" s="192">
        <f>SUM(H581:I581)</f>
        <v>898</v>
      </c>
    </row>
    <row r="582" spans="1:10" outlineLevel="1">
      <c r="A582" s="193" t="s">
        <v>3009</v>
      </c>
      <c r="B582" s="194"/>
      <c r="C582" s="194"/>
      <c r="D582" s="194"/>
      <c r="E582" s="194"/>
      <c r="F582" s="194"/>
      <c r="G582" s="194">
        <f>SUBTOTAL(9,G552:G581)</f>
        <v>532</v>
      </c>
      <c r="H582" s="195">
        <f>SUBTOTAL(9,H552:H581)</f>
        <v>0</v>
      </c>
      <c r="I582" s="195">
        <f>SUBTOTAL(9,I552:I581)</f>
        <v>10867.429999999998</v>
      </c>
      <c r="J582" s="195">
        <f>SUBTOTAL(9,J552:J581)</f>
        <v>10867.429999999998</v>
      </c>
    </row>
    <row r="583" spans="1:10" outlineLevel="2">
      <c r="A583" s="191" t="s">
        <v>383</v>
      </c>
      <c r="B583" s="191" t="s">
        <v>381</v>
      </c>
      <c r="C583" s="191" t="s">
        <v>382</v>
      </c>
      <c r="D583" s="191" t="s">
        <v>1852</v>
      </c>
      <c r="E583" s="191" t="s">
        <v>2603</v>
      </c>
      <c r="F583" s="191" t="s">
        <v>2603</v>
      </c>
      <c r="G583" s="191">
        <v>7</v>
      </c>
      <c r="H583" s="192">
        <v>0</v>
      </c>
      <c r="I583" s="192">
        <v>682.89</v>
      </c>
      <c r="J583" s="192">
        <f>SUM(H583:I583)</f>
        <v>682.89</v>
      </c>
    </row>
    <row r="584" spans="1:10" outlineLevel="2">
      <c r="A584" s="191" t="s">
        <v>383</v>
      </c>
      <c r="B584" s="191" t="s">
        <v>381</v>
      </c>
      <c r="C584" s="191" t="s">
        <v>382</v>
      </c>
      <c r="D584" s="191" t="s">
        <v>1853</v>
      </c>
      <c r="E584" s="191" t="s">
        <v>1503</v>
      </c>
      <c r="F584" s="191" t="s">
        <v>1504</v>
      </c>
      <c r="G584" s="191">
        <v>21</v>
      </c>
      <c r="H584" s="192">
        <v>0</v>
      </c>
      <c r="I584" s="192">
        <v>399.54</v>
      </c>
      <c r="J584" s="192">
        <f>SUM(H584:I584)</f>
        <v>399.54</v>
      </c>
    </row>
    <row r="585" spans="1:10" outlineLevel="1">
      <c r="A585" s="193" t="s">
        <v>3010</v>
      </c>
      <c r="B585" s="194"/>
      <c r="C585" s="194"/>
      <c r="D585" s="194"/>
      <c r="E585" s="194"/>
      <c r="F585" s="194"/>
      <c r="G585" s="194">
        <f>SUBTOTAL(9,G583:G584)</f>
        <v>28</v>
      </c>
      <c r="H585" s="195">
        <f>SUBTOTAL(9,H583:H584)</f>
        <v>0</v>
      </c>
      <c r="I585" s="195">
        <f>SUBTOTAL(9,I583:I584)</f>
        <v>1082.43</v>
      </c>
      <c r="J585" s="195">
        <f>SUBTOTAL(9,J583:J584)</f>
        <v>1082.43</v>
      </c>
    </row>
    <row r="586" spans="1:10" outlineLevel="2">
      <c r="A586" s="191" t="s">
        <v>386</v>
      </c>
      <c r="B586" s="191" t="s">
        <v>384</v>
      </c>
      <c r="C586" s="191" t="s">
        <v>385</v>
      </c>
      <c r="D586" s="191" t="s">
        <v>1854</v>
      </c>
      <c r="E586" s="191" t="s">
        <v>1487</v>
      </c>
      <c r="F586" s="191" t="s">
        <v>1487</v>
      </c>
      <c r="G586" s="191">
        <v>7</v>
      </c>
      <c r="H586" s="192">
        <v>0</v>
      </c>
      <c r="I586" s="192">
        <v>170.23</v>
      </c>
      <c r="J586" s="192">
        <f>SUM(H586:I586)</f>
        <v>170.23</v>
      </c>
    </row>
    <row r="587" spans="1:10" outlineLevel="2">
      <c r="A587" s="191" t="s">
        <v>386</v>
      </c>
      <c r="B587" s="191" t="s">
        <v>384</v>
      </c>
      <c r="C587" s="191" t="s">
        <v>385</v>
      </c>
      <c r="D587" s="191" t="s">
        <v>1855</v>
      </c>
      <c r="E587" s="191" t="s">
        <v>2674</v>
      </c>
      <c r="F587" s="191" t="s">
        <v>2587</v>
      </c>
      <c r="G587" s="191">
        <v>14</v>
      </c>
      <c r="H587" s="192">
        <v>0</v>
      </c>
      <c r="I587" s="192">
        <v>337.06</v>
      </c>
      <c r="J587" s="192">
        <f>SUM(H587:I587)</f>
        <v>337.06</v>
      </c>
    </row>
    <row r="588" spans="1:10" outlineLevel="2">
      <c r="A588" s="191" t="s">
        <v>387</v>
      </c>
      <c r="B588" s="191" t="s">
        <v>384</v>
      </c>
      <c r="C588" s="191" t="s">
        <v>385</v>
      </c>
      <c r="D588" s="191" t="s">
        <v>1856</v>
      </c>
      <c r="E588" s="191" t="s">
        <v>2630</v>
      </c>
      <c r="F588" s="191" t="s">
        <v>2630</v>
      </c>
      <c r="G588" s="191">
        <v>7</v>
      </c>
      <c r="H588" s="192">
        <v>0</v>
      </c>
      <c r="I588" s="192">
        <v>171.07</v>
      </c>
      <c r="J588" s="192">
        <f>SUM(H588:I588)</f>
        <v>171.07</v>
      </c>
    </row>
    <row r="589" spans="1:10" outlineLevel="2">
      <c r="A589" s="191" t="s">
        <v>387</v>
      </c>
      <c r="B589" s="191" t="s">
        <v>384</v>
      </c>
      <c r="C589" s="191" t="s">
        <v>385</v>
      </c>
      <c r="D589" s="191" t="s">
        <v>1857</v>
      </c>
      <c r="E589" s="191" t="s">
        <v>2617</v>
      </c>
      <c r="F589" s="191" t="s">
        <v>2617</v>
      </c>
      <c r="G589" s="191">
        <v>7</v>
      </c>
      <c r="H589" s="192">
        <v>0</v>
      </c>
      <c r="I589" s="192">
        <v>171.07</v>
      </c>
      <c r="J589" s="192">
        <f>SUM(H589:I589)</f>
        <v>171.07</v>
      </c>
    </row>
    <row r="590" spans="1:10" outlineLevel="2">
      <c r="A590" s="191" t="s">
        <v>387</v>
      </c>
      <c r="B590" s="191" t="s">
        <v>384</v>
      </c>
      <c r="C590" s="191" t="s">
        <v>385</v>
      </c>
      <c r="D590" s="191" t="s">
        <v>1858</v>
      </c>
      <c r="E590" s="191" t="s">
        <v>2593</v>
      </c>
      <c r="F590" s="191" t="s">
        <v>1487</v>
      </c>
      <c r="G590" s="191">
        <v>14</v>
      </c>
      <c r="H590" s="192">
        <v>0</v>
      </c>
      <c r="I590" s="192">
        <v>340.46</v>
      </c>
      <c r="J590" s="192">
        <f>SUM(H590:I590)</f>
        <v>340.46</v>
      </c>
    </row>
    <row r="591" spans="1:10" outlineLevel="2">
      <c r="A591" s="191" t="s">
        <v>388</v>
      </c>
      <c r="B591" s="191" t="s">
        <v>384</v>
      </c>
      <c r="C591" s="191" t="s">
        <v>385</v>
      </c>
      <c r="D591" s="191" t="s">
        <v>392</v>
      </c>
      <c r="E591" s="191" t="s">
        <v>2658</v>
      </c>
      <c r="F591" s="191" t="s">
        <v>1482</v>
      </c>
      <c r="G591" s="191">
        <v>14</v>
      </c>
      <c r="H591" s="192">
        <v>0</v>
      </c>
      <c r="I591" s="192">
        <v>279.98</v>
      </c>
      <c r="J591" s="192">
        <f>SUM(H591:I591)</f>
        <v>279.98</v>
      </c>
    </row>
    <row r="592" spans="1:10" outlineLevel="2">
      <c r="A592" s="191" t="s">
        <v>388</v>
      </c>
      <c r="B592" s="191" t="s">
        <v>384</v>
      </c>
      <c r="C592" s="191" t="s">
        <v>385</v>
      </c>
      <c r="D592" s="191" t="s">
        <v>1859</v>
      </c>
      <c r="E592" s="191" t="s">
        <v>2593</v>
      </c>
      <c r="F592" s="191" t="s">
        <v>1487</v>
      </c>
      <c r="G592" s="191">
        <v>14</v>
      </c>
      <c r="H592" s="192">
        <v>0</v>
      </c>
      <c r="I592" s="192">
        <v>279.98</v>
      </c>
      <c r="J592" s="192">
        <f>SUM(H592:I592)</f>
        <v>279.98</v>
      </c>
    </row>
    <row r="593" spans="1:10" outlineLevel="2">
      <c r="A593" s="191" t="s">
        <v>388</v>
      </c>
      <c r="B593" s="191" t="s">
        <v>384</v>
      </c>
      <c r="C593" s="191" t="s">
        <v>385</v>
      </c>
      <c r="D593" s="191" t="s">
        <v>1860</v>
      </c>
      <c r="E593" s="191" t="s">
        <v>2725</v>
      </c>
      <c r="F593" s="191" t="s">
        <v>2653</v>
      </c>
      <c r="G593" s="191">
        <v>21</v>
      </c>
      <c r="H593" s="192">
        <v>0</v>
      </c>
      <c r="I593" s="192">
        <v>422.04</v>
      </c>
      <c r="J593" s="192">
        <f>SUM(H593:I593)</f>
        <v>422.04</v>
      </c>
    </row>
    <row r="594" spans="1:10" outlineLevel="2">
      <c r="A594" s="191" t="s">
        <v>389</v>
      </c>
      <c r="B594" s="191" t="s">
        <v>112</v>
      </c>
      <c r="C594" s="191" t="s">
        <v>385</v>
      </c>
      <c r="D594" s="191" t="s">
        <v>392</v>
      </c>
      <c r="E594" s="191" t="s">
        <v>2586</v>
      </c>
      <c r="F594" s="191" t="s">
        <v>2586</v>
      </c>
      <c r="G594" s="191">
        <v>7</v>
      </c>
      <c r="H594" s="192">
        <v>100</v>
      </c>
      <c r="I594" s="192">
        <v>58.69</v>
      </c>
      <c r="J594" s="192">
        <f>SUM(H594:I594)</f>
        <v>158.69</v>
      </c>
    </row>
    <row r="595" spans="1:10" outlineLevel="2">
      <c r="A595" s="191" t="s">
        <v>390</v>
      </c>
      <c r="B595" s="191" t="s">
        <v>384</v>
      </c>
      <c r="C595" s="191" t="s">
        <v>385</v>
      </c>
      <c r="D595" s="191" t="s">
        <v>1861</v>
      </c>
      <c r="E595" s="191" t="s">
        <v>2596</v>
      </c>
      <c r="F595" s="191" t="s">
        <v>2596</v>
      </c>
      <c r="G595" s="191">
        <v>7</v>
      </c>
      <c r="H595" s="192">
        <v>0</v>
      </c>
      <c r="I595" s="192">
        <v>160.44</v>
      </c>
      <c r="J595" s="192">
        <f>SUM(H595:I595)</f>
        <v>160.44</v>
      </c>
    </row>
    <row r="596" spans="1:10" outlineLevel="2">
      <c r="A596" s="191" t="s">
        <v>390</v>
      </c>
      <c r="B596" s="191" t="s">
        <v>384</v>
      </c>
      <c r="C596" s="191" t="s">
        <v>385</v>
      </c>
      <c r="D596" s="191" t="s">
        <v>1862</v>
      </c>
      <c r="E596" s="191" t="s">
        <v>2608</v>
      </c>
      <c r="F596" s="191" t="s">
        <v>2608</v>
      </c>
      <c r="G596" s="191">
        <v>7</v>
      </c>
      <c r="H596" s="192">
        <v>0</v>
      </c>
      <c r="I596" s="192">
        <v>160.44</v>
      </c>
      <c r="J596" s="192">
        <f>SUM(H596:I596)</f>
        <v>160.44</v>
      </c>
    </row>
    <row r="597" spans="1:10" outlineLevel="2">
      <c r="A597" s="191" t="s">
        <v>390</v>
      </c>
      <c r="B597" s="191" t="s">
        <v>384</v>
      </c>
      <c r="C597" s="191" t="s">
        <v>385</v>
      </c>
      <c r="D597" s="191" t="s">
        <v>1863</v>
      </c>
      <c r="E597" s="191" t="s">
        <v>2645</v>
      </c>
      <c r="F597" s="191" t="s">
        <v>2640</v>
      </c>
      <c r="G597" s="191">
        <v>14</v>
      </c>
      <c r="H597" s="192">
        <v>0</v>
      </c>
      <c r="I597" s="192">
        <v>324.64</v>
      </c>
      <c r="J597" s="192">
        <f>SUM(H597:I597)</f>
        <v>324.64</v>
      </c>
    </row>
    <row r="598" spans="1:10" outlineLevel="2">
      <c r="A598" s="191" t="s">
        <v>391</v>
      </c>
      <c r="B598" s="191" t="s">
        <v>384</v>
      </c>
      <c r="C598" s="191" t="s">
        <v>385</v>
      </c>
      <c r="D598" s="191" t="s">
        <v>1864</v>
      </c>
      <c r="E598" s="191" t="s">
        <v>2649</v>
      </c>
      <c r="F598" s="191" t="s">
        <v>2649</v>
      </c>
      <c r="G598" s="191">
        <v>7</v>
      </c>
      <c r="H598" s="192">
        <v>0</v>
      </c>
      <c r="I598" s="192">
        <v>160.44</v>
      </c>
      <c r="J598" s="192">
        <f>SUM(H598:I598)</f>
        <v>160.44</v>
      </c>
    </row>
    <row r="599" spans="1:10" outlineLevel="2">
      <c r="A599" s="191" t="s">
        <v>391</v>
      </c>
      <c r="B599" s="191" t="s">
        <v>384</v>
      </c>
      <c r="C599" s="191" t="s">
        <v>385</v>
      </c>
      <c r="D599" s="191" t="s">
        <v>1856</v>
      </c>
      <c r="E599" s="191" t="s">
        <v>2630</v>
      </c>
      <c r="F599" s="191" t="s">
        <v>2630</v>
      </c>
      <c r="G599" s="191">
        <v>7</v>
      </c>
      <c r="H599" s="192">
        <v>0</v>
      </c>
      <c r="I599" s="192">
        <v>161.22999999999999</v>
      </c>
      <c r="J599" s="192">
        <f>SUM(H599:I599)</f>
        <v>161.22999999999999</v>
      </c>
    </row>
    <row r="600" spans="1:10" outlineLevel="2">
      <c r="A600" s="191" t="s">
        <v>391</v>
      </c>
      <c r="B600" s="191" t="s">
        <v>384</v>
      </c>
      <c r="C600" s="191" t="s">
        <v>385</v>
      </c>
      <c r="D600" s="191" t="s">
        <v>1865</v>
      </c>
      <c r="E600" s="191" t="s">
        <v>2617</v>
      </c>
      <c r="F600" s="191" t="s">
        <v>2617</v>
      </c>
      <c r="G600" s="191">
        <v>7</v>
      </c>
      <c r="H600" s="192">
        <v>0</v>
      </c>
      <c r="I600" s="192">
        <v>161.22999999999999</v>
      </c>
      <c r="J600" s="192">
        <f>SUM(H600:I600)</f>
        <v>161.22999999999999</v>
      </c>
    </row>
    <row r="601" spans="1:10" outlineLevel="2">
      <c r="A601" s="191" t="s">
        <v>391</v>
      </c>
      <c r="B601" s="191" t="s">
        <v>384</v>
      </c>
      <c r="C601" s="191" t="s">
        <v>385</v>
      </c>
      <c r="D601" s="191" t="s">
        <v>1866</v>
      </c>
      <c r="E601" s="191" t="s">
        <v>2593</v>
      </c>
      <c r="F601" s="191" t="s">
        <v>1487</v>
      </c>
      <c r="G601" s="191">
        <v>14</v>
      </c>
      <c r="H601" s="192">
        <v>0</v>
      </c>
      <c r="I601" s="192">
        <v>320.88</v>
      </c>
      <c r="J601" s="192">
        <f>SUM(H601:I601)</f>
        <v>320.88</v>
      </c>
    </row>
    <row r="602" spans="1:10" outlineLevel="2">
      <c r="A602" s="191" t="s">
        <v>2846</v>
      </c>
      <c r="B602" s="191" t="s">
        <v>384</v>
      </c>
      <c r="C602" s="191" t="s">
        <v>385</v>
      </c>
      <c r="D602" s="191" t="s">
        <v>1815</v>
      </c>
      <c r="E602" s="191" t="s">
        <v>1480</v>
      </c>
      <c r="F602" s="191" t="s">
        <v>1480</v>
      </c>
      <c r="G602" s="191">
        <v>7</v>
      </c>
      <c r="H602" s="192">
        <v>0</v>
      </c>
      <c r="I602" s="192">
        <v>171.93</v>
      </c>
      <c r="J602" s="192">
        <f>SUM(H602:I602)</f>
        <v>171.93</v>
      </c>
    </row>
    <row r="603" spans="1:10" outlineLevel="2">
      <c r="A603" s="191" t="s">
        <v>2846</v>
      </c>
      <c r="B603" s="191" t="s">
        <v>384</v>
      </c>
      <c r="C603" s="191" t="s">
        <v>385</v>
      </c>
      <c r="D603" s="191" t="s">
        <v>1859</v>
      </c>
      <c r="E603" s="191" t="s">
        <v>2593</v>
      </c>
      <c r="F603" s="191" t="s">
        <v>1487</v>
      </c>
      <c r="G603" s="191">
        <v>14</v>
      </c>
      <c r="H603" s="192">
        <v>0</v>
      </c>
      <c r="I603" s="192">
        <v>342.18</v>
      </c>
      <c r="J603" s="192">
        <f>SUM(H603:I603)</f>
        <v>342.18</v>
      </c>
    </row>
    <row r="604" spans="1:10" outlineLevel="2">
      <c r="A604" s="191" t="s">
        <v>2847</v>
      </c>
      <c r="B604" s="191" t="s">
        <v>384</v>
      </c>
      <c r="C604" s="191" t="s">
        <v>385</v>
      </c>
      <c r="D604" s="191" t="s">
        <v>1867</v>
      </c>
      <c r="E604" s="191" t="s">
        <v>2725</v>
      </c>
      <c r="F604" s="191" t="s">
        <v>2653</v>
      </c>
      <c r="G604" s="191">
        <v>21</v>
      </c>
      <c r="H604" s="192">
        <v>0</v>
      </c>
      <c r="I604" s="192">
        <v>406.62</v>
      </c>
      <c r="J604" s="192">
        <f>SUM(H604:I604)</f>
        <v>406.62</v>
      </c>
    </row>
    <row r="605" spans="1:10" outlineLevel="2">
      <c r="A605" s="191" t="s">
        <v>393</v>
      </c>
      <c r="B605" s="191" t="s">
        <v>116</v>
      </c>
      <c r="C605" s="191" t="s">
        <v>385</v>
      </c>
      <c r="D605" s="191" t="s">
        <v>1868</v>
      </c>
      <c r="E605" s="191" t="s">
        <v>2669</v>
      </c>
      <c r="F605" s="191" t="s">
        <v>2589</v>
      </c>
      <c r="G605" s="191">
        <v>21</v>
      </c>
      <c r="H605" s="192">
        <v>100</v>
      </c>
      <c r="I605" s="192">
        <v>189.33</v>
      </c>
      <c r="J605" s="192">
        <f>SUM(H605:I605)</f>
        <v>289.33000000000004</v>
      </c>
    </row>
    <row r="606" spans="1:10" outlineLevel="2">
      <c r="A606" s="191" t="s">
        <v>394</v>
      </c>
      <c r="B606" s="191" t="s">
        <v>384</v>
      </c>
      <c r="C606" s="191" t="s">
        <v>385</v>
      </c>
      <c r="D606" s="191" t="s">
        <v>1869</v>
      </c>
      <c r="E606" s="191" t="s">
        <v>2608</v>
      </c>
      <c r="F606" s="191" t="s">
        <v>2608</v>
      </c>
      <c r="G606" s="191">
        <v>7</v>
      </c>
      <c r="H606" s="192">
        <v>0</v>
      </c>
      <c r="I606" s="192">
        <v>136.59</v>
      </c>
      <c r="J606" s="192">
        <f>SUM(H606:I606)</f>
        <v>136.59</v>
      </c>
    </row>
    <row r="607" spans="1:10" outlineLevel="2">
      <c r="A607" s="191" t="s">
        <v>395</v>
      </c>
      <c r="B607" s="191" t="s">
        <v>384</v>
      </c>
      <c r="C607" s="191" t="s">
        <v>385</v>
      </c>
      <c r="D607" s="191" t="s">
        <v>1867</v>
      </c>
      <c r="E607" s="191" t="s">
        <v>2725</v>
      </c>
      <c r="F607" s="191" t="s">
        <v>2653</v>
      </c>
      <c r="G607" s="191">
        <v>21</v>
      </c>
      <c r="H607" s="192">
        <v>0</v>
      </c>
      <c r="I607" s="192">
        <v>459.27</v>
      </c>
      <c r="J607" s="192">
        <f>SUM(H607:I607)</f>
        <v>459.27</v>
      </c>
    </row>
    <row r="608" spans="1:10" outlineLevel="2">
      <c r="A608" s="191" t="s">
        <v>395</v>
      </c>
      <c r="B608" s="191" t="s">
        <v>384</v>
      </c>
      <c r="C608" s="191" t="s">
        <v>385</v>
      </c>
      <c r="D608" s="191" t="s">
        <v>1820</v>
      </c>
      <c r="E608" s="191" t="s">
        <v>2665</v>
      </c>
      <c r="F608" s="191" t="s">
        <v>1490</v>
      </c>
      <c r="G608" s="191">
        <v>28</v>
      </c>
      <c r="H608" s="192">
        <v>0</v>
      </c>
      <c r="I608" s="192">
        <v>612.36</v>
      </c>
      <c r="J608" s="192">
        <f>SUM(H608:I608)</f>
        <v>612.36</v>
      </c>
    </row>
    <row r="609" spans="1:10" outlineLevel="2">
      <c r="A609" s="191" t="s">
        <v>2848</v>
      </c>
      <c r="B609" s="191" t="s">
        <v>141</v>
      </c>
      <c r="C609" s="191" t="s">
        <v>385</v>
      </c>
      <c r="D609" s="191" t="s">
        <v>1870</v>
      </c>
      <c r="E609" s="191" t="s">
        <v>2601</v>
      </c>
      <c r="F609" s="191" t="s">
        <v>2590</v>
      </c>
      <c r="G609" s="191">
        <v>14</v>
      </c>
      <c r="H609" s="192">
        <v>70</v>
      </c>
      <c r="I609" s="192">
        <v>101.94</v>
      </c>
      <c r="J609" s="192">
        <f>SUM(H609:I609)</f>
        <v>171.94</v>
      </c>
    </row>
    <row r="610" spans="1:10" outlineLevel="2">
      <c r="A610" s="191" t="s">
        <v>396</v>
      </c>
      <c r="B610" s="191" t="s">
        <v>384</v>
      </c>
      <c r="C610" s="191" t="s">
        <v>385</v>
      </c>
      <c r="D610" s="191" t="s">
        <v>1871</v>
      </c>
      <c r="E610" s="191" t="s">
        <v>2661</v>
      </c>
      <c r="F610" s="191" t="s">
        <v>2661</v>
      </c>
      <c r="G610" s="191">
        <v>7</v>
      </c>
      <c r="H610" s="192">
        <v>0</v>
      </c>
      <c r="I610" s="192">
        <v>160.44</v>
      </c>
      <c r="J610" s="192">
        <f>SUM(H610:I610)</f>
        <v>160.44</v>
      </c>
    </row>
    <row r="611" spans="1:10" outlineLevel="2">
      <c r="A611" s="191" t="s">
        <v>396</v>
      </c>
      <c r="B611" s="191" t="s">
        <v>384</v>
      </c>
      <c r="C611" s="191" t="s">
        <v>385</v>
      </c>
      <c r="D611" s="191" t="s">
        <v>1872</v>
      </c>
      <c r="E611" s="191" t="s">
        <v>2683</v>
      </c>
      <c r="F611" s="191" t="s">
        <v>2612</v>
      </c>
      <c r="G611" s="191">
        <v>21</v>
      </c>
      <c r="H611" s="192">
        <v>0</v>
      </c>
      <c r="I611" s="192">
        <v>481.32</v>
      </c>
      <c r="J611" s="192">
        <f>SUM(H611:I611)</f>
        <v>481.32</v>
      </c>
    </row>
    <row r="612" spans="1:10" outlineLevel="2">
      <c r="A612" s="191" t="s">
        <v>396</v>
      </c>
      <c r="B612" s="191" t="s">
        <v>384</v>
      </c>
      <c r="C612" s="191" t="s">
        <v>385</v>
      </c>
      <c r="D612" s="191" t="s">
        <v>1820</v>
      </c>
      <c r="E612" s="191" t="s">
        <v>2665</v>
      </c>
      <c r="F612" s="191" t="s">
        <v>1490</v>
      </c>
      <c r="G612" s="191">
        <v>28</v>
      </c>
      <c r="H612" s="192">
        <v>0</v>
      </c>
      <c r="I612" s="192">
        <v>644.91999999999996</v>
      </c>
      <c r="J612" s="192">
        <f>SUM(H612:I612)</f>
        <v>644.91999999999996</v>
      </c>
    </row>
    <row r="613" spans="1:10" outlineLevel="2">
      <c r="A613" s="191" t="s">
        <v>397</v>
      </c>
      <c r="B613" s="191" t="s">
        <v>384</v>
      </c>
      <c r="C613" s="191" t="s">
        <v>385</v>
      </c>
      <c r="D613" s="191" t="s">
        <v>1873</v>
      </c>
      <c r="E613" s="191" t="s">
        <v>2726</v>
      </c>
      <c r="F613" s="191" t="s">
        <v>2726</v>
      </c>
      <c r="G613" s="191">
        <v>7</v>
      </c>
      <c r="H613" s="192">
        <v>0</v>
      </c>
      <c r="I613" s="192">
        <v>168.53</v>
      </c>
      <c r="J613" s="192">
        <f>SUM(H613:I613)</f>
        <v>168.53</v>
      </c>
    </row>
    <row r="614" spans="1:10" outlineLevel="2">
      <c r="A614" s="191" t="s">
        <v>397</v>
      </c>
      <c r="B614" s="191" t="s">
        <v>384</v>
      </c>
      <c r="C614" s="191" t="s">
        <v>385</v>
      </c>
      <c r="D614" s="191" t="s">
        <v>1874</v>
      </c>
      <c r="E614" s="191" t="s">
        <v>2630</v>
      </c>
      <c r="F614" s="191" t="s">
        <v>2630</v>
      </c>
      <c r="G614" s="191">
        <v>7</v>
      </c>
      <c r="H614" s="192">
        <v>0</v>
      </c>
      <c r="I614" s="192">
        <v>169.36</v>
      </c>
      <c r="J614" s="192">
        <f>SUM(H614:I614)</f>
        <v>169.36</v>
      </c>
    </row>
    <row r="615" spans="1:10" outlineLevel="2">
      <c r="A615" s="191" t="s">
        <v>397</v>
      </c>
      <c r="B615" s="191" t="s">
        <v>384</v>
      </c>
      <c r="C615" s="191" t="s">
        <v>385</v>
      </c>
      <c r="D615" s="191" t="s">
        <v>1875</v>
      </c>
      <c r="E615" s="191" t="s">
        <v>2617</v>
      </c>
      <c r="F615" s="191" t="s">
        <v>2617</v>
      </c>
      <c r="G615" s="191">
        <v>7</v>
      </c>
      <c r="H615" s="192">
        <v>0</v>
      </c>
      <c r="I615" s="192">
        <v>169.36</v>
      </c>
      <c r="J615" s="192">
        <f>SUM(H615:I615)</f>
        <v>169.36</v>
      </c>
    </row>
    <row r="616" spans="1:10" outlineLevel="2">
      <c r="A616" s="191" t="s">
        <v>397</v>
      </c>
      <c r="B616" s="191" t="s">
        <v>384</v>
      </c>
      <c r="C616" s="191" t="s">
        <v>385</v>
      </c>
      <c r="D616" s="191" t="s">
        <v>1859</v>
      </c>
      <c r="E616" s="191" t="s">
        <v>2593</v>
      </c>
      <c r="F616" s="191" t="s">
        <v>1487</v>
      </c>
      <c r="G616" s="191">
        <v>14</v>
      </c>
      <c r="H616" s="192">
        <v>0</v>
      </c>
      <c r="I616" s="192">
        <v>337.06</v>
      </c>
      <c r="J616" s="192">
        <f>SUM(H616:I616)</f>
        <v>337.06</v>
      </c>
    </row>
    <row r="617" spans="1:10" outlineLevel="2">
      <c r="A617" s="191" t="s">
        <v>398</v>
      </c>
      <c r="B617" s="191" t="s">
        <v>116</v>
      </c>
      <c r="C617" s="191" t="s">
        <v>385</v>
      </c>
      <c r="D617" s="191" t="s">
        <v>1876</v>
      </c>
      <c r="E617" s="191" t="s">
        <v>2725</v>
      </c>
      <c r="F617" s="191" t="s">
        <v>2722</v>
      </c>
      <c r="G617" s="191">
        <v>14</v>
      </c>
      <c r="H617" s="192">
        <v>100</v>
      </c>
      <c r="I617" s="192">
        <v>127.42</v>
      </c>
      <c r="J617" s="192">
        <f>SUM(H617:I617)</f>
        <v>227.42000000000002</v>
      </c>
    </row>
    <row r="618" spans="1:10" outlineLevel="2">
      <c r="A618" s="191" t="s">
        <v>399</v>
      </c>
      <c r="B618" s="191" t="s">
        <v>384</v>
      </c>
      <c r="C618" s="191" t="s">
        <v>385</v>
      </c>
      <c r="D618" s="191" t="s">
        <v>1860</v>
      </c>
      <c r="E618" s="191" t="s">
        <v>2725</v>
      </c>
      <c r="F618" s="191" t="s">
        <v>2653</v>
      </c>
      <c r="G618" s="191">
        <v>21</v>
      </c>
      <c r="H618" s="192">
        <v>0</v>
      </c>
      <c r="I618" s="192">
        <v>406.62</v>
      </c>
      <c r="J618" s="192">
        <f>SUM(H618:I618)</f>
        <v>406.62</v>
      </c>
    </row>
    <row r="619" spans="1:10" outlineLevel="2">
      <c r="A619" s="191" t="s">
        <v>2849</v>
      </c>
      <c r="B619" s="191" t="s">
        <v>147</v>
      </c>
      <c r="C619" s="191" t="s">
        <v>385</v>
      </c>
      <c r="D619" s="191" t="s">
        <v>1859</v>
      </c>
      <c r="E619" s="191" t="s">
        <v>2593</v>
      </c>
      <c r="F619" s="191" t="s">
        <v>1487</v>
      </c>
      <c r="G619" s="191" t="s">
        <v>2760</v>
      </c>
      <c r="H619" s="192">
        <v>0</v>
      </c>
      <c r="I619" s="192">
        <v>0</v>
      </c>
      <c r="J619" s="192">
        <f>SUM(H619:I619)</f>
        <v>0</v>
      </c>
    </row>
    <row r="620" spans="1:10" outlineLevel="2">
      <c r="A620" s="191" t="s">
        <v>2850</v>
      </c>
      <c r="B620" s="191" t="s">
        <v>141</v>
      </c>
      <c r="C620" s="191" t="s">
        <v>385</v>
      </c>
      <c r="D620" s="191" t="s">
        <v>1870</v>
      </c>
      <c r="E620" s="191" t="s">
        <v>2601</v>
      </c>
      <c r="F620" s="191" t="s">
        <v>2590</v>
      </c>
      <c r="G620" s="191">
        <v>14</v>
      </c>
      <c r="H620" s="192">
        <v>100</v>
      </c>
      <c r="I620" s="192">
        <v>101.94</v>
      </c>
      <c r="J620" s="192">
        <f>SUM(H620:I620)</f>
        <v>201.94</v>
      </c>
    </row>
    <row r="621" spans="1:10" outlineLevel="2">
      <c r="A621" s="191" t="s">
        <v>400</v>
      </c>
      <c r="B621" s="191" t="s">
        <v>384</v>
      </c>
      <c r="C621" s="191" t="s">
        <v>385</v>
      </c>
      <c r="D621" s="191" t="s">
        <v>1871</v>
      </c>
      <c r="E621" s="191" t="s">
        <v>2661</v>
      </c>
      <c r="F621" s="191" t="s">
        <v>2661</v>
      </c>
      <c r="G621" s="191">
        <v>7</v>
      </c>
      <c r="H621" s="192">
        <v>0</v>
      </c>
      <c r="I621" s="192">
        <v>171.94</v>
      </c>
      <c r="J621" s="192">
        <f>SUM(H621:I621)</f>
        <v>171.94</v>
      </c>
    </row>
    <row r="622" spans="1:10" outlineLevel="2">
      <c r="A622" s="191" t="s">
        <v>401</v>
      </c>
      <c r="B622" s="191" t="s">
        <v>384</v>
      </c>
      <c r="C622" s="191" t="s">
        <v>385</v>
      </c>
      <c r="D622" s="191" t="s">
        <v>1877</v>
      </c>
      <c r="E622" s="191" t="s">
        <v>2617</v>
      </c>
      <c r="F622" s="191" t="s">
        <v>2617</v>
      </c>
      <c r="G622" s="191">
        <v>7</v>
      </c>
      <c r="H622" s="192">
        <v>0</v>
      </c>
      <c r="I622" s="192">
        <v>171.07</v>
      </c>
      <c r="J622" s="192">
        <f>SUM(H622:I622)</f>
        <v>171.07</v>
      </c>
    </row>
    <row r="623" spans="1:10" outlineLevel="2">
      <c r="A623" s="191" t="s">
        <v>402</v>
      </c>
      <c r="B623" s="191" t="s">
        <v>384</v>
      </c>
      <c r="C623" s="191" t="s">
        <v>385</v>
      </c>
      <c r="D623" s="191" t="s">
        <v>1878</v>
      </c>
      <c r="E623" s="191" t="s">
        <v>2661</v>
      </c>
      <c r="F623" s="191" t="s">
        <v>2661</v>
      </c>
      <c r="G623" s="191">
        <v>7</v>
      </c>
      <c r="H623" s="192">
        <v>0</v>
      </c>
      <c r="I623" s="192">
        <v>160.44</v>
      </c>
      <c r="J623" s="192">
        <f>SUM(H623:I623)</f>
        <v>160.44</v>
      </c>
    </row>
    <row r="624" spans="1:10" outlineLevel="2">
      <c r="A624" s="191" t="s">
        <v>402</v>
      </c>
      <c r="B624" s="191" t="s">
        <v>384</v>
      </c>
      <c r="C624" s="191" t="s">
        <v>385</v>
      </c>
      <c r="D624" s="191" t="s">
        <v>1879</v>
      </c>
      <c r="E624" s="191" t="s">
        <v>2634</v>
      </c>
      <c r="F624" s="191" t="s">
        <v>2626</v>
      </c>
      <c r="G624" s="191">
        <v>14</v>
      </c>
      <c r="H624" s="192">
        <v>0</v>
      </c>
      <c r="I624" s="192">
        <v>322.45999999999998</v>
      </c>
      <c r="J624" s="192">
        <f>SUM(H624:I624)</f>
        <v>322.45999999999998</v>
      </c>
    </row>
    <row r="625" spans="1:10" outlineLevel="2">
      <c r="A625" s="191" t="s">
        <v>402</v>
      </c>
      <c r="B625" s="191" t="s">
        <v>384</v>
      </c>
      <c r="C625" s="191" t="s">
        <v>385</v>
      </c>
      <c r="D625" s="191" t="s">
        <v>1880</v>
      </c>
      <c r="E625" s="191" t="s">
        <v>2704</v>
      </c>
      <c r="F625" s="191" t="s">
        <v>1483</v>
      </c>
      <c r="G625" s="191">
        <v>21</v>
      </c>
      <c r="H625" s="192">
        <v>0</v>
      </c>
      <c r="I625" s="192">
        <v>481.32</v>
      </c>
      <c r="J625" s="192">
        <f>SUM(H625:I625)</f>
        <v>481.32</v>
      </c>
    </row>
    <row r="626" spans="1:10" outlineLevel="2">
      <c r="A626" s="191" t="s">
        <v>403</v>
      </c>
      <c r="B626" s="191" t="s">
        <v>384</v>
      </c>
      <c r="C626" s="191" t="s">
        <v>385</v>
      </c>
      <c r="D626" s="191" t="s">
        <v>1881</v>
      </c>
      <c r="E626" s="191" t="s">
        <v>2617</v>
      </c>
      <c r="F626" s="191" t="s">
        <v>2617</v>
      </c>
      <c r="G626" s="191">
        <v>7</v>
      </c>
      <c r="H626" s="192">
        <v>0</v>
      </c>
      <c r="I626" s="192">
        <v>172.78</v>
      </c>
      <c r="J626" s="192">
        <f>SUM(H626:I626)</f>
        <v>172.78</v>
      </c>
    </row>
    <row r="627" spans="1:10" outlineLevel="2">
      <c r="A627" s="191" t="s">
        <v>404</v>
      </c>
      <c r="B627" s="191" t="s">
        <v>384</v>
      </c>
      <c r="C627" s="191" t="s">
        <v>385</v>
      </c>
      <c r="D627" s="191" t="s">
        <v>1882</v>
      </c>
      <c r="E627" s="191" t="s">
        <v>1494</v>
      </c>
      <c r="F627" s="191" t="s">
        <v>1494</v>
      </c>
      <c r="G627" s="191">
        <v>7</v>
      </c>
      <c r="H627" s="192">
        <v>0</v>
      </c>
      <c r="I627" s="192">
        <v>149.66999999999999</v>
      </c>
      <c r="J627" s="192">
        <f>SUM(H627:I627)</f>
        <v>149.66999999999999</v>
      </c>
    </row>
    <row r="628" spans="1:10" outlineLevel="2">
      <c r="A628" s="191" t="s">
        <v>405</v>
      </c>
      <c r="B628" s="191" t="s">
        <v>384</v>
      </c>
      <c r="C628" s="191" t="s">
        <v>385</v>
      </c>
      <c r="D628" s="191" t="s">
        <v>392</v>
      </c>
      <c r="E628" s="191" t="s">
        <v>2658</v>
      </c>
      <c r="F628" s="191" t="s">
        <v>1482</v>
      </c>
      <c r="G628" s="191">
        <v>14</v>
      </c>
      <c r="H628" s="192">
        <v>0</v>
      </c>
      <c r="I628" s="192">
        <v>317.48</v>
      </c>
      <c r="J628" s="192">
        <f>SUM(H628:I628)</f>
        <v>317.48</v>
      </c>
    </row>
    <row r="629" spans="1:10" outlineLevel="2">
      <c r="A629" s="191" t="s">
        <v>405</v>
      </c>
      <c r="B629" s="191" t="s">
        <v>384</v>
      </c>
      <c r="C629" s="191" t="s">
        <v>385</v>
      </c>
      <c r="D629" s="191" t="s">
        <v>1860</v>
      </c>
      <c r="E629" s="191" t="s">
        <v>2725</v>
      </c>
      <c r="F629" s="191" t="s">
        <v>2653</v>
      </c>
      <c r="G629" s="191">
        <v>21</v>
      </c>
      <c r="H629" s="192">
        <v>0</v>
      </c>
      <c r="I629" s="192">
        <v>478.53</v>
      </c>
      <c r="J629" s="192">
        <f>SUM(H629:I629)</f>
        <v>478.53</v>
      </c>
    </row>
    <row r="630" spans="1:10" outlineLevel="2">
      <c r="A630" s="191" t="s">
        <v>406</v>
      </c>
      <c r="B630" s="191" t="s">
        <v>384</v>
      </c>
      <c r="C630" s="191" t="s">
        <v>385</v>
      </c>
      <c r="D630" s="191" t="s">
        <v>1883</v>
      </c>
      <c r="E630" s="191" t="s">
        <v>2674</v>
      </c>
      <c r="F630" s="191" t="s">
        <v>2587</v>
      </c>
      <c r="G630" s="191">
        <v>14</v>
      </c>
      <c r="H630" s="192">
        <v>0</v>
      </c>
      <c r="I630" s="192">
        <v>355.8</v>
      </c>
      <c r="J630" s="192">
        <f>SUM(H630:I630)</f>
        <v>355.8</v>
      </c>
    </row>
    <row r="631" spans="1:10" outlineLevel="2">
      <c r="A631" s="191" t="s">
        <v>406</v>
      </c>
      <c r="B631" s="191" t="s">
        <v>384</v>
      </c>
      <c r="C631" s="191" t="s">
        <v>385</v>
      </c>
      <c r="D631" s="191" t="s">
        <v>1880</v>
      </c>
      <c r="E631" s="191" t="s">
        <v>2727</v>
      </c>
      <c r="F631" s="191" t="s">
        <v>1483</v>
      </c>
      <c r="G631" s="191">
        <v>14</v>
      </c>
      <c r="H631" s="192">
        <v>0</v>
      </c>
      <c r="I631" s="192">
        <v>355.8</v>
      </c>
      <c r="J631" s="192">
        <f>SUM(H631:I631)</f>
        <v>355.8</v>
      </c>
    </row>
    <row r="632" spans="1:10" outlineLevel="2">
      <c r="A632" s="191" t="s">
        <v>406</v>
      </c>
      <c r="B632" s="191" t="s">
        <v>384</v>
      </c>
      <c r="C632" s="191" t="s">
        <v>385</v>
      </c>
      <c r="D632" s="191" t="s">
        <v>1884</v>
      </c>
      <c r="E632" s="191" t="s">
        <v>2702</v>
      </c>
      <c r="F632" s="191" t="s">
        <v>2640</v>
      </c>
      <c r="G632" s="191">
        <v>21</v>
      </c>
      <c r="H632" s="192">
        <v>0</v>
      </c>
      <c r="I632" s="192">
        <v>519.03</v>
      </c>
      <c r="J632" s="192">
        <f>SUM(H632:I632)</f>
        <v>519.03</v>
      </c>
    </row>
    <row r="633" spans="1:10" outlineLevel="2">
      <c r="A633" s="191" t="s">
        <v>407</v>
      </c>
      <c r="B633" s="191" t="s">
        <v>384</v>
      </c>
      <c r="C633" s="191" t="s">
        <v>385</v>
      </c>
      <c r="D633" s="191" t="s">
        <v>1820</v>
      </c>
      <c r="E633" s="191" t="s">
        <v>2665</v>
      </c>
      <c r="F633" s="191" t="s">
        <v>2717</v>
      </c>
      <c r="G633" s="191">
        <v>14</v>
      </c>
      <c r="H633" s="192">
        <v>0</v>
      </c>
      <c r="I633" s="192">
        <v>318.58</v>
      </c>
      <c r="J633" s="192">
        <f>SUM(H633:I633)</f>
        <v>318.58</v>
      </c>
    </row>
    <row r="634" spans="1:10" outlineLevel="2">
      <c r="A634" s="191" t="s">
        <v>407</v>
      </c>
      <c r="B634" s="191" t="s">
        <v>384</v>
      </c>
      <c r="C634" s="191" t="s">
        <v>385</v>
      </c>
      <c r="D634" s="191" t="s">
        <v>1885</v>
      </c>
      <c r="E634" s="191" t="s">
        <v>2704</v>
      </c>
      <c r="F634" s="191" t="s">
        <v>1483</v>
      </c>
      <c r="G634" s="191">
        <v>21</v>
      </c>
      <c r="H634" s="192">
        <v>0</v>
      </c>
      <c r="I634" s="192">
        <v>470.46</v>
      </c>
      <c r="J634" s="192">
        <f>SUM(H634:I634)</f>
        <v>470.46</v>
      </c>
    </row>
    <row r="635" spans="1:10" outlineLevel="2">
      <c r="A635" s="191" t="s">
        <v>407</v>
      </c>
      <c r="B635" s="191" t="s">
        <v>384</v>
      </c>
      <c r="C635" s="191" t="s">
        <v>385</v>
      </c>
      <c r="D635" s="191" t="s">
        <v>1876</v>
      </c>
      <c r="E635" s="191" t="s">
        <v>2725</v>
      </c>
      <c r="F635" s="191" t="s">
        <v>2653</v>
      </c>
      <c r="G635" s="191">
        <v>21</v>
      </c>
      <c r="H635" s="192">
        <v>0</v>
      </c>
      <c r="I635" s="192">
        <v>477.87</v>
      </c>
      <c r="J635" s="192">
        <f>SUM(H635:I635)</f>
        <v>477.87</v>
      </c>
    </row>
    <row r="636" spans="1:10" outlineLevel="2">
      <c r="A636" s="191" t="s">
        <v>408</v>
      </c>
      <c r="B636" s="191" t="s">
        <v>384</v>
      </c>
      <c r="C636" s="191" t="s">
        <v>385</v>
      </c>
      <c r="D636" s="191" t="s">
        <v>1886</v>
      </c>
      <c r="E636" s="191" t="s">
        <v>2728</v>
      </c>
      <c r="F636" s="191" t="s">
        <v>2728</v>
      </c>
      <c r="G636" s="191">
        <v>7</v>
      </c>
      <c r="H636" s="192">
        <v>0</v>
      </c>
      <c r="I636" s="192">
        <v>182.07</v>
      </c>
      <c r="J636" s="192">
        <f>SUM(H636:I636)</f>
        <v>182.07</v>
      </c>
    </row>
    <row r="637" spans="1:10" outlineLevel="2">
      <c r="A637" s="191" t="s">
        <v>408</v>
      </c>
      <c r="B637" s="191" t="s">
        <v>384</v>
      </c>
      <c r="C637" s="191" t="s">
        <v>385</v>
      </c>
      <c r="D637" s="191" t="s">
        <v>1887</v>
      </c>
      <c r="E637" s="191" t="s">
        <v>2611</v>
      </c>
      <c r="F637" s="191" t="s">
        <v>2612</v>
      </c>
      <c r="G637" s="191">
        <v>14</v>
      </c>
      <c r="H637" s="192">
        <v>0</v>
      </c>
      <c r="I637" s="192">
        <v>364.14</v>
      </c>
      <c r="J637" s="192">
        <f>SUM(H637:I637)</f>
        <v>364.14</v>
      </c>
    </row>
    <row r="638" spans="1:10" outlineLevel="2">
      <c r="A638" s="191" t="s">
        <v>409</v>
      </c>
      <c r="B638" s="191" t="s">
        <v>384</v>
      </c>
      <c r="C638" s="191" t="s">
        <v>385</v>
      </c>
      <c r="D638" s="191" t="s">
        <v>1888</v>
      </c>
      <c r="E638" s="191" t="s">
        <v>2707</v>
      </c>
      <c r="F638" s="191" t="s">
        <v>2707</v>
      </c>
      <c r="G638" s="191">
        <v>7</v>
      </c>
      <c r="H638" s="192">
        <v>0</v>
      </c>
      <c r="I638" s="192">
        <v>158.74</v>
      </c>
      <c r="J638" s="192">
        <f>SUM(H638:I638)</f>
        <v>158.74</v>
      </c>
    </row>
    <row r="639" spans="1:10" outlineLevel="2">
      <c r="A639" s="191" t="s">
        <v>409</v>
      </c>
      <c r="B639" s="191" t="s">
        <v>384</v>
      </c>
      <c r="C639" s="191" t="s">
        <v>385</v>
      </c>
      <c r="D639" s="191" t="s">
        <v>1856</v>
      </c>
      <c r="E639" s="191" t="s">
        <v>2630</v>
      </c>
      <c r="F639" s="191" t="s">
        <v>2630</v>
      </c>
      <c r="G639" s="191">
        <v>7</v>
      </c>
      <c r="H639" s="192">
        <v>0</v>
      </c>
      <c r="I639" s="192">
        <v>159.51</v>
      </c>
      <c r="J639" s="192">
        <f>SUM(H639:I639)</f>
        <v>159.51</v>
      </c>
    </row>
    <row r="640" spans="1:10" outlineLevel="2">
      <c r="A640" s="191" t="s">
        <v>409</v>
      </c>
      <c r="B640" s="191" t="s">
        <v>384</v>
      </c>
      <c r="C640" s="191" t="s">
        <v>385</v>
      </c>
      <c r="D640" s="191" t="s">
        <v>1865</v>
      </c>
      <c r="E640" s="191" t="s">
        <v>2617</v>
      </c>
      <c r="F640" s="191" t="s">
        <v>2617</v>
      </c>
      <c r="G640" s="191">
        <v>7</v>
      </c>
      <c r="H640" s="192">
        <v>0</v>
      </c>
      <c r="I640" s="192">
        <v>159.51</v>
      </c>
      <c r="J640" s="192">
        <f>SUM(H640:I640)</f>
        <v>159.51</v>
      </c>
    </row>
    <row r="641" spans="1:10" outlineLevel="2">
      <c r="A641" s="191" t="s">
        <v>409</v>
      </c>
      <c r="B641" s="191" t="s">
        <v>384</v>
      </c>
      <c r="C641" s="191" t="s">
        <v>385</v>
      </c>
      <c r="D641" s="191" t="s">
        <v>1859</v>
      </c>
      <c r="E641" s="191" t="s">
        <v>2593</v>
      </c>
      <c r="F641" s="191" t="s">
        <v>1487</v>
      </c>
      <c r="G641" s="191">
        <v>14</v>
      </c>
      <c r="H641" s="192">
        <v>0</v>
      </c>
      <c r="I641" s="192">
        <v>317.48</v>
      </c>
      <c r="J641" s="192">
        <f>SUM(H641:I641)</f>
        <v>317.48</v>
      </c>
    </row>
    <row r="642" spans="1:10" outlineLevel="2">
      <c r="A642" s="191" t="s">
        <v>410</v>
      </c>
      <c r="B642" s="191" t="s">
        <v>384</v>
      </c>
      <c r="C642" s="191" t="s">
        <v>385</v>
      </c>
      <c r="D642" s="191" t="s">
        <v>1889</v>
      </c>
      <c r="E642" s="191" t="s">
        <v>1490</v>
      </c>
      <c r="F642" s="191" t="s">
        <v>1490</v>
      </c>
      <c r="G642" s="191">
        <v>7</v>
      </c>
      <c r="H642" s="192">
        <v>0</v>
      </c>
      <c r="I642" s="192">
        <v>135.54</v>
      </c>
      <c r="J642" s="192">
        <f>SUM(H642:I642)</f>
        <v>135.54</v>
      </c>
    </row>
    <row r="643" spans="1:10" outlineLevel="2">
      <c r="A643" s="191" t="s">
        <v>411</v>
      </c>
      <c r="B643" s="191" t="s">
        <v>384</v>
      </c>
      <c r="C643" s="191" t="s">
        <v>385</v>
      </c>
      <c r="D643" s="191" t="s">
        <v>1854</v>
      </c>
      <c r="E643" s="191" t="s">
        <v>1487</v>
      </c>
      <c r="F643" s="191" t="s">
        <v>1487</v>
      </c>
      <c r="G643" s="191">
        <v>7</v>
      </c>
      <c r="H643" s="192">
        <v>0</v>
      </c>
      <c r="I643" s="192">
        <v>136.59</v>
      </c>
      <c r="J643" s="192">
        <f>SUM(H643:I643)</f>
        <v>136.59</v>
      </c>
    </row>
    <row r="644" spans="1:10" outlineLevel="2">
      <c r="A644" s="191" t="s">
        <v>412</v>
      </c>
      <c r="B644" s="191" t="s">
        <v>384</v>
      </c>
      <c r="C644" s="191" t="s">
        <v>385</v>
      </c>
      <c r="D644" s="191" t="s">
        <v>1859</v>
      </c>
      <c r="E644" s="191" t="s">
        <v>2593</v>
      </c>
      <c r="F644" s="191" t="s">
        <v>1487</v>
      </c>
      <c r="G644" s="191">
        <v>14</v>
      </c>
      <c r="H644" s="192">
        <v>0</v>
      </c>
      <c r="I644" s="192">
        <v>320.88</v>
      </c>
      <c r="J644" s="192">
        <f>SUM(H644:I644)</f>
        <v>320.88</v>
      </c>
    </row>
    <row r="645" spans="1:10" outlineLevel="2">
      <c r="A645" s="191" t="s">
        <v>412</v>
      </c>
      <c r="B645" s="191" t="s">
        <v>384</v>
      </c>
      <c r="C645" s="191" t="s">
        <v>385</v>
      </c>
      <c r="D645" s="191" t="s">
        <v>1816</v>
      </c>
      <c r="E645" s="191" t="s">
        <v>2645</v>
      </c>
      <c r="F645" s="191" t="s">
        <v>2640</v>
      </c>
      <c r="G645" s="191">
        <v>14</v>
      </c>
      <c r="H645" s="192">
        <v>0</v>
      </c>
      <c r="I645" s="192">
        <v>322.45999999999998</v>
      </c>
      <c r="J645" s="192">
        <f>SUM(H645:I645)</f>
        <v>322.45999999999998</v>
      </c>
    </row>
    <row r="646" spans="1:10" outlineLevel="2">
      <c r="A646" s="191" t="s">
        <v>412</v>
      </c>
      <c r="B646" s="191" t="s">
        <v>384</v>
      </c>
      <c r="C646" s="191" t="s">
        <v>385</v>
      </c>
      <c r="D646" s="191" t="s">
        <v>1825</v>
      </c>
      <c r="E646" s="191" t="s">
        <v>2714</v>
      </c>
      <c r="F646" s="191" t="s">
        <v>2716</v>
      </c>
      <c r="G646" s="191">
        <v>21</v>
      </c>
      <c r="H646" s="192">
        <v>0</v>
      </c>
      <c r="I646" s="192">
        <v>481.32</v>
      </c>
      <c r="J646" s="192">
        <f>SUM(H646:I646)</f>
        <v>481.32</v>
      </c>
    </row>
    <row r="647" spans="1:10" outlineLevel="2">
      <c r="A647" s="191" t="s">
        <v>413</v>
      </c>
      <c r="B647" s="191" t="s">
        <v>384</v>
      </c>
      <c r="C647" s="191" t="s">
        <v>385</v>
      </c>
      <c r="D647" s="191" t="s">
        <v>1874</v>
      </c>
      <c r="E647" s="191" t="s">
        <v>2630</v>
      </c>
      <c r="F647" s="191" t="s">
        <v>2630</v>
      </c>
      <c r="G647" s="191">
        <v>7</v>
      </c>
      <c r="H647" s="192">
        <v>0</v>
      </c>
      <c r="I647" s="192">
        <v>161.16999999999999</v>
      </c>
      <c r="J647" s="192">
        <f>SUM(H647:I647)</f>
        <v>161.16999999999999</v>
      </c>
    </row>
    <row r="648" spans="1:10" outlineLevel="2">
      <c r="A648" s="191" t="s">
        <v>413</v>
      </c>
      <c r="B648" s="191" t="s">
        <v>384</v>
      </c>
      <c r="C648" s="191" t="s">
        <v>385</v>
      </c>
      <c r="D648" s="191" t="s">
        <v>1860</v>
      </c>
      <c r="E648" s="191" t="s">
        <v>2722</v>
      </c>
      <c r="F648" s="191" t="s">
        <v>2653</v>
      </c>
      <c r="G648" s="191">
        <v>14</v>
      </c>
      <c r="H648" s="192">
        <v>0</v>
      </c>
      <c r="I648" s="192">
        <v>322.33999999999997</v>
      </c>
      <c r="J648" s="192">
        <f>SUM(H648:I648)</f>
        <v>322.33999999999997</v>
      </c>
    </row>
    <row r="649" spans="1:10" outlineLevel="1">
      <c r="A649" s="193" t="s">
        <v>3011</v>
      </c>
      <c r="B649" s="194"/>
      <c r="C649" s="194"/>
      <c r="D649" s="194"/>
      <c r="E649" s="194"/>
      <c r="F649" s="194"/>
      <c r="G649" s="194">
        <f>SUBTOTAL(9,G586:G648)</f>
        <v>791</v>
      </c>
      <c r="H649" s="195">
        <f>SUBTOTAL(9,H586:H648)</f>
        <v>470</v>
      </c>
      <c r="I649" s="195">
        <f>SUBTOTAL(9,I586:I648)</f>
        <v>17012.049999999996</v>
      </c>
      <c r="J649" s="195">
        <f>SUBTOTAL(9,J586:J648)</f>
        <v>17482.049999999996</v>
      </c>
    </row>
    <row r="650" spans="1:10" outlineLevel="2">
      <c r="A650" s="191" t="s">
        <v>414</v>
      </c>
      <c r="B650" s="191" t="s">
        <v>415</v>
      </c>
      <c r="C650" s="191" t="s">
        <v>416</v>
      </c>
      <c r="D650" s="191" t="s">
        <v>1890</v>
      </c>
      <c r="E650" s="191" t="s">
        <v>2713</v>
      </c>
      <c r="F650" s="191" t="s">
        <v>2715</v>
      </c>
      <c r="G650" s="191">
        <v>14</v>
      </c>
      <c r="H650" s="192">
        <v>0</v>
      </c>
      <c r="I650" s="192">
        <v>273.18</v>
      </c>
      <c r="J650" s="192">
        <f>SUM(H650:I650)</f>
        <v>273.18</v>
      </c>
    </row>
    <row r="651" spans="1:10" outlineLevel="2">
      <c r="A651" s="191" t="s">
        <v>414</v>
      </c>
      <c r="B651" s="191" t="s">
        <v>415</v>
      </c>
      <c r="C651" s="191" t="s">
        <v>416</v>
      </c>
      <c r="D651" s="191" t="s">
        <v>1891</v>
      </c>
      <c r="E651" s="191" t="s">
        <v>2676</v>
      </c>
      <c r="F651" s="191" t="s">
        <v>2609</v>
      </c>
      <c r="G651" s="191">
        <v>21</v>
      </c>
      <c r="H651" s="192">
        <v>0</v>
      </c>
      <c r="I651" s="192">
        <v>411.75</v>
      </c>
      <c r="J651" s="192">
        <f>SUM(H651:I651)</f>
        <v>411.75</v>
      </c>
    </row>
    <row r="652" spans="1:10" outlineLevel="2">
      <c r="A652" s="191" t="s">
        <v>417</v>
      </c>
      <c r="B652" s="191" t="s">
        <v>116</v>
      </c>
      <c r="C652" s="191" t="s">
        <v>416</v>
      </c>
      <c r="D652" s="191" t="s">
        <v>1892</v>
      </c>
      <c r="E652" s="191" t="s">
        <v>1493</v>
      </c>
      <c r="F652" s="191" t="s">
        <v>2609</v>
      </c>
      <c r="G652" s="191">
        <v>14</v>
      </c>
      <c r="H652" s="192">
        <v>0</v>
      </c>
      <c r="I652" s="192">
        <v>126.84</v>
      </c>
      <c r="J652" s="192">
        <f>SUM(H652:I652)</f>
        <v>126.84</v>
      </c>
    </row>
    <row r="653" spans="1:10" outlineLevel="2">
      <c r="A653" s="191" t="s">
        <v>2851</v>
      </c>
      <c r="B653" s="191" t="s">
        <v>415</v>
      </c>
      <c r="C653" s="191" t="s">
        <v>416</v>
      </c>
      <c r="D653" s="191" t="s">
        <v>1891</v>
      </c>
      <c r="E653" s="191" t="s">
        <v>2676</v>
      </c>
      <c r="F653" s="191" t="s">
        <v>2609</v>
      </c>
      <c r="G653" s="191">
        <v>21</v>
      </c>
      <c r="H653" s="192">
        <v>0</v>
      </c>
      <c r="I653" s="192">
        <v>415.35</v>
      </c>
      <c r="J653" s="192">
        <f>SUM(H653:I653)</f>
        <v>415.35</v>
      </c>
    </row>
    <row r="654" spans="1:10" outlineLevel="2">
      <c r="A654" s="191" t="s">
        <v>2851</v>
      </c>
      <c r="B654" s="191" t="s">
        <v>425</v>
      </c>
      <c r="C654" s="191" t="s">
        <v>416</v>
      </c>
      <c r="D654" s="191" t="s">
        <v>1893</v>
      </c>
      <c r="E654" s="191" t="s">
        <v>2596</v>
      </c>
      <c r="F654" s="191" t="s">
        <v>2596</v>
      </c>
      <c r="G654" s="191">
        <v>7</v>
      </c>
      <c r="H654" s="192">
        <v>0</v>
      </c>
      <c r="I654" s="192">
        <v>133.18</v>
      </c>
      <c r="J654" s="192">
        <f>SUM(H654:I654)</f>
        <v>133.18</v>
      </c>
    </row>
    <row r="655" spans="1:10" outlineLevel="2">
      <c r="A655" s="191" t="s">
        <v>2851</v>
      </c>
      <c r="B655" s="191" t="s">
        <v>425</v>
      </c>
      <c r="C655" s="191" t="s">
        <v>416</v>
      </c>
      <c r="D655" s="191" t="s">
        <v>1894</v>
      </c>
      <c r="E655" s="191" t="s">
        <v>2711</v>
      </c>
      <c r="F655" s="191" t="s">
        <v>2589</v>
      </c>
      <c r="G655" s="191">
        <v>14</v>
      </c>
      <c r="H655" s="192">
        <v>0</v>
      </c>
      <c r="I655" s="192">
        <v>266.36</v>
      </c>
      <c r="J655" s="192">
        <f>SUM(H655:I655)</f>
        <v>266.36</v>
      </c>
    </row>
    <row r="656" spans="1:10" outlineLevel="2">
      <c r="A656" s="191" t="s">
        <v>2852</v>
      </c>
      <c r="B656" s="191" t="s">
        <v>147</v>
      </c>
      <c r="C656" s="191" t="s">
        <v>416</v>
      </c>
      <c r="D656" s="191" t="s">
        <v>1895</v>
      </c>
      <c r="E656" s="191" t="s">
        <v>1487</v>
      </c>
      <c r="F656" s="191" t="s">
        <v>1487</v>
      </c>
      <c r="G656" s="191">
        <v>7</v>
      </c>
      <c r="H656" s="192">
        <v>0</v>
      </c>
      <c r="I656" s="192">
        <v>54.26</v>
      </c>
      <c r="J656" s="192">
        <f>SUM(H656:I656)</f>
        <v>54.26</v>
      </c>
    </row>
    <row r="657" spans="1:10" outlineLevel="2">
      <c r="A657" s="191" t="s">
        <v>2852</v>
      </c>
      <c r="B657" s="191" t="s">
        <v>147</v>
      </c>
      <c r="C657" s="191" t="s">
        <v>416</v>
      </c>
      <c r="D657" s="191" t="s">
        <v>1896</v>
      </c>
      <c r="E657" s="191" t="s">
        <v>2617</v>
      </c>
      <c r="F657" s="191" t="s">
        <v>2617</v>
      </c>
      <c r="G657" s="191">
        <v>7</v>
      </c>
      <c r="H657" s="192">
        <v>0</v>
      </c>
      <c r="I657" s="192">
        <v>54.53</v>
      </c>
      <c r="J657" s="192">
        <f>SUM(H657:I657)</f>
        <v>54.53</v>
      </c>
    </row>
    <row r="658" spans="1:10" outlineLevel="2">
      <c r="A658" s="191" t="s">
        <v>2852</v>
      </c>
      <c r="B658" s="191" t="s">
        <v>147</v>
      </c>
      <c r="C658" s="191" t="s">
        <v>416</v>
      </c>
      <c r="D658" s="191" t="s">
        <v>1897</v>
      </c>
      <c r="E658" s="191" t="s">
        <v>2702</v>
      </c>
      <c r="F658" s="191" t="s">
        <v>2702</v>
      </c>
      <c r="G658" s="191">
        <v>7</v>
      </c>
      <c r="H658" s="192">
        <v>0</v>
      </c>
      <c r="I658" s="192">
        <v>54.53</v>
      </c>
      <c r="J658" s="192">
        <f>SUM(H658:I658)</f>
        <v>54.53</v>
      </c>
    </row>
    <row r="659" spans="1:10" outlineLevel="2">
      <c r="A659" s="191" t="s">
        <v>418</v>
      </c>
      <c r="B659" s="191" t="s">
        <v>112</v>
      </c>
      <c r="C659" s="191" t="s">
        <v>416</v>
      </c>
      <c r="D659" s="191" t="s">
        <v>1898</v>
      </c>
      <c r="E659" s="191" t="s">
        <v>2713</v>
      </c>
      <c r="F659" s="191" t="s">
        <v>2715</v>
      </c>
      <c r="G659" s="191">
        <v>14</v>
      </c>
      <c r="H659" s="192">
        <v>0</v>
      </c>
      <c r="I659" s="192">
        <v>117.38</v>
      </c>
      <c r="J659" s="192">
        <f>SUM(H659:I659)</f>
        <v>117.38</v>
      </c>
    </row>
    <row r="660" spans="1:10" outlineLevel="2">
      <c r="A660" s="191" t="s">
        <v>419</v>
      </c>
      <c r="B660" s="191" t="s">
        <v>112</v>
      </c>
      <c r="C660" s="191" t="s">
        <v>416</v>
      </c>
      <c r="D660" s="191" t="s">
        <v>1891</v>
      </c>
      <c r="E660" s="191" t="s">
        <v>2676</v>
      </c>
      <c r="F660" s="191" t="s">
        <v>2609</v>
      </c>
      <c r="G660" s="191">
        <v>21</v>
      </c>
      <c r="H660" s="192">
        <v>0</v>
      </c>
      <c r="I660" s="192">
        <v>176.91</v>
      </c>
      <c r="J660" s="192">
        <f>SUM(H660:I660)</f>
        <v>176.91</v>
      </c>
    </row>
    <row r="661" spans="1:10" outlineLevel="2">
      <c r="A661" s="191" t="s">
        <v>420</v>
      </c>
      <c r="B661" s="191" t="s">
        <v>415</v>
      </c>
      <c r="C661" s="191" t="s">
        <v>416</v>
      </c>
      <c r="D661" s="191" t="s">
        <v>1899</v>
      </c>
      <c r="E661" s="191" t="s">
        <v>1478</v>
      </c>
      <c r="F661" s="191" t="s">
        <v>1478</v>
      </c>
      <c r="G661" s="191">
        <v>7</v>
      </c>
      <c r="H661" s="192">
        <v>0</v>
      </c>
      <c r="I661" s="192">
        <v>134.88</v>
      </c>
      <c r="J661" s="192">
        <f>SUM(H661:I661)</f>
        <v>134.88</v>
      </c>
    </row>
    <row r="662" spans="1:10" outlineLevel="2">
      <c r="A662" s="191" t="s">
        <v>420</v>
      </c>
      <c r="B662" s="191" t="s">
        <v>415</v>
      </c>
      <c r="C662" s="191" t="s">
        <v>416</v>
      </c>
      <c r="D662" s="191" t="s">
        <v>1900</v>
      </c>
      <c r="E662" s="191" t="s">
        <v>2593</v>
      </c>
      <c r="F662" s="191" t="s">
        <v>1487</v>
      </c>
      <c r="G662" s="191">
        <v>14</v>
      </c>
      <c r="H662" s="192">
        <v>0</v>
      </c>
      <c r="I662" s="192">
        <v>269.76</v>
      </c>
      <c r="J662" s="192">
        <f>SUM(H662:I662)</f>
        <v>269.76</v>
      </c>
    </row>
    <row r="663" spans="1:10" outlineLevel="2">
      <c r="A663" s="191" t="s">
        <v>420</v>
      </c>
      <c r="B663" s="191" t="s">
        <v>415</v>
      </c>
      <c r="C663" s="191" t="s">
        <v>416</v>
      </c>
      <c r="D663" s="191" t="s">
        <v>1892</v>
      </c>
      <c r="E663" s="191" t="s">
        <v>1493</v>
      </c>
      <c r="F663" s="191" t="s">
        <v>2609</v>
      </c>
      <c r="G663" s="191">
        <v>14</v>
      </c>
      <c r="H663" s="192">
        <v>0</v>
      </c>
      <c r="I663" s="192">
        <v>271.08</v>
      </c>
      <c r="J663" s="192">
        <f>SUM(H663:I663)</f>
        <v>271.08</v>
      </c>
    </row>
    <row r="664" spans="1:10" outlineLevel="2">
      <c r="A664" s="191" t="s">
        <v>420</v>
      </c>
      <c r="B664" s="191" t="s">
        <v>415</v>
      </c>
      <c r="C664" s="191" t="s">
        <v>416</v>
      </c>
      <c r="D664" s="191" t="s">
        <v>1901</v>
      </c>
      <c r="E664" s="191" t="s">
        <v>2669</v>
      </c>
      <c r="F664" s="191" t="s">
        <v>2589</v>
      </c>
      <c r="G664" s="191">
        <v>21</v>
      </c>
      <c r="H664" s="192">
        <v>0</v>
      </c>
      <c r="I664" s="192">
        <v>404.64</v>
      </c>
      <c r="J664" s="192">
        <f>SUM(H664:I664)</f>
        <v>404.64</v>
      </c>
    </row>
    <row r="665" spans="1:10" outlineLevel="2">
      <c r="A665" s="191" t="s">
        <v>421</v>
      </c>
      <c r="B665" s="191" t="s">
        <v>415</v>
      </c>
      <c r="C665" s="191" t="s">
        <v>416</v>
      </c>
      <c r="D665" s="191" t="s">
        <v>1902</v>
      </c>
      <c r="E665" s="191" t="s">
        <v>2596</v>
      </c>
      <c r="F665" s="191" t="s">
        <v>2596</v>
      </c>
      <c r="G665" s="191">
        <v>7</v>
      </c>
      <c r="H665" s="192">
        <v>0</v>
      </c>
      <c r="I665" s="192">
        <v>157.03</v>
      </c>
      <c r="J665" s="192">
        <f>SUM(H665:I665)</f>
        <v>157.03</v>
      </c>
    </row>
    <row r="666" spans="1:10" outlineLevel="2">
      <c r="A666" s="191" t="s">
        <v>421</v>
      </c>
      <c r="B666" s="191" t="s">
        <v>415</v>
      </c>
      <c r="C666" s="191" t="s">
        <v>416</v>
      </c>
      <c r="D666" s="191" t="s">
        <v>1903</v>
      </c>
      <c r="E666" s="191" t="s">
        <v>2594</v>
      </c>
      <c r="F666" s="191" t="s">
        <v>2588</v>
      </c>
      <c r="G666" s="191">
        <v>14</v>
      </c>
      <c r="H666" s="192">
        <v>0</v>
      </c>
      <c r="I666" s="192">
        <v>314.06</v>
      </c>
      <c r="J666" s="192">
        <f>SUM(H666:I666)</f>
        <v>314.06</v>
      </c>
    </row>
    <row r="667" spans="1:10" outlineLevel="2">
      <c r="A667" s="191" t="s">
        <v>422</v>
      </c>
      <c r="B667" s="191" t="s">
        <v>415</v>
      </c>
      <c r="C667" s="191" t="s">
        <v>416</v>
      </c>
      <c r="D667" s="191" t="s">
        <v>1904</v>
      </c>
      <c r="E667" s="191" t="s">
        <v>2595</v>
      </c>
      <c r="F667" s="191" t="s">
        <v>2595</v>
      </c>
      <c r="G667" s="191">
        <v>7</v>
      </c>
      <c r="H667" s="192">
        <v>0</v>
      </c>
      <c r="I667" s="192">
        <v>96.74</v>
      </c>
      <c r="J667" s="192">
        <f>SUM(H667:I667)</f>
        <v>96.74</v>
      </c>
    </row>
    <row r="668" spans="1:10" outlineLevel="2">
      <c r="A668" s="191" t="s">
        <v>422</v>
      </c>
      <c r="B668" s="191" t="s">
        <v>415</v>
      </c>
      <c r="C668" s="191" t="s">
        <v>416</v>
      </c>
      <c r="D668" s="191" t="s">
        <v>1905</v>
      </c>
      <c r="E668" s="191" t="s">
        <v>1503</v>
      </c>
      <c r="F668" s="191" t="s">
        <v>1503</v>
      </c>
      <c r="G668" s="191">
        <v>7</v>
      </c>
      <c r="H668" s="192">
        <v>0</v>
      </c>
      <c r="I668" s="192">
        <v>96.74</v>
      </c>
      <c r="J668" s="192">
        <f>SUM(H668:I668)</f>
        <v>96.74</v>
      </c>
    </row>
    <row r="669" spans="1:10" outlineLevel="2">
      <c r="A669" s="191" t="s">
        <v>422</v>
      </c>
      <c r="B669" s="191" t="s">
        <v>415</v>
      </c>
      <c r="C669" s="191" t="s">
        <v>416</v>
      </c>
      <c r="D669" s="191" t="s">
        <v>1906</v>
      </c>
      <c r="E669" s="191" t="s">
        <v>2644</v>
      </c>
      <c r="F669" s="191" t="s">
        <v>2644</v>
      </c>
      <c r="G669" s="191">
        <v>7</v>
      </c>
      <c r="H669" s="192">
        <v>0</v>
      </c>
      <c r="I669" s="192">
        <v>93.68</v>
      </c>
      <c r="J669" s="192">
        <f>SUM(H669:I669)</f>
        <v>93.68</v>
      </c>
    </row>
    <row r="670" spans="1:10" outlineLevel="2">
      <c r="A670" s="191" t="s">
        <v>423</v>
      </c>
      <c r="B670" s="191" t="s">
        <v>415</v>
      </c>
      <c r="C670" s="191" t="s">
        <v>416</v>
      </c>
      <c r="D670" s="191" t="s">
        <v>1907</v>
      </c>
      <c r="E670" s="191" t="s">
        <v>1480</v>
      </c>
      <c r="F670" s="191" t="s">
        <v>1480</v>
      </c>
      <c r="G670" s="191">
        <v>7</v>
      </c>
      <c r="H670" s="192">
        <v>0</v>
      </c>
      <c r="I670" s="192">
        <v>151.38</v>
      </c>
      <c r="J670" s="192">
        <f>SUM(H670:I670)</f>
        <v>151.38</v>
      </c>
    </row>
    <row r="671" spans="1:10" outlineLevel="2">
      <c r="A671" s="191" t="s">
        <v>423</v>
      </c>
      <c r="B671" s="191" t="s">
        <v>415</v>
      </c>
      <c r="C671" s="191" t="s">
        <v>416</v>
      </c>
      <c r="D671" s="191" t="s">
        <v>1906</v>
      </c>
      <c r="E671" s="191" t="s">
        <v>2663</v>
      </c>
      <c r="F671" s="191" t="s">
        <v>2663</v>
      </c>
      <c r="G671" s="191">
        <v>7</v>
      </c>
      <c r="H671" s="192">
        <v>0</v>
      </c>
      <c r="I671" s="192">
        <v>187.97</v>
      </c>
      <c r="J671" s="192">
        <f>SUM(H671:I671)</f>
        <v>187.97</v>
      </c>
    </row>
    <row r="672" spans="1:10" outlineLevel="2">
      <c r="A672" s="191" t="s">
        <v>423</v>
      </c>
      <c r="B672" s="191" t="s">
        <v>415</v>
      </c>
      <c r="C672" s="191" t="s">
        <v>416</v>
      </c>
      <c r="D672" s="191" t="s">
        <v>1906</v>
      </c>
      <c r="E672" s="191" t="s">
        <v>2644</v>
      </c>
      <c r="F672" s="191" t="s">
        <v>2642</v>
      </c>
      <c r="G672" s="191">
        <v>14</v>
      </c>
      <c r="H672" s="192">
        <v>0</v>
      </c>
      <c r="I672" s="192">
        <v>375.94</v>
      </c>
      <c r="J672" s="192">
        <f>SUM(H672:I672)</f>
        <v>375.94</v>
      </c>
    </row>
    <row r="673" spans="1:10" outlineLevel="2">
      <c r="A673" s="191" t="s">
        <v>2853</v>
      </c>
      <c r="B673" s="191" t="s">
        <v>116</v>
      </c>
      <c r="C673" s="191" t="s">
        <v>416</v>
      </c>
      <c r="D673" s="191" t="s">
        <v>1892</v>
      </c>
      <c r="E673" s="191" t="s">
        <v>1493</v>
      </c>
      <c r="F673" s="191" t="s">
        <v>2609</v>
      </c>
      <c r="G673" s="191" t="s">
        <v>2760</v>
      </c>
      <c r="H673" s="192">
        <v>0</v>
      </c>
      <c r="I673" s="192">
        <v>0</v>
      </c>
      <c r="J673" s="192">
        <f>SUM(H673:I673)</f>
        <v>0</v>
      </c>
    </row>
    <row r="674" spans="1:10" outlineLevel="2">
      <c r="A674" s="191" t="s">
        <v>2854</v>
      </c>
      <c r="B674" s="191" t="s">
        <v>141</v>
      </c>
      <c r="C674" s="191" t="s">
        <v>416</v>
      </c>
      <c r="D674" s="191" t="s">
        <v>1908</v>
      </c>
      <c r="E674" s="191" t="s">
        <v>2713</v>
      </c>
      <c r="F674" s="191" t="s">
        <v>2713</v>
      </c>
      <c r="G674" s="191">
        <v>7</v>
      </c>
      <c r="H674" s="192">
        <v>0</v>
      </c>
      <c r="I674" s="192">
        <v>50.72</v>
      </c>
      <c r="J674" s="192">
        <f>SUM(H674:I674)</f>
        <v>50.72</v>
      </c>
    </row>
    <row r="675" spans="1:10" outlineLevel="2">
      <c r="A675" s="191" t="s">
        <v>2854</v>
      </c>
      <c r="B675" s="191" t="s">
        <v>147</v>
      </c>
      <c r="C675" s="191" t="s">
        <v>416</v>
      </c>
      <c r="D675" s="191" t="s">
        <v>1909</v>
      </c>
      <c r="E675" s="191" t="s">
        <v>1487</v>
      </c>
      <c r="F675" s="191" t="s">
        <v>1487</v>
      </c>
      <c r="G675" s="191">
        <v>7</v>
      </c>
      <c r="H675" s="192">
        <v>0</v>
      </c>
      <c r="I675" s="192">
        <v>54.26</v>
      </c>
      <c r="J675" s="192">
        <f>SUM(H675:I675)</f>
        <v>54.26</v>
      </c>
    </row>
    <row r="676" spans="1:10" outlineLevel="2">
      <c r="A676" s="191" t="s">
        <v>2854</v>
      </c>
      <c r="B676" s="191" t="s">
        <v>147</v>
      </c>
      <c r="C676" s="191" t="s">
        <v>416</v>
      </c>
      <c r="D676" s="191" t="s">
        <v>1910</v>
      </c>
      <c r="E676" s="191" t="s">
        <v>2680</v>
      </c>
      <c r="F676" s="191" t="s">
        <v>2680</v>
      </c>
      <c r="G676" s="191">
        <v>7</v>
      </c>
      <c r="H676" s="192">
        <v>0</v>
      </c>
      <c r="I676" s="192">
        <v>54.53</v>
      </c>
      <c r="J676" s="192">
        <f>SUM(H676:I676)</f>
        <v>54.53</v>
      </c>
    </row>
    <row r="677" spans="1:10" outlineLevel="2">
      <c r="A677" s="191" t="s">
        <v>2854</v>
      </c>
      <c r="B677" s="191" t="s">
        <v>147</v>
      </c>
      <c r="C677" s="191" t="s">
        <v>416</v>
      </c>
      <c r="D677" s="191" t="s">
        <v>1897</v>
      </c>
      <c r="E677" s="191" t="s">
        <v>2702</v>
      </c>
      <c r="F677" s="191" t="s">
        <v>2702</v>
      </c>
      <c r="G677" s="191">
        <v>7</v>
      </c>
      <c r="H677" s="192">
        <v>0</v>
      </c>
      <c r="I677" s="192">
        <v>54.53</v>
      </c>
      <c r="J677" s="192">
        <f>SUM(H677:I677)</f>
        <v>54.53</v>
      </c>
    </row>
    <row r="678" spans="1:10" outlineLevel="2">
      <c r="A678" s="191" t="s">
        <v>424</v>
      </c>
      <c r="B678" s="191" t="s">
        <v>415</v>
      </c>
      <c r="C678" s="191" t="s">
        <v>416</v>
      </c>
      <c r="D678" s="191" t="s">
        <v>1911</v>
      </c>
      <c r="E678" s="191" t="s">
        <v>2679</v>
      </c>
      <c r="F678" s="191" t="s">
        <v>1504</v>
      </c>
      <c r="G678" s="191">
        <v>28</v>
      </c>
      <c r="H678" s="192">
        <v>0</v>
      </c>
      <c r="I678" s="192">
        <v>674.4</v>
      </c>
      <c r="J678" s="192">
        <f>SUM(H678:I678)</f>
        <v>674.4</v>
      </c>
    </row>
    <row r="679" spans="1:10" outlineLevel="2">
      <c r="A679" s="191" t="s">
        <v>424</v>
      </c>
      <c r="B679" s="191" t="s">
        <v>425</v>
      </c>
      <c r="C679" s="191" t="s">
        <v>416</v>
      </c>
      <c r="D679" s="191" t="s">
        <v>1912</v>
      </c>
      <c r="E679" s="191" t="s">
        <v>1496</v>
      </c>
      <c r="F679" s="191" t="s">
        <v>1496</v>
      </c>
      <c r="G679" s="191">
        <v>7</v>
      </c>
      <c r="H679" s="192">
        <v>0</v>
      </c>
      <c r="I679" s="192">
        <v>134.88</v>
      </c>
      <c r="J679" s="192">
        <f>SUM(H679:I679)</f>
        <v>134.88</v>
      </c>
    </row>
    <row r="680" spans="1:10" outlineLevel="2">
      <c r="A680" s="191" t="s">
        <v>2855</v>
      </c>
      <c r="B680" s="191" t="s">
        <v>415</v>
      </c>
      <c r="C680" s="191" t="s">
        <v>416</v>
      </c>
      <c r="D680" s="191" t="s">
        <v>1913</v>
      </c>
      <c r="E680" s="191" t="s">
        <v>2646</v>
      </c>
      <c r="F680" s="191" t="s">
        <v>2646</v>
      </c>
      <c r="G680" s="191">
        <v>7</v>
      </c>
      <c r="H680" s="192">
        <v>0</v>
      </c>
      <c r="I680" s="192">
        <v>135.54</v>
      </c>
      <c r="J680" s="192">
        <f>SUM(H680:I680)</f>
        <v>135.54</v>
      </c>
    </row>
    <row r="681" spans="1:10" outlineLevel="2">
      <c r="A681" s="191" t="s">
        <v>2855</v>
      </c>
      <c r="B681" s="191" t="s">
        <v>415</v>
      </c>
      <c r="C681" s="191" t="s">
        <v>416</v>
      </c>
      <c r="D681" s="191" t="s">
        <v>1900</v>
      </c>
      <c r="E681" s="191" t="s">
        <v>2593</v>
      </c>
      <c r="F681" s="191" t="s">
        <v>1487</v>
      </c>
      <c r="G681" s="191">
        <v>14</v>
      </c>
      <c r="H681" s="192">
        <v>0</v>
      </c>
      <c r="I681" s="192">
        <v>269.76</v>
      </c>
      <c r="J681" s="192">
        <f>SUM(H681:I681)</f>
        <v>269.76</v>
      </c>
    </row>
    <row r="682" spans="1:10" outlineLevel="2">
      <c r="A682" s="191" t="s">
        <v>426</v>
      </c>
      <c r="B682" s="191" t="s">
        <v>415</v>
      </c>
      <c r="C682" s="191" t="s">
        <v>416</v>
      </c>
      <c r="D682" s="191" t="s">
        <v>1893</v>
      </c>
      <c r="E682" s="191" t="s">
        <v>2596</v>
      </c>
      <c r="F682" s="191" t="s">
        <v>2596</v>
      </c>
      <c r="G682" s="191">
        <v>7</v>
      </c>
      <c r="H682" s="192">
        <v>0</v>
      </c>
      <c r="I682" s="192">
        <v>171.94</v>
      </c>
      <c r="J682" s="192">
        <f>SUM(H682:I682)</f>
        <v>171.94</v>
      </c>
    </row>
    <row r="683" spans="1:10" outlineLevel="2">
      <c r="A683" s="191" t="s">
        <v>426</v>
      </c>
      <c r="B683" s="191" t="s">
        <v>415</v>
      </c>
      <c r="C683" s="191" t="s">
        <v>416</v>
      </c>
      <c r="D683" s="191" t="s">
        <v>1914</v>
      </c>
      <c r="E683" s="191" t="s">
        <v>2616</v>
      </c>
      <c r="F683" s="191" t="s">
        <v>2707</v>
      </c>
      <c r="G683" s="191">
        <v>14</v>
      </c>
      <c r="H683" s="192">
        <v>0</v>
      </c>
      <c r="I683" s="192">
        <v>343.88</v>
      </c>
      <c r="J683" s="192">
        <f>SUM(H683:I683)</f>
        <v>343.88</v>
      </c>
    </row>
    <row r="684" spans="1:10" outlineLevel="2">
      <c r="A684" s="191" t="s">
        <v>426</v>
      </c>
      <c r="B684" s="191" t="s">
        <v>415</v>
      </c>
      <c r="C684" s="191" t="s">
        <v>416</v>
      </c>
      <c r="D684" s="191" t="s">
        <v>1915</v>
      </c>
      <c r="E684" s="191" t="s">
        <v>2679</v>
      </c>
      <c r="F684" s="191" t="s">
        <v>1504</v>
      </c>
      <c r="G684" s="191">
        <v>28</v>
      </c>
      <c r="H684" s="192">
        <v>0</v>
      </c>
      <c r="I684" s="192">
        <v>687.76</v>
      </c>
      <c r="J684" s="192">
        <f>SUM(H684:I684)</f>
        <v>687.76</v>
      </c>
    </row>
    <row r="685" spans="1:10" outlineLevel="2">
      <c r="A685" s="191" t="s">
        <v>2856</v>
      </c>
      <c r="B685" s="191" t="s">
        <v>425</v>
      </c>
      <c r="C685" s="191" t="s">
        <v>416</v>
      </c>
      <c r="D685" s="191" t="s">
        <v>1916</v>
      </c>
      <c r="E685" s="191" t="s">
        <v>2601</v>
      </c>
      <c r="F685" s="191" t="s">
        <v>2590</v>
      </c>
      <c r="G685" s="191">
        <v>14</v>
      </c>
      <c r="H685" s="192">
        <v>0</v>
      </c>
      <c r="I685" s="192">
        <v>267.66000000000003</v>
      </c>
      <c r="J685" s="192">
        <f>SUM(H685:I685)</f>
        <v>267.66000000000003</v>
      </c>
    </row>
    <row r="686" spans="1:10" outlineLevel="1">
      <c r="A686" s="193" t="s">
        <v>3012</v>
      </c>
      <c r="B686" s="194"/>
      <c r="C686" s="194"/>
      <c r="D686" s="194"/>
      <c r="E686" s="194"/>
      <c r="F686" s="194"/>
      <c r="G686" s="194">
        <f>SUBTOTAL(9,G650:G685)</f>
        <v>420</v>
      </c>
      <c r="H686" s="195">
        <f>SUBTOTAL(9,H650:H685)</f>
        <v>0</v>
      </c>
      <c r="I686" s="195">
        <f>SUBTOTAL(9,I650:I685)</f>
        <v>7538.0299999999988</v>
      </c>
      <c r="J686" s="195">
        <f>SUBTOTAL(9,J650:J685)</f>
        <v>7538.0299999999988</v>
      </c>
    </row>
    <row r="687" spans="1:10" outlineLevel="2">
      <c r="A687" s="191" t="s">
        <v>427</v>
      </c>
      <c r="B687" s="191" t="s">
        <v>415</v>
      </c>
      <c r="C687" s="191" t="s">
        <v>428</v>
      </c>
      <c r="D687" s="191" t="s">
        <v>1917</v>
      </c>
      <c r="E687" s="191" t="s">
        <v>2713</v>
      </c>
      <c r="F687" s="191" t="s">
        <v>2713</v>
      </c>
      <c r="G687" s="191">
        <v>7</v>
      </c>
      <c r="H687" s="192">
        <v>0</v>
      </c>
      <c r="I687" s="192">
        <v>177.9</v>
      </c>
      <c r="J687" s="192">
        <f>SUM(H687:I687)</f>
        <v>177.9</v>
      </c>
    </row>
    <row r="688" spans="1:10" outlineLevel="2">
      <c r="A688" s="191" t="s">
        <v>427</v>
      </c>
      <c r="B688" s="191" t="s">
        <v>415</v>
      </c>
      <c r="C688" s="191" t="s">
        <v>428</v>
      </c>
      <c r="D688" s="191" t="s">
        <v>1918</v>
      </c>
      <c r="E688" s="191" t="s">
        <v>2616</v>
      </c>
      <c r="F688" s="191" t="s">
        <v>2707</v>
      </c>
      <c r="G688" s="191">
        <v>14</v>
      </c>
      <c r="H688" s="192">
        <v>0</v>
      </c>
      <c r="I688" s="192">
        <v>355.8</v>
      </c>
      <c r="J688" s="192">
        <f>SUM(H688:I688)</f>
        <v>355.8</v>
      </c>
    </row>
    <row r="689" spans="1:10" outlineLevel="2">
      <c r="A689" s="191" t="s">
        <v>430</v>
      </c>
      <c r="B689" s="191" t="s">
        <v>415</v>
      </c>
      <c r="C689" s="191" t="s">
        <v>428</v>
      </c>
      <c r="D689" s="191" t="s">
        <v>1919</v>
      </c>
      <c r="E689" s="191" t="s">
        <v>1496</v>
      </c>
      <c r="F689" s="191" t="s">
        <v>1496</v>
      </c>
      <c r="G689" s="191">
        <v>7</v>
      </c>
      <c r="H689" s="192">
        <v>0</v>
      </c>
      <c r="I689" s="192">
        <v>136.59</v>
      </c>
      <c r="J689" s="192">
        <f>SUM(H689:I689)</f>
        <v>136.59</v>
      </c>
    </row>
    <row r="690" spans="1:10" outlineLevel="2">
      <c r="A690" s="191" t="s">
        <v>430</v>
      </c>
      <c r="B690" s="191" t="s">
        <v>415</v>
      </c>
      <c r="C690" s="191" t="s">
        <v>428</v>
      </c>
      <c r="D690" s="191" t="s">
        <v>1920</v>
      </c>
      <c r="E690" s="191" t="s">
        <v>1480</v>
      </c>
      <c r="F690" s="191" t="s">
        <v>1480</v>
      </c>
      <c r="G690" s="191">
        <v>7</v>
      </c>
      <c r="H690" s="192">
        <v>0</v>
      </c>
      <c r="I690" s="192">
        <v>132.83000000000001</v>
      </c>
      <c r="J690" s="192">
        <f>SUM(H690:I690)</f>
        <v>132.83000000000001</v>
      </c>
    </row>
    <row r="691" spans="1:10" outlineLevel="2">
      <c r="A691" s="191" t="s">
        <v>430</v>
      </c>
      <c r="B691" s="191" t="s">
        <v>415</v>
      </c>
      <c r="C691" s="191" t="s">
        <v>428</v>
      </c>
      <c r="D691" s="191" t="s">
        <v>1921</v>
      </c>
      <c r="E691" s="191" t="s">
        <v>2659</v>
      </c>
      <c r="F691" s="191" t="s">
        <v>2628</v>
      </c>
      <c r="G691" s="191">
        <v>14</v>
      </c>
      <c r="H691" s="192">
        <v>0</v>
      </c>
      <c r="I691" s="192">
        <v>273.18</v>
      </c>
      <c r="J691" s="192">
        <f>SUM(H691:I691)</f>
        <v>273.18</v>
      </c>
    </row>
    <row r="692" spans="1:10" outlineLevel="2">
      <c r="A692" s="191" t="s">
        <v>430</v>
      </c>
      <c r="B692" s="191" t="s">
        <v>415</v>
      </c>
      <c r="C692" s="191" t="s">
        <v>428</v>
      </c>
      <c r="D692" s="191" t="s">
        <v>1922</v>
      </c>
      <c r="E692" s="191" t="s">
        <v>2650</v>
      </c>
      <c r="F692" s="191" t="s">
        <v>2646</v>
      </c>
      <c r="G692" s="191">
        <v>14</v>
      </c>
      <c r="H692" s="192">
        <v>0</v>
      </c>
      <c r="I692" s="192">
        <v>274.5</v>
      </c>
      <c r="J692" s="192">
        <f>SUM(H692:I692)</f>
        <v>274.5</v>
      </c>
    </row>
    <row r="693" spans="1:10" outlineLevel="1">
      <c r="A693" s="193" t="s">
        <v>3013</v>
      </c>
      <c r="B693" s="194"/>
      <c r="C693" s="194"/>
      <c r="D693" s="194"/>
      <c r="E693" s="194"/>
      <c r="F693" s="194"/>
      <c r="G693" s="194">
        <f>SUBTOTAL(9,G687:G692)</f>
        <v>63</v>
      </c>
      <c r="H693" s="195">
        <f>SUBTOTAL(9,H687:H692)</f>
        <v>0</v>
      </c>
      <c r="I693" s="195">
        <f>SUBTOTAL(9,I687:I692)</f>
        <v>1350.8000000000002</v>
      </c>
      <c r="J693" s="195">
        <f>SUBTOTAL(9,J687:J692)</f>
        <v>1350.8000000000002</v>
      </c>
    </row>
    <row r="694" spans="1:10" outlineLevel="2">
      <c r="A694" s="191" t="s">
        <v>2857</v>
      </c>
      <c r="B694" s="191" t="s">
        <v>431</v>
      </c>
      <c r="C694" s="191" t="s">
        <v>432</v>
      </c>
      <c r="D694" s="191" t="s">
        <v>1923</v>
      </c>
      <c r="E694" s="191" t="s">
        <v>2639</v>
      </c>
      <c r="F694" s="191" t="s">
        <v>2608</v>
      </c>
      <c r="G694" s="191">
        <v>14</v>
      </c>
      <c r="H694" s="192">
        <v>0</v>
      </c>
      <c r="I694" s="192">
        <v>320.88</v>
      </c>
      <c r="J694" s="192">
        <f>SUM(H694:I694)</f>
        <v>320.88</v>
      </c>
    </row>
    <row r="695" spans="1:10" outlineLevel="2">
      <c r="A695" s="191" t="s">
        <v>433</v>
      </c>
      <c r="B695" s="191" t="s">
        <v>431</v>
      </c>
      <c r="C695" s="191" t="s">
        <v>432</v>
      </c>
      <c r="D695" s="191" t="s">
        <v>1924</v>
      </c>
      <c r="E695" s="191" t="s">
        <v>2616</v>
      </c>
      <c r="F695" s="191" t="s">
        <v>2616</v>
      </c>
      <c r="G695" s="191">
        <v>7</v>
      </c>
      <c r="H695" s="192">
        <v>0</v>
      </c>
      <c r="I695" s="192">
        <v>134.88</v>
      </c>
      <c r="J695" s="192">
        <f>SUM(H695:I695)</f>
        <v>134.88</v>
      </c>
    </row>
    <row r="696" spans="1:10" outlineLevel="2">
      <c r="A696" s="191" t="s">
        <v>434</v>
      </c>
      <c r="B696" s="191" t="s">
        <v>431</v>
      </c>
      <c r="C696" s="191" t="s">
        <v>432</v>
      </c>
      <c r="D696" s="191" t="s">
        <v>1923</v>
      </c>
      <c r="E696" s="191" t="s">
        <v>2608</v>
      </c>
      <c r="F696" s="191" t="s">
        <v>2608</v>
      </c>
      <c r="G696" s="191">
        <v>7</v>
      </c>
      <c r="H696" s="192">
        <v>0</v>
      </c>
      <c r="I696" s="192">
        <v>170.23</v>
      </c>
      <c r="J696" s="192">
        <f>SUM(H696:I696)</f>
        <v>170.23</v>
      </c>
    </row>
    <row r="697" spans="1:10" outlineLevel="2">
      <c r="A697" s="191" t="s">
        <v>434</v>
      </c>
      <c r="B697" s="191" t="s">
        <v>431</v>
      </c>
      <c r="C697" s="191" t="s">
        <v>432</v>
      </c>
      <c r="D697" s="191" t="s">
        <v>1923</v>
      </c>
      <c r="E697" s="191" t="s">
        <v>2723</v>
      </c>
      <c r="F697" s="191" t="s">
        <v>2702</v>
      </c>
      <c r="G697" s="191">
        <v>21</v>
      </c>
      <c r="H697" s="192">
        <v>0</v>
      </c>
      <c r="I697" s="192">
        <v>518.34</v>
      </c>
      <c r="J697" s="192">
        <f>SUM(H697:I697)</f>
        <v>518.34</v>
      </c>
    </row>
    <row r="698" spans="1:10" outlineLevel="2">
      <c r="A698" s="191" t="s">
        <v>453</v>
      </c>
      <c r="B698" s="191" t="s">
        <v>431</v>
      </c>
      <c r="C698" s="191" t="s">
        <v>432</v>
      </c>
      <c r="D698" s="191" t="s">
        <v>1925</v>
      </c>
      <c r="E698" s="191" t="s">
        <v>2724</v>
      </c>
      <c r="F698" s="191" t="s">
        <v>2724</v>
      </c>
      <c r="G698" s="191">
        <v>7</v>
      </c>
      <c r="H698" s="192">
        <v>0</v>
      </c>
      <c r="I698" s="192">
        <v>45.14</v>
      </c>
      <c r="J698" s="192">
        <f>SUM(H698:I698)</f>
        <v>45.14</v>
      </c>
    </row>
    <row r="699" spans="1:10" outlineLevel="2">
      <c r="A699" s="191" t="s">
        <v>435</v>
      </c>
      <c r="B699" s="191" t="s">
        <v>431</v>
      </c>
      <c r="C699" s="191" t="s">
        <v>432</v>
      </c>
      <c r="D699" s="191" t="s">
        <v>1926</v>
      </c>
      <c r="E699" s="191" t="s">
        <v>2613</v>
      </c>
      <c r="F699" s="191" t="s">
        <v>2614</v>
      </c>
      <c r="G699" s="191">
        <v>21</v>
      </c>
      <c r="H699" s="192">
        <v>100</v>
      </c>
      <c r="I699" s="192">
        <v>451.92</v>
      </c>
      <c r="J699" s="192">
        <f>SUM(H699:I699)</f>
        <v>551.92000000000007</v>
      </c>
    </row>
    <row r="700" spans="1:10" outlineLevel="1">
      <c r="A700" s="193" t="s">
        <v>3014</v>
      </c>
      <c r="B700" s="194"/>
      <c r="C700" s="194"/>
      <c r="D700" s="194"/>
      <c r="E700" s="194"/>
      <c r="F700" s="194"/>
      <c r="G700" s="194">
        <f>SUBTOTAL(9,G694:G699)</f>
        <v>77</v>
      </c>
      <c r="H700" s="195">
        <f>SUBTOTAL(9,H694:H699)</f>
        <v>100</v>
      </c>
      <c r="I700" s="195">
        <f>SUBTOTAL(9,I694:I699)</f>
        <v>1641.39</v>
      </c>
      <c r="J700" s="195">
        <f>SUBTOTAL(9,J694:J699)</f>
        <v>1741.39</v>
      </c>
    </row>
    <row r="701" spans="1:10" outlineLevel="2">
      <c r="A701" s="191" t="s">
        <v>436</v>
      </c>
      <c r="B701" s="191" t="s">
        <v>429</v>
      </c>
      <c r="C701" s="191" t="s">
        <v>437</v>
      </c>
      <c r="D701" s="191" t="s">
        <v>1927</v>
      </c>
      <c r="E701" s="191" t="s">
        <v>2626</v>
      </c>
      <c r="F701" s="191" t="s">
        <v>2626</v>
      </c>
      <c r="G701" s="191">
        <v>7</v>
      </c>
      <c r="H701" s="192">
        <v>0</v>
      </c>
      <c r="I701" s="192">
        <v>194.93</v>
      </c>
      <c r="J701" s="192">
        <f>SUM(H701:I701)</f>
        <v>194.93</v>
      </c>
    </row>
    <row r="702" spans="1:10" outlineLevel="2">
      <c r="A702" s="191" t="s">
        <v>436</v>
      </c>
      <c r="B702" s="191" t="s">
        <v>429</v>
      </c>
      <c r="C702" s="191" t="s">
        <v>437</v>
      </c>
      <c r="D702" s="191" t="s">
        <v>1928</v>
      </c>
      <c r="E702" s="191" t="s">
        <v>1490</v>
      </c>
      <c r="F702" s="191" t="s">
        <v>1490</v>
      </c>
      <c r="G702" s="191">
        <v>7</v>
      </c>
      <c r="H702" s="192">
        <v>0</v>
      </c>
      <c r="I702" s="192">
        <v>194.93</v>
      </c>
      <c r="J702" s="192">
        <f>SUM(H702:I702)</f>
        <v>194.93</v>
      </c>
    </row>
    <row r="703" spans="1:10" outlineLevel="2">
      <c r="A703" s="191" t="s">
        <v>436</v>
      </c>
      <c r="B703" s="191" t="s">
        <v>429</v>
      </c>
      <c r="C703" s="191" t="s">
        <v>437</v>
      </c>
      <c r="D703" s="191" t="s">
        <v>1918</v>
      </c>
      <c r="E703" s="191" t="s">
        <v>2616</v>
      </c>
      <c r="F703" s="191" t="s">
        <v>2707</v>
      </c>
      <c r="G703" s="191">
        <v>14</v>
      </c>
      <c r="H703" s="192">
        <v>0</v>
      </c>
      <c r="I703" s="192">
        <v>387.96</v>
      </c>
      <c r="J703" s="192">
        <f>SUM(H703:I703)</f>
        <v>387.96</v>
      </c>
    </row>
    <row r="704" spans="1:10" outlineLevel="2">
      <c r="A704" s="191" t="s">
        <v>436</v>
      </c>
      <c r="B704" s="191" t="s">
        <v>429</v>
      </c>
      <c r="C704" s="191" t="s">
        <v>437</v>
      </c>
      <c r="D704" s="191" t="s">
        <v>1929</v>
      </c>
      <c r="E704" s="191" t="s">
        <v>2711</v>
      </c>
      <c r="F704" s="191" t="s">
        <v>2589</v>
      </c>
      <c r="G704" s="191">
        <v>14</v>
      </c>
      <c r="H704" s="192">
        <v>0</v>
      </c>
      <c r="I704" s="192">
        <v>387.96</v>
      </c>
      <c r="J704" s="192">
        <f>SUM(H704:I704)</f>
        <v>387.96</v>
      </c>
    </row>
    <row r="705" spans="1:10" outlineLevel="2">
      <c r="A705" s="191" t="s">
        <v>2858</v>
      </c>
      <c r="B705" s="191" t="s">
        <v>360</v>
      </c>
      <c r="C705" s="191" t="s">
        <v>437</v>
      </c>
      <c r="D705" s="191" t="s">
        <v>1930</v>
      </c>
      <c r="E705" s="191" t="s">
        <v>2675</v>
      </c>
      <c r="F705" s="191" t="s">
        <v>2675</v>
      </c>
      <c r="G705" s="191">
        <v>7</v>
      </c>
      <c r="H705" s="192">
        <v>0</v>
      </c>
      <c r="I705" s="192">
        <v>134.88</v>
      </c>
      <c r="J705" s="192">
        <f>SUM(H705:I705)</f>
        <v>134.88</v>
      </c>
    </row>
    <row r="706" spans="1:10" outlineLevel="1">
      <c r="A706" s="193" t="s">
        <v>3015</v>
      </c>
      <c r="B706" s="194"/>
      <c r="C706" s="194"/>
      <c r="D706" s="194"/>
      <c r="E706" s="194"/>
      <c r="F706" s="194"/>
      <c r="G706" s="194">
        <f>SUBTOTAL(9,G701:G705)</f>
        <v>49</v>
      </c>
      <c r="H706" s="195">
        <f>SUBTOTAL(9,H701:H705)</f>
        <v>0</v>
      </c>
      <c r="I706" s="195">
        <f>SUBTOTAL(9,I701:I705)</f>
        <v>1300.6599999999999</v>
      </c>
      <c r="J706" s="195">
        <f>SUBTOTAL(9,J701:J705)</f>
        <v>1300.6599999999999</v>
      </c>
    </row>
    <row r="707" spans="1:10" outlineLevel="2">
      <c r="A707" s="191" t="s">
        <v>440</v>
      </c>
      <c r="B707" s="191" t="s">
        <v>439</v>
      </c>
      <c r="C707" s="191" t="s">
        <v>438</v>
      </c>
      <c r="D707" s="191" t="s">
        <v>1931</v>
      </c>
      <c r="E707" s="191" t="s">
        <v>2703</v>
      </c>
      <c r="F707" s="191" t="s">
        <v>2676</v>
      </c>
      <c r="G707" s="191">
        <v>21</v>
      </c>
      <c r="H707" s="192">
        <v>0</v>
      </c>
      <c r="I707" s="192">
        <v>411.75</v>
      </c>
      <c r="J707" s="192">
        <f>SUM(H707:I707)</f>
        <v>411.75</v>
      </c>
    </row>
    <row r="708" spans="1:10" outlineLevel="2">
      <c r="A708" s="191" t="s">
        <v>440</v>
      </c>
      <c r="B708" s="191" t="s">
        <v>439</v>
      </c>
      <c r="C708" s="191" t="s">
        <v>438</v>
      </c>
      <c r="D708" s="191" t="s">
        <v>1932</v>
      </c>
      <c r="E708" s="191" t="s">
        <v>2637</v>
      </c>
      <c r="F708" s="191" t="s">
        <v>2608</v>
      </c>
      <c r="G708" s="191">
        <v>28</v>
      </c>
      <c r="H708" s="192">
        <v>0</v>
      </c>
      <c r="I708" s="192">
        <v>546.36</v>
      </c>
      <c r="J708" s="192">
        <f>SUM(H708:I708)</f>
        <v>546.36</v>
      </c>
    </row>
    <row r="709" spans="1:10" outlineLevel="2">
      <c r="A709" s="191" t="s">
        <v>2859</v>
      </c>
      <c r="B709" s="191" t="s">
        <v>141</v>
      </c>
      <c r="C709" s="191" t="s">
        <v>438</v>
      </c>
      <c r="D709" s="191" t="s">
        <v>1933</v>
      </c>
      <c r="E709" s="191" t="s">
        <v>2717</v>
      </c>
      <c r="F709" s="191" t="s">
        <v>1489</v>
      </c>
      <c r="G709" s="191">
        <v>14</v>
      </c>
      <c r="H709" s="192">
        <v>0</v>
      </c>
      <c r="I709" s="192">
        <v>101.94</v>
      </c>
      <c r="J709" s="192">
        <f>SUM(H709:I709)</f>
        <v>101.94</v>
      </c>
    </row>
    <row r="710" spans="1:10" outlineLevel="2">
      <c r="A710" s="191" t="s">
        <v>441</v>
      </c>
      <c r="B710" s="191" t="s">
        <v>439</v>
      </c>
      <c r="C710" s="191" t="s">
        <v>438</v>
      </c>
      <c r="D710" s="191" t="s">
        <v>1934</v>
      </c>
      <c r="E710" s="191" t="s">
        <v>2593</v>
      </c>
      <c r="F710" s="191" t="s">
        <v>2593</v>
      </c>
      <c r="G710" s="191">
        <v>7</v>
      </c>
      <c r="H710" s="192">
        <v>0</v>
      </c>
      <c r="I710" s="192">
        <v>192.65</v>
      </c>
      <c r="J710" s="192">
        <f>SUM(H710:I710)</f>
        <v>192.65</v>
      </c>
    </row>
    <row r="711" spans="1:10" outlineLevel="2">
      <c r="A711" s="191" t="s">
        <v>441</v>
      </c>
      <c r="B711" s="191" t="s">
        <v>439</v>
      </c>
      <c r="C711" s="191" t="s">
        <v>438</v>
      </c>
      <c r="D711" s="191" t="s">
        <v>1935</v>
      </c>
      <c r="E711" s="191" t="s">
        <v>2675</v>
      </c>
      <c r="F711" s="191" t="s">
        <v>2675</v>
      </c>
      <c r="G711" s="191">
        <v>7</v>
      </c>
      <c r="H711" s="192">
        <v>0</v>
      </c>
      <c r="I711" s="192">
        <v>192.65</v>
      </c>
      <c r="J711" s="192">
        <f>SUM(H711:I711)</f>
        <v>192.65</v>
      </c>
    </row>
    <row r="712" spans="1:10" outlineLevel="2">
      <c r="A712" s="191" t="s">
        <v>441</v>
      </c>
      <c r="B712" s="191" t="s">
        <v>439</v>
      </c>
      <c r="C712" s="191" t="s">
        <v>438</v>
      </c>
      <c r="D712" s="191" t="s">
        <v>1936</v>
      </c>
      <c r="E712" s="191" t="s">
        <v>2630</v>
      </c>
      <c r="F712" s="191" t="s">
        <v>2617</v>
      </c>
      <c r="G712" s="191">
        <v>14</v>
      </c>
      <c r="H712" s="192">
        <v>0</v>
      </c>
      <c r="I712" s="192">
        <v>393.52</v>
      </c>
      <c r="J712" s="192">
        <f>SUM(H712:I712)</f>
        <v>393.52</v>
      </c>
    </row>
    <row r="713" spans="1:10" outlineLevel="2">
      <c r="A713" s="191" t="s">
        <v>441</v>
      </c>
      <c r="B713" s="191" t="s">
        <v>439</v>
      </c>
      <c r="C713" s="191" t="s">
        <v>438</v>
      </c>
      <c r="D713" s="191" t="s">
        <v>1932</v>
      </c>
      <c r="E713" s="191" t="s">
        <v>2719</v>
      </c>
      <c r="F713" s="191" t="s">
        <v>2608</v>
      </c>
      <c r="G713" s="191">
        <v>21</v>
      </c>
      <c r="H713" s="192">
        <v>0</v>
      </c>
      <c r="I713" s="192">
        <v>491.37</v>
      </c>
      <c r="J713" s="192">
        <f>SUM(H713:I713)</f>
        <v>491.37</v>
      </c>
    </row>
    <row r="714" spans="1:10" outlineLevel="2">
      <c r="A714" s="191" t="s">
        <v>2860</v>
      </c>
      <c r="B714" s="191" t="s">
        <v>439</v>
      </c>
      <c r="C714" s="191" t="s">
        <v>438</v>
      </c>
      <c r="D714" s="191" t="s">
        <v>1931</v>
      </c>
      <c r="E714" s="191" t="s">
        <v>2703</v>
      </c>
      <c r="F714" s="191" t="s">
        <v>2678</v>
      </c>
      <c r="G714" s="191">
        <v>14</v>
      </c>
      <c r="H714" s="192">
        <v>0</v>
      </c>
      <c r="I714" s="192">
        <v>267.66000000000003</v>
      </c>
      <c r="J714" s="192">
        <f>SUM(H714:I714)</f>
        <v>267.66000000000003</v>
      </c>
    </row>
    <row r="715" spans="1:10" outlineLevel="2">
      <c r="A715" s="191" t="s">
        <v>442</v>
      </c>
      <c r="B715" s="191" t="s">
        <v>112</v>
      </c>
      <c r="C715" s="191" t="s">
        <v>438</v>
      </c>
      <c r="D715" s="191" t="s">
        <v>1937</v>
      </c>
      <c r="E715" s="191" t="s">
        <v>2693</v>
      </c>
      <c r="F715" s="191" t="s">
        <v>2711</v>
      </c>
      <c r="G715" s="191">
        <v>21</v>
      </c>
      <c r="H715" s="192">
        <v>0</v>
      </c>
      <c r="I715" s="192">
        <v>176.07</v>
      </c>
      <c r="J715" s="192">
        <f>SUM(H715:I715)</f>
        <v>176.07</v>
      </c>
    </row>
    <row r="716" spans="1:10" outlineLevel="2">
      <c r="A716" s="191" t="s">
        <v>442</v>
      </c>
      <c r="B716" s="191" t="s">
        <v>116</v>
      </c>
      <c r="C716" s="191" t="s">
        <v>438</v>
      </c>
      <c r="D716" s="191" t="s">
        <v>1931</v>
      </c>
      <c r="E716" s="191" t="s">
        <v>2703</v>
      </c>
      <c r="F716" s="191" t="s">
        <v>2676</v>
      </c>
      <c r="G716" s="191">
        <v>21</v>
      </c>
      <c r="H716" s="192">
        <v>0</v>
      </c>
      <c r="I716" s="192">
        <v>190.26</v>
      </c>
      <c r="J716" s="192">
        <f>SUM(H716:I716)</f>
        <v>190.26</v>
      </c>
    </row>
    <row r="717" spans="1:10" outlineLevel="2">
      <c r="A717" s="191" t="s">
        <v>442</v>
      </c>
      <c r="B717" s="191" t="s">
        <v>116</v>
      </c>
      <c r="C717" s="191" t="s">
        <v>438</v>
      </c>
      <c r="D717" s="191" t="s">
        <v>1938</v>
      </c>
      <c r="E717" s="191" t="s">
        <v>2648</v>
      </c>
      <c r="F717" s="191" t="s">
        <v>2649</v>
      </c>
      <c r="G717" s="191" t="s">
        <v>2760</v>
      </c>
      <c r="H717" s="192">
        <v>0</v>
      </c>
      <c r="I717" s="192">
        <v>0</v>
      </c>
      <c r="J717" s="192">
        <f>SUM(H717:I717)</f>
        <v>0</v>
      </c>
    </row>
    <row r="718" spans="1:10" outlineLevel="2">
      <c r="A718" s="191" t="s">
        <v>443</v>
      </c>
      <c r="B718" s="191" t="s">
        <v>116</v>
      </c>
      <c r="C718" s="191" t="s">
        <v>438</v>
      </c>
      <c r="D718" s="191" t="s">
        <v>1939</v>
      </c>
      <c r="E718" s="191" t="s">
        <v>2648</v>
      </c>
      <c r="F718" s="191" t="s">
        <v>2649</v>
      </c>
      <c r="G718" s="191">
        <v>14</v>
      </c>
      <c r="H718" s="192">
        <v>0</v>
      </c>
      <c r="I718" s="192">
        <v>126.22</v>
      </c>
      <c r="J718" s="192">
        <f>SUM(H718:I718)</f>
        <v>126.22</v>
      </c>
    </row>
    <row r="719" spans="1:10" outlineLevel="2">
      <c r="A719" s="191" t="s">
        <v>2861</v>
      </c>
      <c r="B719" s="191" t="s">
        <v>147</v>
      </c>
      <c r="C719" s="191" t="s">
        <v>438</v>
      </c>
      <c r="D719" s="191" t="s">
        <v>1932</v>
      </c>
      <c r="E719" s="191" t="s">
        <v>2637</v>
      </c>
      <c r="F719" s="191" t="s">
        <v>2608</v>
      </c>
      <c r="G719" s="191">
        <v>28</v>
      </c>
      <c r="H719" s="192">
        <v>0</v>
      </c>
      <c r="I719" s="192">
        <v>221.76</v>
      </c>
      <c r="J719" s="192">
        <f>SUM(H719:I719)</f>
        <v>221.76</v>
      </c>
    </row>
    <row r="720" spans="1:10" outlineLevel="2">
      <c r="A720" s="191" t="s">
        <v>2861</v>
      </c>
      <c r="B720" s="191" t="s">
        <v>112</v>
      </c>
      <c r="C720" s="191" t="s">
        <v>438</v>
      </c>
      <c r="D720" s="191" t="s">
        <v>1940</v>
      </c>
      <c r="E720" s="191" t="s">
        <v>2718</v>
      </c>
      <c r="F720" s="191" t="s">
        <v>2718</v>
      </c>
      <c r="G720" s="191">
        <v>7</v>
      </c>
      <c r="H720" s="192">
        <v>0</v>
      </c>
      <c r="I720" s="192">
        <v>58.97</v>
      </c>
      <c r="J720" s="192">
        <f>SUM(H720:I720)</f>
        <v>58.97</v>
      </c>
    </row>
    <row r="721" spans="1:10" outlineLevel="2">
      <c r="A721" s="191" t="s">
        <v>2861</v>
      </c>
      <c r="B721" s="191" t="s">
        <v>112</v>
      </c>
      <c r="C721" s="191" t="s">
        <v>438</v>
      </c>
      <c r="D721" s="191" t="s">
        <v>1931</v>
      </c>
      <c r="E721" s="191" t="s">
        <v>2703</v>
      </c>
      <c r="F721" s="191" t="s">
        <v>2676</v>
      </c>
      <c r="G721" s="191">
        <v>21</v>
      </c>
      <c r="H721" s="192">
        <v>0</v>
      </c>
      <c r="I721" s="192">
        <v>176.91</v>
      </c>
      <c r="J721" s="192">
        <f>SUM(H721:I721)</f>
        <v>176.91</v>
      </c>
    </row>
    <row r="722" spans="1:10" outlineLevel="2">
      <c r="A722" s="191" t="s">
        <v>444</v>
      </c>
      <c r="B722" s="191" t="s">
        <v>439</v>
      </c>
      <c r="C722" s="191" t="s">
        <v>438</v>
      </c>
      <c r="D722" s="191" t="s">
        <v>1931</v>
      </c>
      <c r="E722" s="191" t="s">
        <v>2703</v>
      </c>
      <c r="F722" s="191" t="s">
        <v>2676</v>
      </c>
      <c r="G722" s="191">
        <v>21</v>
      </c>
      <c r="H722" s="192">
        <v>0</v>
      </c>
      <c r="I722" s="192">
        <v>401.49</v>
      </c>
      <c r="J722" s="192">
        <f>SUM(H722:I722)</f>
        <v>401.49</v>
      </c>
    </row>
    <row r="723" spans="1:10" outlineLevel="1">
      <c r="A723" s="193" t="s">
        <v>3016</v>
      </c>
      <c r="B723" s="194"/>
      <c r="C723" s="194"/>
      <c r="D723" s="194"/>
      <c r="E723" s="194"/>
      <c r="F723" s="194"/>
      <c r="G723" s="194">
        <f>SUBTOTAL(9,G707:G722)</f>
        <v>259</v>
      </c>
      <c r="H723" s="195">
        <f>SUBTOTAL(9,H707:H722)</f>
        <v>0</v>
      </c>
      <c r="I723" s="195">
        <f>SUBTOTAL(9,I707:I722)</f>
        <v>3949.58</v>
      </c>
      <c r="J723" s="195">
        <f>SUBTOTAL(9,J707:J722)</f>
        <v>3949.58</v>
      </c>
    </row>
    <row r="724" spans="1:10" outlineLevel="2">
      <c r="A724" s="191" t="s">
        <v>445</v>
      </c>
      <c r="B724" s="191" t="s">
        <v>446</v>
      </c>
      <c r="C724" s="191" t="s">
        <v>447</v>
      </c>
      <c r="D724" s="191" t="s">
        <v>1941</v>
      </c>
      <c r="E724" s="191" t="s">
        <v>2607</v>
      </c>
      <c r="F724" s="191" t="s">
        <v>1500</v>
      </c>
      <c r="G724" s="191">
        <v>21</v>
      </c>
      <c r="H724" s="192">
        <v>0</v>
      </c>
      <c r="I724" s="192">
        <v>409.29</v>
      </c>
      <c r="J724" s="192">
        <f>SUM(H724:I724)</f>
        <v>409.29</v>
      </c>
    </row>
    <row r="725" spans="1:10" outlineLevel="2">
      <c r="A725" s="191" t="s">
        <v>2862</v>
      </c>
      <c r="B725" s="191" t="s">
        <v>431</v>
      </c>
      <c r="C725" s="191" t="s">
        <v>447</v>
      </c>
      <c r="D725" s="191" t="s">
        <v>1942</v>
      </c>
      <c r="E725" s="191" t="s">
        <v>2594</v>
      </c>
      <c r="F725" s="191" t="s">
        <v>2588</v>
      </c>
      <c r="G725" s="191">
        <v>14</v>
      </c>
      <c r="H725" s="192">
        <v>0</v>
      </c>
      <c r="I725" s="192">
        <v>365.14</v>
      </c>
      <c r="J725" s="192">
        <f>SUM(H725:I725)</f>
        <v>365.14</v>
      </c>
    </row>
    <row r="726" spans="1:10" outlineLevel="2">
      <c r="A726" s="191" t="s">
        <v>2862</v>
      </c>
      <c r="B726" s="191" t="s">
        <v>431</v>
      </c>
      <c r="C726" s="191" t="s">
        <v>447</v>
      </c>
      <c r="D726" s="191" t="s">
        <v>1943</v>
      </c>
      <c r="E726" s="191" t="s">
        <v>2650</v>
      </c>
      <c r="F726" s="191" t="s">
        <v>2646</v>
      </c>
      <c r="G726" s="191">
        <v>14</v>
      </c>
      <c r="H726" s="192">
        <v>0</v>
      </c>
      <c r="I726" s="192">
        <v>302.3</v>
      </c>
      <c r="J726" s="192">
        <f>SUM(H726:I726)</f>
        <v>302.3</v>
      </c>
    </row>
    <row r="727" spans="1:10" outlineLevel="2">
      <c r="A727" s="191" t="s">
        <v>2863</v>
      </c>
      <c r="B727" s="191" t="s">
        <v>147</v>
      </c>
      <c r="C727" s="191" t="s">
        <v>447</v>
      </c>
      <c r="D727" s="191" t="s">
        <v>1944</v>
      </c>
      <c r="E727" s="191" t="s">
        <v>2603</v>
      </c>
      <c r="F727" s="191" t="s">
        <v>2603</v>
      </c>
      <c r="G727" s="191">
        <v>7</v>
      </c>
      <c r="H727" s="192">
        <v>0</v>
      </c>
      <c r="I727" s="192">
        <v>54.53</v>
      </c>
      <c r="J727" s="192">
        <f>SUM(H727:I727)</f>
        <v>54.53</v>
      </c>
    </row>
    <row r="728" spans="1:10" outlineLevel="2">
      <c r="A728" s="191" t="s">
        <v>2863</v>
      </c>
      <c r="B728" s="191" t="s">
        <v>147</v>
      </c>
      <c r="C728" s="191" t="s">
        <v>447</v>
      </c>
      <c r="D728" s="191" t="s">
        <v>1945</v>
      </c>
      <c r="E728" s="191" t="s">
        <v>2702</v>
      </c>
      <c r="F728" s="191" t="s">
        <v>2640</v>
      </c>
      <c r="G728" s="191">
        <v>21</v>
      </c>
      <c r="H728" s="192">
        <v>0</v>
      </c>
      <c r="I728" s="192">
        <v>163.59</v>
      </c>
      <c r="J728" s="192">
        <f>SUM(H728:I728)</f>
        <v>163.59</v>
      </c>
    </row>
    <row r="729" spans="1:10" outlineLevel="2">
      <c r="A729" s="191" t="s">
        <v>2864</v>
      </c>
      <c r="B729" s="191" t="s">
        <v>147</v>
      </c>
      <c r="C729" s="191" t="s">
        <v>447</v>
      </c>
      <c r="D729" s="191" t="s">
        <v>1946</v>
      </c>
      <c r="E729" s="191" t="s">
        <v>2713</v>
      </c>
      <c r="F729" s="191" t="s">
        <v>2713</v>
      </c>
      <c r="G729" s="191">
        <v>7</v>
      </c>
      <c r="H729" s="192">
        <v>100</v>
      </c>
      <c r="I729" s="192">
        <v>54.26</v>
      </c>
      <c r="J729" s="192">
        <f>SUM(H729:I729)</f>
        <v>154.26</v>
      </c>
    </row>
    <row r="730" spans="1:10" outlineLevel="2">
      <c r="A730" s="191" t="s">
        <v>2864</v>
      </c>
      <c r="B730" s="191" t="s">
        <v>147</v>
      </c>
      <c r="C730" s="191" t="s">
        <v>447</v>
      </c>
      <c r="D730" s="191" t="s">
        <v>1947</v>
      </c>
      <c r="E730" s="191" t="s">
        <v>2613</v>
      </c>
      <c r="F730" s="191" t="s">
        <v>2614</v>
      </c>
      <c r="G730" s="191">
        <v>21</v>
      </c>
      <c r="H730" s="192">
        <v>0</v>
      </c>
      <c r="I730" s="192">
        <v>157.53</v>
      </c>
      <c r="J730" s="192">
        <f>SUM(H730:I730)</f>
        <v>157.53</v>
      </c>
    </row>
    <row r="731" spans="1:10" outlineLevel="2">
      <c r="A731" s="191" t="s">
        <v>2864</v>
      </c>
      <c r="B731" s="191" t="s">
        <v>112</v>
      </c>
      <c r="C731" s="191" t="s">
        <v>447</v>
      </c>
      <c r="D731" s="191" t="s">
        <v>1944</v>
      </c>
      <c r="E731" s="191" t="s">
        <v>2603</v>
      </c>
      <c r="F731" s="191" t="s">
        <v>2603</v>
      </c>
      <c r="G731" s="191">
        <v>7</v>
      </c>
      <c r="H731" s="192">
        <v>0</v>
      </c>
      <c r="I731" s="192">
        <v>58.97</v>
      </c>
      <c r="J731" s="192">
        <f>SUM(H731:I731)</f>
        <v>58.97</v>
      </c>
    </row>
    <row r="732" spans="1:10" outlineLevel="2">
      <c r="A732" s="191" t="s">
        <v>448</v>
      </c>
      <c r="B732" s="191" t="s">
        <v>189</v>
      </c>
      <c r="C732" s="191" t="s">
        <v>447</v>
      </c>
      <c r="D732" s="191" t="s">
        <v>1948</v>
      </c>
      <c r="E732" s="191" t="s">
        <v>2713</v>
      </c>
      <c r="F732" s="191" t="s">
        <v>2715</v>
      </c>
      <c r="G732" s="191">
        <v>14</v>
      </c>
      <c r="H732" s="192">
        <v>0</v>
      </c>
      <c r="I732" s="192">
        <v>135.06</v>
      </c>
      <c r="J732" s="192">
        <f>SUM(H732:I732)</f>
        <v>135.06</v>
      </c>
    </row>
    <row r="733" spans="1:10" outlineLevel="2">
      <c r="A733" s="191" t="s">
        <v>448</v>
      </c>
      <c r="B733" s="191" t="s">
        <v>189</v>
      </c>
      <c r="C733" s="191" t="s">
        <v>447</v>
      </c>
      <c r="D733" s="191" t="s">
        <v>1949</v>
      </c>
      <c r="E733" s="191" t="s">
        <v>2711</v>
      </c>
      <c r="F733" s="191" t="s">
        <v>2589</v>
      </c>
      <c r="G733" s="191">
        <v>14</v>
      </c>
      <c r="H733" s="192">
        <v>0</v>
      </c>
      <c r="I733" s="192">
        <v>135.06</v>
      </c>
      <c r="J733" s="192">
        <f>SUM(H733:I733)</f>
        <v>135.06</v>
      </c>
    </row>
    <row r="734" spans="1:10" outlineLevel="2">
      <c r="A734" s="191" t="s">
        <v>449</v>
      </c>
      <c r="B734" s="191" t="s">
        <v>116</v>
      </c>
      <c r="C734" s="191" t="s">
        <v>447</v>
      </c>
      <c r="D734" s="191" t="s">
        <v>1950</v>
      </c>
      <c r="E734" s="191" t="s">
        <v>2729</v>
      </c>
      <c r="F734" s="191" t="s">
        <v>2730</v>
      </c>
      <c r="G734" s="191">
        <v>0</v>
      </c>
      <c r="H734" s="192">
        <v>100</v>
      </c>
      <c r="I734" s="192">
        <v>0</v>
      </c>
      <c r="J734" s="192">
        <f>SUM(H734:I734)</f>
        <v>100</v>
      </c>
    </row>
    <row r="735" spans="1:10" outlineLevel="2">
      <c r="A735" s="191" t="s">
        <v>449</v>
      </c>
      <c r="B735" s="191" t="s">
        <v>116</v>
      </c>
      <c r="C735" s="191" t="s">
        <v>447</v>
      </c>
      <c r="D735" s="191" t="s">
        <v>1951</v>
      </c>
      <c r="E735" s="191" t="s">
        <v>2700</v>
      </c>
      <c r="F735" s="191" t="s">
        <v>2614</v>
      </c>
      <c r="G735" s="191">
        <v>14</v>
      </c>
      <c r="H735" s="192">
        <v>0</v>
      </c>
      <c r="I735" s="192">
        <v>126.22</v>
      </c>
      <c r="J735" s="192">
        <f>SUM(H735:I735)</f>
        <v>126.22</v>
      </c>
    </row>
    <row r="736" spans="1:10" outlineLevel="2">
      <c r="A736" s="191" t="s">
        <v>449</v>
      </c>
      <c r="B736" s="191" t="s">
        <v>189</v>
      </c>
      <c r="C736" s="191" t="s">
        <v>447</v>
      </c>
      <c r="D736" s="191" t="s">
        <v>1945</v>
      </c>
      <c r="E736" s="191" t="s">
        <v>2702</v>
      </c>
      <c r="F736" s="191" t="s">
        <v>2640</v>
      </c>
      <c r="G736" s="191">
        <v>21</v>
      </c>
      <c r="H736" s="192">
        <v>0</v>
      </c>
      <c r="I736" s="192">
        <v>271.44</v>
      </c>
      <c r="J736" s="192">
        <f>SUM(H736:I736)</f>
        <v>271.44</v>
      </c>
    </row>
    <row r="737" spans="1:10" outlineLevel="2">
      <c r="A737" s="191" t="s">
        <v>450</v>
      </c>
      <c r="B737" s="191" t="s">
        <v>431</v>
      </c>
      <c r="C737" s="191" t="s">
        <v>447</v>
      </c>
      <c r="D737" s="191" t="s">
        <v>1952</v>
      </c>
      <c r="E737" s="191" t="s">
        <v>2660</v>
      </c>
      <c r="F737" s="191" t="s">
        <v>2660</v>
      </c>
      <c r="G737" s="191">
        <v>7</v>
      </c>
      <c r="H737" s="192">
        <v>0</v>
      </c>
      <c r="I737" s="192">
        <v>171.94</v>
      </c>
      <c r="J737" s="192">
        <f>SUM(H737:I737)</f>
        <v>171.94</v>
      </c>
    </row>
    <row r="738" spans="1:10" outlineLevel="2">
      <c r="A738" s="191" t="s">
        <v>450</v>
      </c>
      <c r="B738" s="191" t="s">
        <v>431</v>
      </c>
      <c r="C738" s="191" t="s">
        <v>447</v>
      </c>
      <c r="D738" s="191" t="s">
        <v>1945</v>
      </c>
      <c r="E738" s="191" t="s">
        <v>2702</v>
      </c>
      <c r="F738" s="191" t="s">
        <v>2702</v>
      </c>
      <c r="G738" s="191">
        <v>7</v>
      </c>
      <c r="H738" s="192">
        <v>0</v>
      </c>
      <c r="I738" s="192">
        <v>172.78</v>
      </c>
      <c r="J738" s="192">
        <f>SUM(H738:I738)</f>
        <v>172.78</v>
      </c>
    </row>
    <row r="739" spans="1:10" outlineLevel="2">
      <c r="A739" s="191" t="s">
        <v>450</v>
      </c>
      <c r="B739" s="191" t="s">
        <v>431</v>
      </c>
      <c r="C739" s="191" t="s">
        <v>447</v>
      </c>
      <c r="D739" s="191" t="s">
        <v>1943</v>
      </c>
      <c r="E739" s="191" t="s">
        <v>2650</v>
      </c>
      <c r="F739" s="191" t="s">
        <v>2646</v>
      </c>
      <c r="G739" s="191">
        <v>14</v>
      </c>
      <c r="H739" s="192">
        <v>0</v>
      </c>
      <c r="I739" s="192">
        <v>345.56</v>
      </c>
      <c r="J739" s="192">
        <f>SUM(H739:I739)</f>
        <v>345.56</v>
      </c>
    </row>
    <row r="740" spans="1:10" outlineLevel="2">
      <c r="A740" s="191" t="s">
        <v>450</v>
      </c>
      <c r="B740" s="191" t="s">
        <v>431</v>
      </c>
      <c r="C740" s="191" t="s">
        <v>447</v>
      </c>
      <c r="D740" s="191" t="s">
        <v>1947</v>
      </c>
      <c r="E740" s="191" t="s">
        <v>2613</v>
      </c>
      <c r="F740" s="191" t="s">
        <v>2614</v>
      </c>
      <c r="G740" s="191">
        <v>21</v>
      </c>
      <c r="H740" s="192">
        <v>0</v>
      </c>
      <c r="I740" s="192">
        <v>515.82000000000005</v>
      </c>
      <c r="J740" s="192">
        <f>SUM(H740:I740)</f>
        <v>515.82000000000005</v>
      </c>
    </row>
    <row r="741" spans="1:10" outlineLevel="2">
      <c r="A741" s="191" t="s">
        <v>451</v>
      </c>
      <c r="B741" s="191" t="s">
        <v>112</v>
      </c>
      <c r="C741" s="191" t="s">
        <v>447</v>
      </c>
      <c r="D741" s="191" t="s">
        <v>1953</v>
      </c>
      <c r="E741" s="191" t="s">
        <v>2596</v>
      </c>
      <c r="F741" s="191" t="s">
        <v>2596</v>
      </c>
      <c r="G741" s="191">
        <v>7</v>
      </c>
      <c r="H741" s="192">
        <v>0</v>
      </c>
      <c r="I741" s="192">
        <v>58.69</v>
      </c>
      <c r="J741" s="192">
        <f>SUM(H741:I741)</f>
        <v>58.69</v>
      </c>
    </row>
    <row r="742" spans="1:10" outlineLevel="2">
      <c r="A742" s="191" t="s">
        <v>451</v>
      </c>
      <c r="B742" s="191" t="s">
        <v>116</v>
      </c>
      <c r="C742" s="191" t="s">
        <v>447</v>
      </c>
      <c r="D742" s="191" t="s">
        <v>1945</v>
      </c>
      <c r="E742" s="191" t="s">
        <v>2702</v>
      </c>
      <c r="F742" s="191" t="s">
        <v>2640</v>
      </c>
      <c r="G742" s="191" t="s">
        <v>2760</v>
      </c>
      <c r="H742" s="192">
        <v>0</v>
      </c>
      <c r="I742" s="192">
        <v>0</v>
      </c>
      <c r="J742" s="192">
        <f>SUM(H742:I742)</f>
        <v>0</v>
      </c>
    </row>
    <row r="743" spans="1:10" outlineLevel="2">
      <c r="A743" s="191" t="s">
        <v>2865</v>
      </c>
      <c r="B743" s="191" t="s">
        <v>431</v>
      </c>
      <c r="C743" s="191" t="s">
        <v>447</v>
      </c>
      <c r="D743" s="191" t="s">
        <v>1954</v>
      </c>
      <c r="E743" s="191" t="s">
        <v>2630</v>
      </c>
      <c r="F743" s="191" t="s">
        <v>2617</v>
      </c>
      <c r="G743" s="191">
        <v>14</v>
      </c>
      <c r="H743" s="192">
        <v>0</v>
      </c>
      <c r="I743" s="192">
        <v>306.18</v>
      </c>
      <c r="J743" s="192">
        <f>SUM(H743:I743)</f>
        <v>306.18</v>
      </c>
    </row>
    <row r="744" spans="1:10" outlineLevel="2">
      <c r="A744" s="191" t="s">
        <v>2866</v>
      </c>
      <c r="B744" s="191" t="s">
        <v>431</v>
      </c>
      <c r="C744" s="191" t="s">
        <v>447</v>
      </c>
      <c r="D744" s="191" t="s">
        <v>1955</v>
      </c>
      <c r="E744" s="191" t="s">
        <v>1490</v>
      </c>
      <c r="F744" s="191" t="s">
        <v>1490</v>
      </c>
      <c r="G744" s="191">
        <v>7</v>
      </c>
      <c r="H744" s="192">
        <v>0</v>
      </c>
      <c r="I744" s="192">
        <v>135.54</v>
      </c>
      <c r="J744" s="192">
        <f>SUM(H744:I744)</f>
        <v>135.54</v>
      </c>
    </row>
    <row r="745" spans="1:10" outlineLevel="2">
      <c r="A745" s="191" t="s">
        <v>2866</v>
      </c>
      <c r="B745" s="191" t="s">
        <v>431</v>
      </c>
      <c r="C745" s="191" t="s">
        <v>447</v>
      </c>
      <c r="D745" s="191" t="s">
        <v>1945</v>
      </c>
      <c r="E745" s="191" t="s">
        <v>2702</v>
      </c>
      <c r="F745" s="191" t="s">
        <v>2640</v>
      </c>
      <c r="G745" s="191">
        <v>21</v>
      </c>
      <c r="H745" s="192">
        <v>0</v>
      </c>
      <c r="I745" s="192">
        <v>406.62</v>
      </c>
      <c r="J745" s="192">
        <f>SUM(H745:I745)</f>
        <v>406.62</v>
      </c>
    </row>
    <row r="746" spans="1:10" outlineLevel="2">
      <c r="A746" s="191" t="s">
        <v>433</v>
      </c>
      <c r="B746" s="191" t="s">
        <v>431</v>
      </c>
      <c r="C746" s="191" t="s">
        <v>447</v>
      </c>
      <c r="D746" s="191" t="s">
        <v>1956</v>
      </c>
      <c r="E746" s="191" t="s">
        <v>1482</v>
      </c>
      <c r="F746" s="191" t="s">
        <v>1482</v>
      </c>
      <c r="G746" s="191">
        <v>7</v>
      </c>
      <c r="H746" s="192">
        <v>0</v>
      </c>
      <c r="I746" s="192">
        <v>134.88</v>
      </c>
      <c r="J746" s="192">
        <f>SUM(H746:I746)</f>
        <v>134.88</v>
      </c>
    </row>
    <row r="747" spans="1:10" outlineLevel="2">
      <c r="A747" s="191" t="s">
        <v>433</v>
      </c>
      <c r="B747" s="191" t="s">
        <v>431</v>
      </c>
      <c r="C747" s="191" t="s">
        <v>447</v>
      </c>
      <c r="D747" s="191" t="s">
        <v>1957</v>
      </c>
      <c r="E747" s="191" t="s">
        <v>2589</v>
      </c>
      <c r="F747" s="191" t="s">
        <v>2589</v>
      </c>
      <c r="G747" s="191">
        <v>7</v>
      </c>
      <c r="H747" s="192">
        <v>0</v>
      </c>
      <c r="I747" s="192">
        <v>134.88</v>
      </c>
      <c r="J747" s="192">
        <f>SUM(H747:I747)</f>
        <v>134.88</v>
      </c>
    </row>
    <row r="748" spans="1:10" outlineLevel="2">
      <c r="A748" s="191" t="s">
        <v>433</v>
      </c>
      <c r="B748" s="191" t="s">
        <v>431</v>
      </c>
      <c r="C748" s="191" t="s">
        <v>447</v>
      </c>
      <c r="D748" s="191" t="s">
        <v>1958</v>
      </c>
      <c r="E748" s="191" t="s">
        <v>2612</v>
      </c>
      <c r="F748" s="191" t="s">
        <v>2612</v>
      </c>
      <c r="G748" s="191">
        <v>7</v>
      </c>
      <c r="H748" s="192">
        <v>0</v>
      </c>
      <c r="I748" s="192">
        <v>134.88</v>
      </c>
      <c r="J748" s="192">
        <f>SUM(H748:I748)</f>
        <v>134.88</v>
      </c>
    </row>
    <row r="749" spans="1:10" outlineLevel="2">
      <c r="A749" s="191" t="s">
        <v>433</v>
      </c>
      <c r="B749" s="191" t="s">
        <v>431</v>
      </c>
      <c r="C749" s="191" t="s">
        <v>447</v>
      </c>
      <c r="D749" s="191" t="s">
        <v>1959</v>
      </c>
      <c r="E749" s="191" t="s">
        <v>1499</v>
      </c>
      <c r="F749" s="191" t="s">
        <v>1499</v>
      </c>
      <c r="G749" s="191">
        <v>7</v>
      </c>
      <c r="H749" s="192">
        <v>0</v>
      </c>
      <c r="I749" s="192">
        <v>137.25</v>
      </c>
      <c r="J749" s="192">
        <f>SUM(H749:I749)</f>
        <v>137.25</v>
      </c>
    </row>
    <row r="750" spans="1:10" outlineLevel="2">
      <c r="A750" s="191" t="s">
        <v>433</v>
      </c>
      <c r="B750" s="191" t="s">
        <v>431</v>
      </c>
      <c r="C750" s="191" t="s">
        <v>447</v>
      </c>
      <c r="D750" s="191" t="s">
        <v>1960</v>
      </c>
      <c r="E750" s="191" t="s">
        <v>2594</v>
      </c>
      <c r="F750" s="191" t="s">
        <v>2588</v>
      </c>
      <c r="G750" s="191">
        <v>14</v>
      </c>
      <c r="H750" s="192">
        <v>0</v>
      </c>
      <c r="I750" s="192">
        <v>269.76</v>
      </c>
      <c r="J750" s="192">
        <f>SUM(H750:I750)</f>
        <v>269.76</v>
      </c>
    </row>
    <row r="751" spans="1:10" outlineLevel="2">
      <c r="A751" s="191" t="s">
        <v>2867</v>
      </c>
      <c r="B751" s="191" t="s">
        <v>431</v>
      </c>
      <c r="C751" s="191" t="s">
        <v>447</v>
      </c>
      <c r="D751" s="191" t="s">
        <v>1949</v>
      </c>
      <c r="E751" s="191" t="s">
        <v>2711</v>
      </c>
      <c r="F751" s="191" t="s">
        <v>2589</v>
      </c>
      <c r="G751" s="191">
        <v>14</v>
      </c>
      <c r="H751" s="192">
        <v>0</v>
      </c>
      <c r="I751" s="192">
        <v>273.18</v>
      </c>
      <c r="J751" s="192">
        <f>SUM(H751:I751)</f>
        <v>273.18</v>
      </c>
    </row>
    <row r="752" spans="1:10" outlineLevel="2">
      <c r="A752" s="191" t="s">
        <v>2868</v>
      </c>
      <c r="B752" s="191" t="s">
        <v>431</v>
      </c>
      <c r="C752" s="191" t="s">
        <v>447</v>
      </c>
      <c r="D752" s="191" t="s">
        <v>1961</v>
      </c>
      <c r="E752" s="191" t="s">
        <v>2711</v>
      </c>
      <c r="F752" s="191" t="s">
        <v>2589</v>
      </c>
      <c r="G752" s="191">
        <v>14</v>
      </c>
      <c r="H752" s="192">
        <v>0</v>
      </c>
      <c r="I752" s="192">
        <v>266.36</v>
      </c>
      <c r="J752" s="192">
        <f>SUM(H752:I752)</f>
        <v>266.36</v>
      </c>
    </row>
    <row r="753" spans="1:10" outlineLevel="2">
      <c r="A753" s="191" t="s">
        <v>452</v>
      </c>
      <c r="B753" s="191" t="s">
        <v>431</v>
      </c>
      <c r="C753" s="191" t="s">
        <v>447</v>
      </c>
      <c r="D753" s="191" t="s">
        <v>1945</v>
      </c>
      <c r="E753" s="191" t="s">
        <v>2702</v>
      </c>
      <c r="F753" s="191" t="s">
        <v>2640</v>
      </c>
      <c r="G753" s="191">
        <v>21</v>
      </c>
      <c r="H753" s="192">
        <v>0</v>
      </c>
      <c r="I753" s="192">
        <v>486.06</v>
      </c>
      <c r="J753" s="192">
        <f>SUM(H753:I753)</f>
        <v>486.06</v>
      </c>
    </row>
    <row r="754" spans="1:10" outlineLevel="2">
      <c r="A754" s="191" t="s">
        <v>2869</v>
      </c>
      <c r="B754" s="191" t="s">
        <v>189</v>
      </c>
      <c r="C754" s="191" t="s">
        <v>447</v>
      </c>
      <c r="D754" s="191" t="s">
        <v>1949</v>
      </c>
      <c r="E754" s="191" t="s">
        <v>2711</v>
      </c>
      <c r="F754" s="191" t="s">
        <v>2589</v>
      </c>
      <c r="G754" s="191">
        <v>14</v>
      </c>
      <c r="H754" s="192">
        <v>0</v>
      </c>
      <c r="I754" s="192">
        <v>135.06</v>
      </c>
      <c r="J754" s="192">
        <f>SUM(H754:I754)</f>
        <v>135.06</v>
      </c>
    </row>
    <row r="755" spans="1:10" outlineLevel="2">
      <c r="A755" s="191" t="s">
        <v>2869</v>
      </c>
      <c r="B755" s="191" t="s">
        <v>189</v>
      </c>
      <c r="C755" s="191" t="s">
        <v>447</v>
      </c>
      <c r="D755" s="191" t="s">
        <v>1962</v>
      </c>
      <c r="E755" s="191" t="s">
        <v>1484</v>
      </c>
      <c r="F755" s="191" t="s">
        <v>1485</v>
      </c>
      <c r="G755" s="191">
        <v>21</v>
      </c>
      <c r="H755" s="192">
        <v>0</v>
      </c>
      <c r="I755" s="192">
        <v>202.59</v>
      </c>
      <c r="J755" s="192">
        <f>SUM(H755:I755)</f>
        <v>202.59</v>
      </c>
    </row>
    <row r="756" spans="1:10" outlineLevel="2">
      <c r="A756" s="191" t="s">
        <v>454</v>
      </c>
      <c r="B756" s="191" t="s">
        <v>431</v>
      </c>
      <c r="C756" s="191" t="s">
        <v>447</v>
      </c>
      <c r="D756" s="191" t="s">
        <v>1963</v>
      </c>
      <c r="E756" s="191" t="s">
        <v>2659</v>
      </c>
      <c r="F756" s="191" t="s">
        <v>2628</v>
      </c>
      <c r="G756" s="191">
        <v>14</v>
      </c>
      <c r="H756" s="192">
        <v>0</v>
      </c>
      <c r="I756" s="192">
        <v>324.27999999999997</v>
      </c>
      <c r="J756" s="192">
        <f>SUM(H756:I756)</f>
        <v>324.27999999999997</v>
      </c>
    </row>
    <row r="757" spans="1:10" outlineLevel="2">
      <c r="A757" s="191" t="s">
        <v>454</v>
      </c>
      <c r="B757" s="191" t="s">
        <v>431</v>
      </c>
      <c r="C757" s="191" t="s">
        <v>447</v>
      </c>
      <c r="D757" s="191" t="s">
        <v>1964</v>
      </c>
      <c r="E757" s="191" t="s">
        <v>2594</v>
      </c>
      <c r="F757" s="191" t="s">
        <v>2588</v>
      </c>
      <c r="G757" s="191">
        <v>14</v>
      </c>
      <c r="H757" s="192">
        <v>0</v>
      </c>
      <c r="I757" s="192">
        <v>324.27999999999997</v>
      </c>
      <c r="J757" s="192">
        <f>SUM(H757:I757)</f>
        <v>324.27999999999997</v>
      </c>
    </row>
    <row r="758" spans="1:10" outlineLevel="2">
      <c r="A758" s="191" t="s">
        <v>454</v>
      </c>
      <c r="B758" s="191" t="s">
        <v>431</v>
      </c>
      <c r="C758" s="191" t="s">
        <v>447</v>
      </c>
      <c r="D758" s="191" t="s">
        <v>1949</v>
      </c>
      <c r="E758" s="191" t="s">
        <v>2711</v>
      </c>
      <c r="F758" s="191" t="s">
        <v>2589</v>
      </c>
      <c r="G758" s="191">
        <v>14</v>
      </c>
      <c r="H758" s="192">
        <v>0</v>
      </c>
      <c r="I758" s="192">
        <v>529.04</v>
      </c>
      <c r="J758" s="192">
        <f>SUM(H758:I758)</f>
        <v>529.04</v>
      </c>
    </row>
    <row r="759" spans="1:10" outlineLevel="2">
      <c r="A759" s="191" t="s">
        <v>454</v>
      </c>
      <c r="B759" s="191" t="s">
        <v>431</v>
      </c>
      <c r="C759" s="191" t="s">
        <v>447</v>
      </c>
      <c r="D759" s="191" t="s">
        <v>1945</v>
      </c>
      <c r="E759" s="191" t="s">
        <v>2645</v>
      </c>
      <c r="F759" s="191" t="s">
        <v>2640</v>
      </c>
      <c r="G759" s="191">
        <v>14</v>
      </c>
      <c r="H759" s="192">
        <v>0</v>
      </c>
      <c r="I759" s="192">
        <v>369.34</v>
      </c>
      <c r="J759" s="192">
        <f>SUM(H759:I759)</f>
        <v>369.34</v>
      </c>
    </row>
    <row r="760" spans="1:10" outlineLevel="2">
      <c r="A760" s="191" t="s">
        <v>455</v>
      </c>
      <c r="B760" s="191" t="s">
        <v>431</v>
      </c>
      <c r="C760" s="191" t="s">
        <v>447</v>
      </c>
      <c r="D760" s="191" t="s">
        <v>1965</v>
      </c>
      <c r="E760" s="191" t="s">
        <v>2619</v>
      </c>
      <c r="F760" s="191" t="s">
        <v>1495</v>
      </c>
      <c r="G760" s="191">
        <v>21</v>
      </c>
      <c r="H760" s="192">
        <v>0</v>
      </c>
      <c r="I760" s="192">
        <v>408.81</v>
      </c>
      <c r="J760" s="192">
        <f>SUM(H760:I760)</f>
        <v>408.81</v>
      </c>
    </row>
    <row r="761" spans="1:10" outlineLevel="2">
      <c r="A761" s="191" t="s">
        <v>455</v>
      </c>
      <c r="B761" s="191" t="s">
        <v>431</v>
      </c>
      <c r="C761" s="191" t="s">
        <v>447</v>
      </c>
      <c r="D761" s="191" t="s">
        <v>1925</v>
      </c>
      <c r="E761" s="191" t="s">
        <v>2723</v>
      </c>
      <c r="F761" s="191" t="s">
        <v>2702</v>
      </c>
      <c r="G761" s="191">
        <v>21</v>
      </c>
      <c r="H761" s="192">
        <v>0</v>
      </c>
      <c r="I761" s="192">
        <v>410.82</v>
      </c>
      <c r="J761" s="192">
        <f>SUM(H761:I761)</f>
        <v>410.82</v>
      </c>
    </row>
    <row r="762" spans="1:10" outlineLevel="2">
      <c r="A762" s="191" t="s">
        <v>457</v>
      </c>
      <c r="B762" s="191" t="s">
        <v>431</v>
      </c>
      <c r="C762" s="191" t="s">
        <v>447</v>
      </c>
      <c r="D762" s="191" t="s">
        <v>1961</v>
      </c>
      <c r="E762" s="191" t="s">
        <v>2711</v>
      </c>
      <c r="F762" s="191" t="s">
        <v>2589</v>
      </c>
      <c r="G762" s="191">
        <v>14</v>
      </c>
      <c r="H762" s="192">
        <v>0</v>
      </c>
      <c r="I762" s="192">
        <v>276.58</v>
      </c>
      <c r="J762" s="192">
        <f>SUM(H762:I762)</f>
        <v>276.58</v>
      </c>
    </row>
    <row r="763" spans="1:10" outlineLevel="2">
      <c r="A763" s="191" t="s">
        <v>457</v>
      </c>
      <c r="B763" s="191" t="s">
        <v>431</v>
      </c>
      <c r="C763" s="191" t="s">
        <v>447</v>
      </c>
      <c r="D763" s="191" t="s">
        <v>1966</v>
      </c>
      <c r="E763" s="191" t="s">
        <v>2634</v>
      </c>
      <c r="F763" s="191" t="s">
        <v>2626</v>
      </c>
      <c r="G763" s="191">
        <v>14</v>
      </c>
      <c r="H763" s="192">
        <v>0</v>
      </c>
      <c r="I763" s="192">
        <v>277.94</v>
      </c>
      <c r="J763" s="192">
        <f>SUM(H763:I763)</f>
        <v>277.94</v>
      </c>
    </row>
    <row r="764" spans="1:10" outlineLevel="2">
      <c r="A764" s="191" t="s">
        <v>458</v>
      </c>
      <c r="B764" s="191" t="s">
        <v>431</v>
      </c>
      <c r="C764" s="191" t="s">
        <v>447</v>
      </c>
      <c r="D764" s="191" t="s">
        <v>1967</v>
      </c>
      <c r="E764" s="191" t="s">
        <v>2660</v>
      </c>
      <c r="F764" s="191" t="s">
        <v>2660</v>
      </c>
      <c r="G764" s="191">
        <v>7</v>
      </c>
      <c r="H764" s="192">
        <v>0</v>
      </c>
      <c r="I764" s="192">
        <v>179.6</v>
      </c>
      <c r="J764" s="192">
        <f>SUM(H764:I764)</f>
        <v>179.6</v>
      </c>
    </row>
    <row r="765" spans="1:10" outlineLevel="2">
      <c r="A765" s="191" t="s">
        <v>458</v>
      </c>
      <c r="B765" s="191" t="s">
        <v>431</v>
      </c>
      <c r="C765" s="191" t="s">
        <v>447</v>
      </c>
      <c r="D765" s="191" t="s">
        <v>1945</v>
      </c>
      <c r="E765" s="191" t="s">
        <v>2702</v>
      </c>
      <c r="F765" s="191" t="s">
        <v>2640</v>
      </c>
      <c r="G765" s="191">
        <v>21</v>
      </c>
      <c r="H765" s="192">
        <v>0</v>
      </c>
      <c r="I765" s="192">
        <v>546.57000000000005</v>
      </c>
      <c r="J765" s="192">
        <f>SUM(H765:I765)</f>
        <v>546.57000000000005</v>
      </c>
    </row>
    <row r="766" spans="1:10" outlineLevel="2">
      <c r="A766" s="191" t="s">
        <v>2870</v>
      </c>
      <c r="B766" s="191" t="s">
        <v>116</v>
      </c>
      <c r="C766" s="191" t="s">
        <v>447</v>
      </c>
      <c r="D766" s="191" t="s">
        <v>1968</v>
      </c>
      <c r="E766" s="191" t="s">
        <v>2588</v>
      </c>
      <c r="F766" s="191" t="s">
        <v>2588</v>
      </c>
      <c r="G766" s="191" t="s">
        <v>2760</v>
      </c>
      <c r="H766" s="192">
        <v>0</v>
      </c>
      <c r="I766" s="192">
        <v>0</v>
      </c>
      <c r="J766" s="192">
        <f>SUM(H766:I766)</f>
        <v>0</v>
      </c>
    </row>
    <row r="767" spans="1:10" outlineLevel="2">
      <c r="A767" s="191" t="s">
        <v>2870</v>
      </c>
      <c r="B767" s="191" t="s">
        <v>116</v>
      </c>
      <c r="C767" s="191" t="s">
        <v>447</v>
      </c>
      <c r="D767" s="191" t="s">
        <v>1969</v>
      </c>
      <c r="E767" s="191" t="s">
        <v>2700</v>
      </c>
      <c r="F767" s="191" t="s">
        <v>2614</v>
      </c>
      <c r="G767" s="191" t="s">
        <v>2760</v>
      </c>
      <c r="H767" s="192">
        <v>0</v>
      </c>
      <c r="I767" s="192">
        <v>0</v>
      </c>
      <c r="J767" s="192">
        <f>SUM(H767:I767)</f>
        <v>0</v>
      </c>
    </row>
    <row r="768" spans="1:10" outlineLevel="2">
      <c r="A768" s="191" t="s">
        <v>2871</v>
      </c>
      <c r="B768" s="191" t="s">
        <v>141</v>
      </c>
      <c r="C768" s="191" t="s">
        <v>447</v>
      </c>
      <c r="D768" s="191" t="s">
        <v>1970</v>
      </c>
      <c r="E768" s="191" t="s">
        <v>2658</v>
      </c>
      <c r="F768" s="191" t="s">
        <v>1482</v>
      </c>
      <c r="G768" s="191">
        <v>14</v>
      </c>
      <c r="H768" s="192">
        <v>0</v>
      </c>
      <c r="I768" s="192">
        <v>101.44</v>
      </c>
      <c r="J768" s="192">
        <f>SUM(H768:I768)</f>
        <v>101.44</v>
      </c>
    </row>
    <row r="769" spans="1:10" outlineLevel="2">
      <c r="A769" s="191" t="s">
        <v>2871</v>
      </c>
      <c r="B769" s="191" t="s">
        <v>147</v>
      </c>
      <c r="C769" s="191" t="s">
        <v>447</v>
      </c>
      <c r="D769" s="191" t="s">
        <v>1971</v>
      </c>
      <c r="E769" s="191" t="s">
        <v>2646</v>
      </c>
      <c r="F769" s="191" t="s">
        <v>2646</v>
      </c>
      <c r="G769" s="191">
        <v>7</v>
      </c>
      <c r="H769" s="192">
        <v>0</v>
      </c>
      <c r="I769" s="192">
        <v>52.77</v>
      </c>
      <c r="J769" s="192">
        <f>SUM(H769:I769)</f>
        <v>52.77</v>
      </c>
    </row>
    <row r="770" spans="1:10" outlineLevel="2">
      <c r="A770" s="191" t="s">
        <v>2871</v>
      </c>
      <c r="B770" s="191" t="s">
        <v>147</v>
      </c>
      <c r="C770" s="191" t="s">
        <v>447</v>
      </c>
      <c r="D770" s="191" t="s">
        <v>1945</v>
      </c>
      <c r="E770" s="191" t="s">
        <v>2702</v>
      </c>
      <c r="F770" s="191" t="s">
        <v>2640</v>
      </c>
      <c r="G770" s="191">
        <v>21</v>
      </c>
      <c r="H770" s="192">
        <v>0</v>
      </c>
      <c r="I770" s="192">
        <v>163.59</v>
      </c>
      <c r="J770" s="192">
        <f>SUM(H770:I770)</f>
        <v>163.59</v>
      </c>
    </row>
    <row r="771" spans="1:10" outlineLevel="2">
      <c r="A771" s="191" t="s">
        <v>2872</v>
      </c>
      <c r="B771" s="191" t="s">
        <v>147</v>
      </c>
      <c r="C771" s="191" t="s">
        <v>447</v>
      </c>
      <c r="D771" s="191" t="s">
        <v>1970</v>
      </c>
      <c r="E771" s="191" t="s">
        <v>2658</v>
      </c>
      <c r="F771" s="191" t="s">
        <v>1482</v>
      </c>
      <c r="G771" s="191">
        <v>14</v>
      </c>
      <c r="H771" s="192">
        <v>0</v>
      </c>
      <c r="I771" s="192">
        <v>108.52</v>
      </c>
      <c r="J771" s="192">
        <f>SUM(H771:I771)</f>
        <v>108.52</v>
      </c>
    </row>
    <row r="772" spans="1:10" outlineLevel="2">
      <c r="A772" s="191" t="s">
        <v>2872</v>
      </c>
      <c r="B772" s="191" t="s">
        <v>112</v>
      </c>
      <c r="C772" s="191" t="s">
        <v>447</v>
      </c>
      <c r="D772" s="191" t="s">
        <v>1971</v>
      </c>
      <c r="E772" s="191" t="s">
        <v>2646</v>
      </c>
      <c r="F772" s="191" t="s">
        <v>2646</v>
      </c>
      <c r="G772" s="191">
        <v>7</v>
      </c>
      <c r="H772" s="192">
        <v>0</v>
      </c>
      <c r="I772" s="192">
        <v>58.97</v>
      </c>
      <c r="J772" s="192">
        <f>SUM(H772:I772)</f>
        <v>58.97</v>
      </c>
    </row>
    <row r="773" spans="1:10" outlineLevel="2">
      <c r="A773" s="191" t="s">
        <v>2872</v>
      </c>
      <c r="B773" s="191" t="s">
        <v>112</v>
      </c>
      <c r="C773" s="191" t="s">
        <v>447</v>
      </c>
      <c r="D773" s="191" t="s">
        <v>1972</v>
      </c>
      <c r="E773" s="191" t="s">
        <v>2702</v>
      </c>
      <c r="F773" s="191" t="s">
        <v>2640</v>
      </c>
      <c r="G773" s="191">
        <v>21</v>
      </c>
      <c r="H773" s="192">
        <v>0</v>
      </c>
      <c r="I773" s="192">
        <v>176.91</v>
      </c>
      <c r="J773" s="192">
        <f>SUM(H773:I773)</f>
        <v>176.91</v>
      </c>
    </row>
    <row r="774" spans="1:10" outlineLevel="1">
      <c r="A774" s="193" t="s">
        <v>3017</v>
      </c>
      <c r="B774" s="194"/>
      <c r="C774" s="194"/>
      <c r="D774" s="194"/>
      <c r="E774" s="194"/>
      <c r="F774" s="194"/>
      <c r="G774" s="194">
        <f>SUBTOTAL(9,G724:G773)</f>
        <v>637</v>
      </c>
      <c r="H774" s="195">
        <f>SUBTOTAL(9,H724:H773)</f>
        <v>200</v>
      </c>
      <c r="I774" s="195">
        <f>SUBTOTAL(9,I724:I773)</f>
        <v>10830.880000000003</v>
      </c>
      <c r="J774" s="195">
        <f>SUBTOTAL(9,J724:J773)</f>
        <v>11030.880000000001</v>
      </c>
    </row>
    <row r="775" spans="1:10" outlineLevel="2">
      <c r="A775" s="191" t="s">
        <v>459</v>
      </c>
      <c r="B775" s="191" t="s">
        <v>460</v>
      </c>
      <c r="C775" s="191" t="s">
        <v>461</v>
      </c>
      <c r="D775" s="191" t="s">
        <v>1973</v>
      </c>
      <c r="E775" s="191" t="s">
        <v>2684</v>
      </c>
      <c r="F775" s="191" t="s">
        <v>2652</v>
      </c>
      <c r="G775" s="191">
        <v>14</v>
      </c>
      <c r="H775" s="192">
        <v>100</v>
      </c>
      <c r="I775" s="192">
        <v>269.76</v>
      </c>
      <c r="J775" s="192">
        <f>SUM(H775:I775)</f>
        <v>369.76</v>
      </c>
    </row>
    <row r="776" spans="1:10" outlineLevel="2">
      <c r="A776" s="191" t="s">
        <v>459</v>
      </c>
      <c r="B776" s="191" t="s">
        <v>460</v>
      </c>
      <c r="C776" s="191" t="s">
        <v>461</v>
      </c>
      <c r="D776" s="191" t="s">
        <v>1923</v>
      </c>
      <c r="E776" s="191" t="s">
        <v>2639</v>
      </c>
      <c r="F776" s="191" t="s">
        <v>2608</v>
      </c>
      <c r="G776" s="191">
        <v>14</v>
      </c>
      <c r="H776" s="192">
        <v>0</v>
      </c>
      <c r="I776" s="192">
        <v>269.76</v>
      </c>
      <c r="J776" s="192">
        <f>SUM(H776:I776)</f>
        <v>269.76</v>
      </c>
    </row>
    <row r="777" spans="1:10" outlineLevel="2">
      <c r="A777" s="191" t="s">
        <v>462</v>
      </c>
      <c r="B777" s="191" t="s">
        <v>460</v>
      </c>
      <c r="C777" s="191" t="s">
        <v>461</v>
      </c>
      <c r="D777" s="191" t="s">
        <v>1974</v>
      </c>
      <c r="E777" s="191" t="s">
        <v>2718</v>
      </c>
      <c r="F777" s="191" t="s">
        <v>2718</v>
      </c>
      <c r="G777" s="191">
        <v>7</v>
      </c>
      <c r="H777" s="192">
        <v>0</v>
      </c>
      <c r="I777" s="192">
        <v>161.22999999999999</v>
      </c>
      <c r="J777" s="192">
        <f>SUM(H777:I777)</f>
        <v>161.22999999999999</v>
      </c>
    </row>
    <row r="778" spans="1:10" outlineLevel="2">
      <c r="A778" s="191" t="s">
        <v>463</v>
      </c>
      <c r="B778" s="191" t="s">
        <v>460</v>
      </c>
      <c r="C778" s="191" t="s">
        <v>461</v>
      </c>
      <c r="D778" s="191" t="s">
        <v>1975</v>
      </c>
      <c r="E778" s="191" t="s">
        <v>1490</v>
      </c>
      <c r="F778" s="191" t="s">
        <v>1490</v>
      </c>
      <c r="G778" s="191">
        <v>7</v>
      </c>
      <c r="H778" s="192">
        <v>0</v>
      </c>
      <c r="I778" s="192">
        <v>169.36</v>
      </c>
      <c r="J778" s="192">
        <f>SUM(H778:I778)</f>
        <v>169.36</v>
      </c>
    </row>
    <row r="779" spans="1:10" outlineLevel="2">
      <c r="A779" s="191" t="s">
        <v>463</v>
      </c>
      <c r="B779" s="191" t="s">
        <v>460</v>
      </c>
      <c r="C779" s="191" t="s">
        <v>461</v>
      </c>
      <c r="D779" s="191" t="s">
        <v>1976</v>
      </c>
      <c r="E779" s="191" t="s">
        <v>2731</v>
      </c>
      <c r="F779" s="191" t="s">
        <v>1487</v>
      </c>
      <c r="G779" s="191">
        <v>35</v>
      </c>
      <c r="H779" s="192">
        <v>0</v>
      </c>
      <c r="I779" s="192">
        <v>842.65</v>
      </c>
      <c r="J779" s="192">
        <f>SUM(H779:I779)</f>
        <v>842.65</v>
      </c>
    </row>
    <row r="780" spans="1:10" outlineLevel="2">
      <c r="A780" s="191" t="s">
        <v>464</v>
      </c>
      <c r="B780" s="191" t="s">
        <v>857</v>
      </c>
      <c r="C780" s="191" t="s">
        <v>461</v>
      </c>
      <c r="D780" s="191" t="s">
        <v>1923</v>
      </c>
      <c r="E780" s="191" t="s">
        <v>2608</v>
      </c>
      <c r="F780" s="191" t="s">
        <v>2608</v>
      </c>
      <c r="G780" s="191">
        <v>3</v>
      </c>
      <c r="H780" s="192">
        <v>0</v>
      </c>
      <c r="I780" s="192">
        <v>27.05</v>
      </c>
      <c r="J780" s="192">
        <f>SUM(H780:I780)</f>
        <v>27.05</v>
      </c>
    </row>
    <row r="781" spans="1:10" outlineLevel="2">
      <c r="A781" s="191" t="s">
        <v>464</v>
      </c>
      <c r="B781" s="191" t="s">
        <v>857</v>
      </c>
      <c r="C781" s="191" t="s">
        <v>461</v>
      </c>
      <c r="D781" s="191" t="s">
        <v>1977</v>
      </c>
      <c r="E781" s="191" t="s">
        <v>1485</v>
      </c>
      <c r="F781" s="191" t="s">
        <v>1485</v>
      </c>
      <c r="G781" s="191">
        <v>7</v>
      </c>
      <c r="H781" s="192">
        <v>0</v>
      </c>
      <c r="I781" s="192">
        <v>63.11</v>
      </c>
      <c r="J781" s="192">
        <f>SUM(H781:I781)</f>
        <v>63.11</v>
      </c>
    </row>
    <row r="782" spans="1:10" outlineLevel="2">
      <c r="A782" s="191" t="s">
        <v>464</v>
      </c>
      <c r="B782" s="191" t="s">
        <v>857</v>
      </c>
      <c r="C782" s="191" t="s">
        <v>461</v>
      </c>
      <c r="D782" s="191" t="s">
        <v>1923</v>
      </c>
      <c r="E782" s="191" t="s">
        <v>2639</v>
      </c>
      <c r="F782" s="191" t="s">
        <v>2639</v>
      </c>
      <c r="G782" s="191">
        <v>7</v>
      </c>
      <c r="H782" s="192">
        <v>0</v>
      </c>
      <c r="I782" s="192">
        <v>63.11</v>
      </c>
      <c r="J782" s="192">
        <f>SUM(H782:I782)</f>
        <v>63.11</v>
      </c>
    </row>
    <row r="783" spans="1:10" outlineLevel="2">
      <c r="A783" s="191" t="s">
        <v>464</v>
      </c>
      <c r="B783" s="191" t="s">
        <v>857</v>
      </c>
      <c r="C783" s="191" t="s">
        <v>461</v>
      </c>
      <c r="D783" s="191" t="s">
        <v>1977</v>
      </c>
      <c r="E783" s="191" t="s">
        <v>1479</v>
      </c>
      <c r="F783" s="191" t="s">
        <v>2683</v>
      </c>
      <c r="G783" s="191">
        <v>14</v>
      </c>
      <c r="H783" s="192">
        <v>0</v>
      </c>
      <c r="I783" s="192">
        <v>126.22</v>
      </c>
      <c r="J783" s="192">
        <f>SUM(H783:I783)</f>
        <v>126.22</v>
      </c>
    </row>
    <row r="784" spans="1:10" outlineLevel="2">
      <c r="A784" s="191" t="s">
        <v>465</v>
      </c>
      <c r="B784" s="191" t="s">
        <v>378</v>
      </c>
      <c r="C784" s="191" t="s">
        <v>461</v>
      </c>
      <c r="D784" s="191" t="s">
        <v>1978</v>
      </c>
      <c r="E784" s="191" t="s">
        <v>1483</v>
      </c>
      <c r="F784" s="191" t="s">
        <v>1483</v>
      </c>
      <c r="G784" s="191">
        <v>7</v>
      </c>
      <c r="H784" s="192">
        <v>0</v>
      </c>
      <c r="I784" s="192">
        <v>58.69</v>
      </c>
      <c r="J784" s="192">
        <f>SUM(H784:I784)</f>
        <v>58.69</v>
      </c>
    </row>
    <row r="785" spans="1:10" outlineLevel="2">
      <c r="A785" s="191" t="s">
        <v>465</v>
      </c>
      <c r="B785" s="191" t="s">
        <v>378</v>
      </c>
      <c r="C785" s="191" t="s">
        <v>461</v>
      </c>
      <c r="D785" s="191" t="s">
        <v>1979</v>
      </c>
      <c r="E785" s="191" t="s">
        <v>2600</v>
      </c>
      <c r="F785" s="191" t="s">
        <v>2600</v>
      </c>
      <c r="G785" s="191">
        <v>7</v>
      </c>
      <c r="H785" s="192">
        <v>0</v>
      </c>
      <c r="I785" s="192">
        <v>58.69</v>
      </c>
      <c r="J785" s="192">
        <f>SUM(H785:I785)</f>
        <v>58.69</v>
      </c>
    </row>
    <row r="786" spans="1:10" outlineLevel="2">
      <c r="A786" s="191" t="s">
        <v>465</v>
      </c>
      <c r="B786" s="191" t="s">
        <v>378</v>
      </c>
      <c r="C786" s="191" t="s">
        <v>461</v>
      </c>
      <c r="D786" s="191" t="s">
        <v>1978</v>
      </c>
      <c r="E786" s="191" t="s">
        <v>2690</v>
      </c>
      <c r="F786" s="191" t="s">
        <v>2691</v>
      </c>
      <c r="G786" s="191">
        <v>14</v>
      </c>
      <c r="H786" s="192">
        <v>0</v>
      </c>
      <c r="I786" s="192">
        <v>117.38</v>
      </c>
      <c r="J786" s="192">
        <f>SUM(H786:I786)</f>
        <v>117.38</v>
      </c>
    </row>
    <row r="787" spans="1:10" outlineLevel="2">
      <c r="A787" s="191" t="s">
        <v>465</v>
      </c>
      <c r="B787" s="191" t="s">
        <v>857</v>
      </c>
      <c r="C787" s="191" t="s">
        <v>461</v>
      </c>
      <c r="D787" s="191" t="s">
        <v>1980</v>
      </c>
      <c r="E787" s="191" t="s">
        <v>2625</v>
      </c>
      <c r="F787" s="191" t="s">
        <v>2626</v>
      </c>
      <c r="G787" s="191">
        <v>28</v>
      </c>
      <c r="H787" s="192">
        <v>0</v>
      </c>
      <c r="I787" s="192">
        <v>253.68</v>
      </c>
      <c r="J787" s="192">
        <f>SUM(H787:I787)</f>
        <v>253.68</v>
      </c>
    </row>
    <row r="788" spans="1:10" outlineLevel="2">
      <c r="A788" s="191" t="s">
        <v>466</v>
      </c>
      <c r="B788" s="191" t="s">
        <v>460</v>
      </c>
      <c r="C788" s="191" t="s">
        <v>461</v>
      </c>
      <c r="D788" s="191" t="s">
        <v>1981</v>
      </c>
      <c r="E788" s="191" t="s">
        <v>2627</v>
      </c>
      <c r="F788" s="191" t="s">
        <v>2658</v>
      </c>
      <c r="G788" s="191">
        <v>14</v>
      </c>
      <c r="H788" s="192">
        <v>0</v>
      </c>
      <c r="I788" s="192">
        <v>352.4</v>
      </c>
      <c r="J788" s="192">
        <f>SUM(H788:I788)</f>
        <v>352.4</v>
      </c>
    </row>
    <row r="789" spans="1:10" outlineLevel="2">
      <c r="A789" s="191" t="s">
        <v>466</v>
      </c>
      <c r="B789" s="191" t="s">
        <v>460</v>
      </c>
      <c r="C789" s="191" t="s">
        <v>461</v>
      </c>
      <c r="D789" s="191" t="s">
        <v>1923</v>
      </c>
      <c r="E789" s="191" t="s">
        <v>2639</v>
      </c>
      <c r="F789" s="191" t="s">
        <v>2608</v>
      </c>
      <c r="G789" s="191">
        <v>14</v>
      </c>
      <c r="H789" s="192">
        <v>0</v>
      </c>
      <c r="I789" s="192">
        <v>352.4</v>
      </c>
      <c r="J789" s="192">
        <f>SUM(H789:I789)</f>
        <v>352.4</v>
      </c>
    </row>
    <row r="790" spans="1:10" outlineLevel="2">
      <c r="A790" s="191" t="s">
        <v>2873</v>
      </c>
      <c r="B790" s="191" t="s">
        <v>460</v>
      </c>
      <c r="C790" s="191" t="s">
        <v>461</v>
      </c>
      <c r="D790" s="191" t="s">
        <v>1923</v>
      </c>
      <c r="E790" s="191" t="s">
        <v>2719</v>
      </c>
      <c r="F790" s="191" t="s">
        <v>2608</v>
      </c>
      <c r="G790" s="191">
        <v>21</v>
      </c>
      <c r="H790" s="192">
        <v>0</v>
      </c>
      <c r="I790" s="192">
        <v>467.25</v>
      </c>
      <c r="J790" s="192">
        <f>SUM(H790:I790)</f>
        <v>467.25</v>
      </c>
    </row>
    <row r="791" spans="1:10" outlineLevel="2">
      <c r="A791" s="191" t="s">
        <v>467</v>
      </c>
      <c r="B791" s="191" t="s">
        <v>460</v>
      </c>
      <c r="C791" s="191" t="s">
        <v>461</v>
      </c>
      <c r="D791" s="191" t="s">
        <v>1982</v>
      </c>
      <c r="E791" s="191" t="s">
        <v>1483</v>
      </c>
      <c r="F791" s="191" t="s">
        <v>1483</v>
      </c>
      <c r="G791" s="191">
        <v>7</v>
      </c>
      <c r="H791" s="192">
        <v>0</v>
      </c>
      <c r="I791" s="192">
        <v>158.74</v>
      </c>
      <c r="J791" s="192">
        <f>SUM(H791:I791)</f>
        <v>158.74</v>
      </c>
    </row>
    <row r="792" spans="1:10" outlineLevel="2">
      <c r="A792" s="191" t="s">
        <v>467</v>
      </c>
      <c r="B792" s="191" t="s">
        <v>460</v>
      </c>
      <c r="C792" s="191" t="s">
        <v>461</v>
      </c>
      <c r="D792" s="191" t="s">
        <v>1982</v>
      </c>
      <c r="E792" s="191" t="s">
        <v>2690</v>
      </c>
      <c r="F792" s="191" t="s">
        <v>2691</v>
      </c>
      <c r="G792" s="191">
        <v>14</v>
      </c>
      <c r="H792" s="192">
        <v>0</v>
      </c>
      <c r="I792" s="192">
        <v>317.48</v>
      </c>
      <c r="J792" s="192">
        <f>SUM(H792:I792)</f>
        <v>317.48</v>
      </c>
    </row>
    <row r="793" spans="1:10" outlineLevel="2">
      <c r="A793" s="191" t="s">
        <v>467</v>
      </c>
      <c r="B793" s="191" t="s">
        <v>460</v>
      </c>
      <c r="C793" s="191" t="s">
        <v>461</v>
      </c>
      <c r="D793" s="191" t="s">
        <v>1983</v>
      </c>
      <c r="E793" s="191" t="s">
        <v>2714</v>
      </c>
      <c r="F793" s="191" t="s">
        <v>1488</v>
      </c>
      <c r="G793" s="191">
        <v>35</v>
      </c>
      <c r="H793" s="192">
        <v>0</v>
      </c>
      <c r="I793" s="192">
        <v>793.7</v>
      </c>
      <c r="J793" s="192">
        <f>SUM(H793:I793)</f>
        <v>793.7</v>
      </c>
    </row>
    <row r="794" spans="1:10" outlineLevel="2">
      <c r="A794" s="191" t="s">
        <v>2874</v>
      </c>
      <c r="B794" s="191" t="s">
        <v>460</v>
      </c>
      <c r="C794" s="191" t="s">
        <v>461</v>
      </c>
      <c r="D794" s="191" t="s">
        <v>1984</v>
      </c>
      <c r="E794" s="191" t="s">
        <v>2727</v>
      </c>
      <c r="F794" s="191" t="s">
        <v>1483</v>
      </c>
      <c r="G794" s="191">
        <v>14</v>
      </c>
      <c r="H794" s="192">
        <v>0</v>
      </c>
      <c r="I794" s="192">
        <v>288.27999999999997</v>
      </c>
      <c r="J794" s="192">
        <f>SUM(H794:I794)</f>
        <v>288.27999999999997</v>
      </c>
    </row>
    <row r="795" spans="1:10" outlineLevel="2">
      <c r="A795" s="191" t="s">
        <v>2874</v>
      </c>
      <c r="B795" s="191" t="s">
        <v>460</v>
      </c>
      <c r="C795" s="191" t="s">
        <v>461</v>
      </c>
      <c r="D795" s="191" t="s">
        <v>1984</v>
      </c>
      <c r="E795" s="191" t="s">
        <v>2690</v>
      </c>
      <c r="F795" s="191" t="s">
        <v>2692</v>
      </c>
      <c r="G795" s="191">
        <v>21</v>
      </c>
      <c r="H795" s="192">
        <v>0</v>
      </c>
      <c r="I795" s="192">
        <v>432.42</v>
      </c>
      <c r="J795" s="192">
        <f>SUM(H795:I795)</f>
        <v>432.42</v>
      </c>
    </row>
    <row r="796" spans="1:10" outlineLevel="2">
      <c r="A796" s="191" t="s">
        <v>468</v>
      </c>
      <c r="B796" s="191" t="s">
        <v>469</v>
      </c>
      <c r="C796" s="191" t="s">
        <v>461</v>
      </c>
      <c r="D796" s="191" t="s">
        <v>1985</v>
      </c>
      <c r="E796" s="191" t="s">
        <v>2732</v>
      </c>
      <c r="F796" s="191" t="s">
        <v>2732</v>
      </c>
      <c r="G796" s="191">
        <v>7</v>
      </c>
      <c r="H796" s="192">
        <v>0</v>
      </c>
      <c r="I796" s="192">
        <v>218.25</v>
      </c>
      <c r="J796" s="192">
        <f>SUM(H796:I796)</f>
        <v>218.25</v>
      </c>
    </row>
    <row r="797" spans="1:10" outlineLevel="2">
      <c r="A797" s="191" t="s">
        <v>468</v>
      </c>
      <c r="B797" s="191" t="s">
        <v>469</v>
      </c>
      <c r="C797" s="191" t="s">
        <v>461</v>
      </c>
      <c r="D797" s="191" t="s">
        <v>1986</v>
      </c>
      <c r="E797" s="191" t="s">
        <v>1500</v>
      </c>
      <c r="F797" s="191" t="s">
        <v>1500</v>
      </c>
      <c r="G797" s="191">
        <v>7</v>
      </c>
      <c r="H797" s="192">
        <v>0</v>
      </c>
      <c r="I797" s="192">
        <v>219.32</v>
      </c>
      <c r="J797" s="192">
        <f>SUM(H797:I797)</f>
        <v>219.32</v>
      </c>
    </row>
    <row r="798" spans="1:10" outlineLevel="2">
      <c r="A798" s="191" t="s">
        <v>468</v>
      </c>
      <c r="B798" s="191" t="s">
        <v>469</v>
      </c>
      <c r="C798" s="191" t="s">
        <v>461</v>
      </c>
      <c r="D798" s="191" t="s">
        <v>1987</v>
      </c>
      <c r="E798" s="191" t="s">
        <v>2694</v>
      </c>
      <c r="F798" s="191" t="s">
        <v>2694</v>
      </c>
      <c r="G798" s="191">
        <v>7</v>
      </c>
      <c r="H798" s="192">
        <v>0</v>
      </c>
      <c r="I798" s="192">
        <v>219.32</v>
      </c>
      <c r="J798" s="192">
        <f>SUM(H798:I798)</f>
        <v>219.32</v>
      </c>
    </row>
    <row r="799" spans="1:10" outlineLevel="2">
      <c r="A799" s="191" t="s">
        <v>468</v>
      </c>
      <c r="B799" s="191" t="s">
        <v>469</v>
      </c>
      <c r="C799" s="191" t="s">
        <v>461</v>
      </c>
      <c r="D799" s="191" t="s">
        <v>1988</v>
      </c>
      <c r="E799" s="191" t="s">
        <v>2603</v>
      </c>
      <c r="F799" s="191" t="s">
        <v>2603</v>
      </c>
      <c r="G799" s="191">
        <v>7</v>
      </c>
      <c r="H799" s="192">
        <v>0</v>
      </c>
      <c r="I799" s="192">
        <v>219.32</v>
      </c>
      <c r="J799" s="192">
        <f>SUM(H799:I799)</f>
        <v>219.32</v>
      </c>
    </row>
    <row r="800" spans="1:10" outlineLevel="2">
      <c r="A800" s="191" t="s">
        <v>468</v>
      </c>
      <c r="B800" s="191" t="s">
        <v>469</v>
      </c>
      <c r="C800" s="191" t="s">
        <v>461</v>
      </c>
      <c r="D800" s="191" t="s">
        <v>1989</v>
      </c>
      <c r="E800" s="191" t="s">
        <v>2717</v>
      </c>
      <c r="F800" s="191" t="s">
        <v>2717</v>
      </c>
      <c r="G800" s="191">
        <v>7</v>
      </c>
      <c r="H800" s="192">
        <v>0</v>
      </c>
      <c r="I800" s="192">
        <v>219.32</v>
      </c>
      <c r="J800" s="192">
        <f>SUM(H800:I800)</f>
        <v>219.32</v>
      </c>
    </row>
    <row r="801" spans="1:10" outlineLevel="2">
      <c r="A801" s="191" t="s">
        <v>468</v>
      </c>
      <c r="B801" s="191" t="s">
        <v>469</v>
      </c>
      <c r="C801" s="191" t="s">
        <v>461</v>
      </c>
      <c r="D801" s="191" t="s">
        <v>1923</v>
      </c>
      <c r="E801" s="191" t="s">
        <v>2639</v>
      </c>
      <c r="F801" s="191" t="s">
        <v>2608</v>
      </c>
      <c r="G801" s="191">
        <v>14</v>
      </c>
      <c r="H801" s="192">
        <v>0</v>
      </c>
      <c r="I801" s="192">
        <v>436.5</v>
      </c>
      <c r="J801" s="192">
        <f>SUM(H801:I801)</f>
        <v>436.5</v>
      </c>
    </row>
    <row r="802" spans="1:10" outlineLevel="2">
      <c r="A802" s="191" t="s">
        <v>470</v>
      </c>
      <c r="B802" s="191" t="s">
        <v>112</v>
      </c>
      <c r="C802" s="191" t="s">
        <v>461</v>
      </c>
      <c r="D802" s="191" t="s">
        <v>1923</v>
      </c>
      <c r="E802" s="191" t="s">
        <v>2639</v>
      </c>
      <c r="F802" s="191" t="s">
        <v>2608</v>
      </c>
      <c r="G802" s="191">
        <v>14</v>
      </c>
      <c r="H802" s="192">
        <v>0</v>
      </c>
      <c r="I802" s="192">
        <v>117.38</v>
      </c>
      <c r="J802" s="192">
        <f>SUM(H802:I802)</f>
        <v>117.38</v>
      </c>
    </row>
    <row r="803" spans="1:10" outlineLevel="2">
      <c r="A803" s="191" t="s">
        <v>471</v>
      </c>
      <c r="B803" s="191" t="s">
        <v>460</v>
      </c>
      <c r="C803" s="191" t="s">
        <v>461</v>
      </c>
      <c r="D803" s="191" t="s">
        <v>1990</v>
      </c>
      <c r="E803" s="191" t="s">
        <v>2713</v>
      </c>
      <c r="F803" s="191" t="s">
        <v>2713</v>
      </c>
      <c r="G803" s="191">
        <v>7</v>
      </c>
      <c r="H803" s="192">
        <v>0</v>
      </c>
      <c r="I803" s="192">
        <v>136.59</v>
      </c>
      <c r="J803" s="192">
        <f>SUM(H803:I803)</f>
        <v>136.59</v>
      </c>
    </row>
    <row r="804" spans="1:10" outlineLevel="2">
      <c r="A804" s="191" t="s">
        <v>471</v>
      </c>
      <c r="B804" s="191" t="s">
        <v>460</v>
      </c>
      <c r="C804" s="191" t="s">
        <v>461</v>
      </c>
      <c r="D804" s="191" t="s">
        <v>1923</v>
      </c>
      <c r="E804" s="191" t="s">
        <v>2639</v>
      </c>
      <c r="F804" s="191" t="s">
        <v>2608</v>
      </c>
      <c r="G804" s="191">
        <v>14</v>
      </c>
      <c r="H804" s="192">
        <v>0</v>
      </c>
      <c r="I804" s="192">
        <v>273.18</v>
      </c>
      <c r="J804" s="192">
        <f>SUM(H804:I804)</f>
        <v>273.18</v>
      </c>
    </row>
    <row r="805" spans="1:10" outlineLevel="2">
      <c r="A805" s="191" t="s">
        <v>472</v>
      </c>
      <c r="B805" s="191" t="s">
        <v>460</v>
      </c>
      <c r="C805" s="191" t="s">
        <v>461</v>
      </c>
      <c r="D805" s="191" t="s">
        <v>1991</v>
      </c>
      <c r="E805" s="191" t="s">
        <v>2603</v>
      </c>
      <c r="F805" s="191" t="s">
        <v>2603</v>
      </c>
      <c r="G805" s="191">
        <v>7</v>
      </c>
      <c r="H805" s="192">
        <v>0</v>
      </c>
      <c r="I805" s="192">
        <v>149.66999999999999</v>
      </c>
      <c r="J805" s="192">
        <f>SUM(H805:I805)</f>
        <v>149.66999999999999</v>
      </c>
    </row>
    <row r="806" spans="1:10" outlineLevel="2">
      <c r="A806" s="191" t="s">
        <v>472</v>
      </c>
      <c r="B806" s="191" t="s">
        <v>460</v>
      </c>
      <c r="C806" s="191" t="s">
        <v>461</v>
      </c>
      <c r="D806" s="191" t="s">
        <v>1992</v>
      </c>
      <c r="E806" s="191" t="s">
        <v>1503</v>
      </c>
      <c r="F806" s="191" t="s">
        <v>1504</v>
      </c>
      <c r="G806" s="191">
        <v>21</v>
      </c>
      <c r="H806" s="192">
        <v>0</v>
      </c>
      <c r="I806" s="192">
        <v>446.82</v>
      </c>
      <c r="J806" s="192">
        <f>SUM(H806:I806)</f>
        <v>446.82</v>
      </c>
    </row>
    <row r="807" spans="1:10" outlineLevel="2">
      <c r="A807" s="191" t="s">
        <v>473</v>
      </c>
      <c r="B807" s="191" t="s">
        <v>857</v>
      </c>
      <c r="C807" s="191" t="s">
        <v>461</v>
      </c>
      <c r="D807" s="191" t="s">
        <v>1923</v>
      </c>
      <c r="E807" s="191" t="s">
        <v>2608</v>
      </c>
      <c r="F807" s="191" t="s">
        <v>2608</v>
      </c>
      <c r="G807" s="191">
        <v>3</v>
      </c>
      <c r="H807" s="192">
        <v>0</v>
      </c>
      <c r="I807" s="192">
        <v>27.05</v>
      </c>
      <c r="J807" s="192">
        <f>SUM(H807:I807)</f>
        <v>27.05</v>
      </c>
    </row>
    <row r="808" spans="1:10" outlineLevel="2">
      <c r="A808" s="191" t="s">
        <v>473</v>
      </c>
      <c r="B808" s="191" t="s">
        <v>857</v>
      </c>
      <c r="C808" s="191" t="s">
        <v>461</v>
      </c>
      <c r="D808" s="191" t="s">
        <v>1977</v>
      </c>
      <c r="E808" s="191" t="s">
        <v>1485</v>
      </c>
      <c r="F808" s="191" t="s">
        <v>1485</v>
      </c>
      <c r="G808" s="191">
        <v>7</v>
      </c>
      <c r="H808" s="192">
        <v>0</v>
      </c>
      <c r="I808" s="192">
        <v>63.11</v>
      </c>
      <c r="J808" s="192">
        <f>SUM(H808:I808)</f>
        <v>63.11</v>
      </c>
    </row>
    <row r="809" spans="1:10" outlineLevel="2">
      <c r="A809" s="191" t="s">
        <v>473</v>
      </c>
      <c r="B809" s="191" t="s">
        <v>857</v>
      </c>
      <c r="C809" s="191" t="s">
        <v>461</v>
      </c>
      <c r="D809" s="191" t="s">
        <v>1923</v>
      </c>
      <c r="E809" s="191" t="s">
        <v>2639</v>
      </c>
      <c r="F809" s="191" t="s">
        <v>2639</v>
      </c>
      <c r="G809" s="191">
        <v>7</v>
      </c>
      <c r="H809" s="192">
        <v>0</v>
      </c>
      <c r="I809" s="192">
        <v>63.11</v>
      </c>
      <c r="J809" s="192">
        <f>SUM(H809:I809)</f>
        <v>63.11</v>
      </c>
    </row>
    <row r="810" spans="1:10" outlineLevel="2">
      <c r="A810" s="191" t="s">
        <v>473</v>
      </c>
      <c r="B810" s="191" t="s">
        <v>857</v>
      </c>
      <c r="C810" s="191" t="s">
        <v>461</v>
      </c>
      <c r="D810" s="191" t="s">
        <v>1977</v>
      </c>
      <c r="E810" s="191" t="s">
        <v>1479</v>
      </c>
      <c r="F810" s="191" t="s">
        <v>2683</v>
      </c>
      <c r="G810" s="191">
        <v>14</v>
      </c>
      <c r="H810" s="192">
        <v>0</v>
      </c>
      <c r="I810" s="192">
        <v>126.22</v>
      </c>
      <c r="J810" s="192">
        <f>SUM(H810:I810)</f>
        <v>126.22</v>
      </c>
    </row>
    <row r="811" spans="1:10" outlineLevel="2">
      <c r="A811" s="191" t="s">
        <v>2875</v>
      </c>
      <c r="B811" s="191" t="s">
        <v>460</v>
      </c>
      <c r="C811" s="191" t="s">
        <v>461</v>
      </c>
      <c r="D811" s="191" t="s">
        <v>1923</v>
      </c>
      <c r="E811" s="191" t="s">
        <v>2639</v>
      </c>
      <c r="F811" s="191" t="s">
        <v>2608</v>
      </c>
      <c r="G811" s="191">
        <v>14</v>
      </c>
      <c r="H811" s="192">
        <v>0</v>
      </c>
      <c r="I811" s="192">
        <v>276.58</v>
      </c>
      <c r="J811" s="192">
        <f>SUM(H811:I811)</f>
        <v>276.58</v>
      </c>
    </row>
    <row r="812" spans="1:10" outlineLevel="2">
      <c r="A812" s="191" t="s">
        <v>474</v>
      </c>
      <c r="B812" s="191" t="s">
        <v>460</v>
      </c>
      <c r="C812" s="191" t="s">
        <v>461</v>
      </c>
      <c r="D812" s="191" t="s">
        <v>1993</v>
      </c>
      <c r="E812" s="191" t="s">
        <v>2732</v>
      </c>
      <c r="F812" s="191" t="s">
        <v>2732</v>
      </c>
      <c r="G812" s="191">
        <v>7</v>
      </c>
      <c r="H812" s="192">
        <v>0</v>
      </c>
      <c r="I812" s="192">
        <v>160.44</v>
      </c>
      <c r="J812" s="192">
        <f>SUM(H812:I812)</f>
        <v>160.44</v>
      </c>
    </row>
    <row r="813" spans="1:10" outlineLevel="2">
      <c r="A813" s="191" t="s">
        <v>474</v>
      </c>
      <c r="B813" s="191" t="s">
        <v>460</v>
      </c>
      <c r="C813" s="191" t="s">
        <v>461</v>
      </c>
      <c r="D813" s="191" t="s">
        <v>1923</v>
      </c>
      <c r="E813" s="191" t="s">
        <v>2639</v>
      </c>
      <c r="F813" s="191" t="s">
        <v>2608</v>
      </c>
      <c r="G813" s="191">
        <v>14</v>
      </c>
      <c r="H813" s="192">
        <v>0</v>
      </c>
      <c r="I813" s="192">
        <v>320.88</v>
      </c>
      <c r="J813" s="192">
        <f>SUM(H813:I813)</f>
        <v>320.88</v>
      </c>
    </row>
    <row r="814" spans="1:10" outlineLevel="2">
      <c r="A814" s="191" t="s">
        <v>475</v>
      </c>
      <c r="B814" s="191" t="s">
        <v>460</v>
      </c>
      <c r="C814" s="191" t="s">
        <v>461</v>
      </c>
      <c r="D814" s="191" t="s">
        <v>1994</v>
      </c>
      <c r="E814" s="191" t="s">
        <v>2709</v>
      </c>
      <c r="F814" s="191" t="s">
        <v>2709</v>
      </c>
      <c r="G814" s="191">
        <v>7</v>
      </c>
      <c r="H814" s="192">
        <v>0</v>
      </c>
      <c r="I814" s="192">
        <v>150.63999999999999</v>
      </c>
      <c r="J814" s="192">
        <f>SUM(H814:I814)</f>
        <v>150.63999999999999</v>
      </c>
    </row>
    <row r="815" spans="1:10" outlineLevel="2">
      <c r="A815" s="191" t="s">
        <v>475</v>
      </c>
      <c r="B815" s="191" t="s">
        <v>460</v>
      </c>
      <c r="C815" s="191" t="s">
        <v>461</v>
      </c>
      <c r="D815" s="191" t="s">
        <v>1923</v>
      </c>
      <c r="E815" s="191" t="s">
        <v>2639</v>
      </c>
      <c r="F815" s="191" t="s">
        <v>2608</v>
      </c>
      <c r="G815" s="191">
        <v>14</v>
      </c>
      <c r="H815" s="192">
        <v>0</v>
      </c>
      <c r="I815" s="192">
        <v>301.27999999999997</v>
      </c>
      <c r="J815" s="192">
        <f>SUM(H815:I815)</f>
        <v>301.27999999999997</v>
      </c>
    </row>
    <row r="816" spans="1:10" outlineLevel="1">
      <c r="A816" s="193" t="s">
        <v>3018</v>
      </c>
      <c r="B816" s="194"/>
      <c r="C816" s="194"/>
      <c r="D816" s="194"/>
      <c r="E816" s="194"/>
      <c r="F816" s="194"/>
      <c r="G816" s="194">
        <f>SUBTOTAL(9,G775:G815)</f>
        <v>503</v>
      </c>
      <c r="H816" s="195">
        <f>SUBTOTAL(9,H775:H815)</f>
        <v>100</v>
      </c>
      <c r="I816" s="195">
        <f>SUBTOTAL(9,I775:I815)</f>
        <v>9788.3399999999983</v>
      </c>
      <c r="J816" s="195">
        <f>SUBTOTAL(9,J775:J815)</f>
        <v>9888.3399999999983</v>
      </c>
    </row>
    <row r="817" spans="1:10" outlineLevel="2">
      <c r="A817" s="191" t="s">
        <v>476</v>
      </c>
      <c r="B817" s="191" t="s">
        <v>477</v>
      </c>
      <c r="C817" s="191" t="s">
        <v>478</v>
      </c>
      <c r="D817" s="191" t="s">
        <v>1995</v>
      </c>
      <c r="E817" s="191" t="s">
        <v>2733</v>
      </c>
      <c r="F817" s="191" t="s">
        <v>2733</v>
      </c>
      <c r="G817" s="191">
        <v>7</v>
      </c>
      <c r="H817" s="192">
        <v>0</v>
      </c>
      <c r="I817" s="192">
        <v>170.23</v>
      </c>
      <c r="J817" s="192">
        <f>SUM(H817:I817)</f>
        <v>170.23</v>
      </c>
    </row>
    <row r="818" spans="1:10" outlineLevel="2">
      <c r="A818" s="191" t="s">
        <v>476</v>
      </c>
      <c r="B818" s="191" t="s">
        <v>477</v>
      </c>
      <c r="C818" s="191" t="s">
        <v>478</v>
      </c>
      <c r="D818" s="191" t="s">
        <v>1996</v>
      </c>
      <c r="E818" s="191" t="s">
        <v>2617</v>
      </c>
      <c r="F818" s="191" t="s">
        <v>2617</v>
      </c>
      <c r="G818" s="191">
        <v>7</v>
      </c>
      <c r="H818" s="192">
        <v>0</v>
      </c>
      <c r="I818" s="192">
        <v>171.07</v>
      </c>
      <c r="J818" s="192">
        <f>SUM(H818:I818)</f>
        <v>171.07</v>
      </c>
    </row>
    <row r="819" spans="1:10" outlineLevel="2">
      <c r="A819" s="191" t="s">
        <v>476</v>
      </c>
      <c r="B819" s="191" t="s">
        <v>477</v>
      </c>
      <c r="C819" s="191" t="s">
        <v>478</v>
      </c>
      <c r="D819" s="191" t="s">
        <v>1997</v>
      </c>
      <c r="E819" s="191" t="s">
        <v>1499</v>
      </c>
      <c r="F819" s="191" t="s">
        <v>1500</v>
      </c>
      <c r="G819" s="191">
        <v>14</v>
      </c>
      <c r="H819" s="192">
        <v>0</v>
      </c>
      <c r="I819" s="192">
        <v>342.14</v>
      </c>
      <c r="J819" s="192">
        <f>SUM(H819:I819)</f>
        <v>342.14</v>
      </c>
    </row>
    <row r="820" spans="1:10" outlineLevel="2">
      <c r="A820" s="191" t="s">
        <v>479</v>
      </c>
      <c r="B820" s="191" t="s">
        <v>477</v>
      </c>
      <c r="C820" s="191" t="s">
        <v>478</v>
      </c>
      <c r="D820" s="191" t="s">
        <v>1622</v>
      </c>
      <c r="E820" s="191" t="s">
        <v>2661</v>
      </c>
      <c r="F820" s="191" t="s">
        <v>2661</v>
      </c>
      <c r="G820" s="191">
        <v>7</v>
      </c>
      <c r="H820" s="192">
        <v>0</v>
      </c>
      <c r="I820" s="192">
        <v>150.63999999999999</v>
      </c>
      <c r="J820" s="192">
        <f>SUM(H820:I820)</f>
        <v>150.63999999999999</v>
      </c>
    </row>
    <row r="821" spans="1:10" outlineLevel="2">
      <c r="A821" s="191" t="s">
        <v>480</v>
      </c>
      <c r="B821" s="191" t="s">
        <v>477</v>
      </c>
      <c r="C821" s="191" t="s">
        <v>478</v>
      </c>
      <c r="D821" s="191" t="s">
        <v>1998</v>
      </c>
      <c r="E821" s="191" t="s">
        <v>2661</v>
      </c>
      <c r="F821" s="191" t="s">
        <v>2661</v>
      </c>
      <c r="G821" s="191">
        <v>7</v>
      </c>
      <c r="H821" s="192">
        <v>0</v>
      </c>
      <c r="I821" s="192">
        <v>202.93</v>
      </c>
      <c r="J821" s="192">
        <f>SUM(H821:I821)</f>
        <v>202.93</v>
      </c>
    </row>
    <row r="822" spans="1:10" outlineLevel="2">
      <c r="A822" s="191" t="s">
        <v>481</v>
      </c>
      <c r="B822" s="191" t="s">
        <v>147</v>
      </c>
      <c r="C822" s="191" t="s">
        <v>478</v>
      </c>
      <c r="D822" s="191" t="s">
        <v>1999</v>
      </c>
      <c r="E822" s="191" t="s">
        <v>2661</v>
      </c>
      <c r="F822" s="191" t="s">
        <v>2661</v>
      </c>
      <c r="G822" s="191">
        <v>7</v>
      </c>
      <c r="H822" s="192">
        <v>0</v>
      </c>
      <c r="I822" s="192">
        <v>54.26</v>
      </c>
      <c r="J822" s="192">
        <f>SUM(H822:I822)</f>
        <v>54.26</v>
      </c>
    </row>
    <row r="823" spans="1:10" outlineLevel="2">
      <c r="A823" s="191" t="s">
        <v>481</v>
      </c>
      <c r="B823" s="191" t="s">
        <v>112</v>
      </c>
      <c r="C823" s="191" t="s">
        <v>478</v>
      </c>
      <c r="D823" s="191" t="s">
        <v>2000</v>
      </c>
      <c r="E823" s="191" t="s">
        <v>2626</v>
      </c>
      <c r="F823" s="191" t="s">
        <v>2626</v>
      </c>
      <c r="G823" s="191">
        <v>7</v>
      </c>
      <c r="H823" s="192">
        <v>0</v>
      </c>
      <c r="I823" s="192">
        <v>58.97</v>
      </c>
      <c r="J823" s="192">
        <f>SUM(H823:I823)</f>
        <v>58.97</v>
      </c>
    </row>
    <row r="824" spans="1:10" outlineLevel="2">
      <c r="A824" s="191" t="s">
        <v>481</v>
      </c>
      <c r="B824" s="191" t="s">
        <v>112</v>
      </c>
      <c r="C824" s="191" t="s">
        <v>478</v>
      </c>
      <c r="D824" s="191" t="s">
        <v>2001</v>
      </c>
      <c r="E824" s="191" t="s">
        <v>2630</v>
      </c>
      <c r="F824" s="191" t="s">
        <v>2617</v>
      </c>
      <c r="G824" s="191">
        <v>14</v>
      </c>
      <c r="H824" s="192">
        <v>0</v>
      </c>
      <c r="I824" s="192">
        <v>114.14</v>
      </c>
      <c r="J824" s="192">
        <f>SUM(H824:I824)</f>
        <v>114.14</v>
      </c>
    </row>
    <row r="825" spans="1:10" outlineLevel="2">
      <c r="A825" s="191" t="s">
        <v>482</v>
      </c>
      <c r="B825" s="191" t="s">
        <v>477</v>
      </c>
      <c r="C825" s="191" t="s">
        <v>478</v>
      </c>
      <c r="D825" s="191" t="s">
        <v>486</v>
      </c>
      <c r="E825" s="191" t="s">
        <v>1482</v>
      </c>
      <c r="F825" s="191" t="s">
        <v>1482</v>
      </c>
      <c r="G825" s="191">
        <v>7</v>
      </c>
      <c r="H825" s="192">
        <v>0</v>
      </c>
      <c r="I825" s="192">
        <v>177.9</v>
      </c>
      <c r="J825" s="192">
        <f>SUM(H825:I825)</f>
        <v>177.9</v>
      </c>
    </row>
    <row r="826" spans="1:10" outlineLevel="2">
      <c r="A826" s="191" t="s">
        <v>482</v>
      </c>
      <c r="B826" s="191" t="s">
        <v>477</v>
      </c>
      <c r="C826" s="191" t="s">
        <v>478</v>
      </c>
      <c r="D826" s="191" t="s">
        <v>2002</v>
      </c>
      <c r="E826" s="191" t="s">
        <v>2626</v>
      </c>
      <c r="F826" s="191" t="s">
        <v>2626</v>
      </c>
      <c r="G826" s="191">
        <v>7</v>
      </c>
      <c r="H826" s="192">
        <v>0</v>
      </c>
      <c r="I826" s="192">
        <v>178.77</v>
      </c>
      <c r="J826" s="192">
        <f>SUM(H826:I826)</f>
        <v>178.77</v>
      </c>
    </row>
    <row r="827" spans="1:10" outlineLevel="2">
      <c r="A827" s="191" t="s">
        <v>482</v>
      </c>
      <c r="B827" s="191" t="s">
        <v>477</v>
      </c>
      <c r="C827" s="191" t="s">
        <v>478</v>
      </c>
      <c r="D827" s="191" t="s">
        <v>1997</v>
      </c>
      <c r="E827" s="191" t="s">
        <v>2607</v>
      </c>
      <c r="F827" s="191" t="s">
        <v>1500</v>
      </c>
      <c r="G827" s="191">
        <v>21</v>
      </c>
      <c r="H827" s="192">
        <v>0</v>
      </c>
      <c r="I827" s="192">
        <v>519.03</v>
      </c>
      <c r="J827" s="192">
        <f>SUM(H827:I827)</f>
        <v>519.03</v>
      </c>
    </row>
    <row r="828" spans="1:10" outlineLevel="2">
      <c r="A828" s="191" t="s">
        <v>2876</v>
      </c>
      <c r="B828" s="191" t="s">
        <v>477</v>
      </c>
      <c r="C828" s="191" t="s">
        <v>478</v>
      </c>
      <c r="D828" s="191" t="s">
        <v>2003</v>
      </c>
      <c r="E828" s="191" t="s">
        <v>2622</v>
      </c>
      <c r="F828" s="191" t="s">
        <v>2734</v>
      </c>
      <c r="G828" s="191">
        <v>21</v>
      </c>
      <c r="H828" s="192">
        <v>0</v>
      </c>
      <c r="I828" s="192">
        <v>399.54</v>
      </c>
      <c r="J828" s="192">
        <f>SUM(H828:I828)</f>
        <v>399.54</v>
      </c>
    </row>
    <row r="829" spans="1:10" outlineLevel="2">
      <c r="A829" s="191" t="s">
        <v>483</v>
      </c>
      <c r="B829" s="191" t="s">
        <v>477</v>
      </c>
      <c r="C829" s="191" t="s">
        <v>478</v>
      </c>
      <c r="D829" s="191" t="s">
        <v>2004</v>
      </c>
      <c r="E829" s="191" t="s">
        <v>2587</v>
      </c>
      <c r="F829" s="191" t="s">
        <v>2587</v>
      </c>
      <c r="G829" s="191">
        <v>7</v>
      </c>
      <c r="H829" s="192">
        <v>0</v>
      </c>
      <c r="I829" s="192">
        <v>161.44999999999999</v>
      </c>
      <c r="J829" s="192">
        <f>SUM(H829:I829)</f>
        <v>161.44999999999999</v>
      </c>
    </row>
    <row r="830" spans="1:10" outlineLevel="2">
      <c r="A830" s="191" t="s">
        <v>483</v>
      </c>
      <c r="B830" s="191" t="s">
        <v>477</v>
      </c>
      <c r="C830" s="191" t="s">
        <v>478</v>
      </c>
      <c r="D830" s="191" t="s">
        <v>486</v>
      </c>
      <c r="E830" s="191" t="s">
        <v>1482</v>
      </c>
      <c r="F830" s="191" t="s">
        <v>1482</v>
      </c>
      <c r="G830" s="191">
        <v>7</v>
      </c>
      <c r="H830" s="192">
        <v>0</v>
      </c>
      <c r="I830" s="192">
        <v>166.83</v>
      </c>
      <c r="J830" s="192">
        <f>SUM(H830:I830)</f>
        <v>166.83</v>
      </c>
    </row>
    <row r="831" spans="1:10" outlineLevel="2">
      <c r="A831" s="191" t="s">
        <v>483</v>
      </c>
      <c r="B831" s="191" t="s">
        <v>477</v>
      </c>
      <c r="C831" s="191" t="s">
        <v>478</v>
      </c>
      <c r="D831" s="191" t="s">
        <v>1997</v>
      </c>
      <c r="E831" s="191" t="s">
        <v>1499</v>
      </c>
      <c r="F831" s="191" t="s">
        <v>1500</v>
      </c>
      <c r="G831" s="191">
        <v>14</v>
      </c>
      <c r="H831" s="192">
        <v>0</v>
      </c>
      <c r="I831" s="192">
        <v>338.72</v>
      </c>
      <c r="J831" s="192">
        <f>SUM(H831:I831)</f>
        <v>338.72</v>
      </c>
    </row>
    <row r="832" spans="1:10" outlineLevel="2">
      <c r="A832" s="191" t="s">
        <v>483</v>
      </c>
      <c r="B832" s="191" t="s">
        <v>477</v>
      </c>
      <c r="C832" s="191" t="s">
        <v>478</v>
      </c>
      <c r="D832" s="191" t="s">
        <v>2005</v>
      </c>
      <c r="E832" s="191" t="s">
        <v>2606</v>
      </c>
      <c r="F832" s="191" t="s">
        <v>1487</v>
      </c>
      <c r="G832" s="191">
        <v>21</v>
      </c>
      <c r="H832" s="192">
        <v>0</v>
      </c>
      <c r="I832" s="192">
        <v>505.59</v>
      </c>
      <c r="J832" s="192">
        <f>SUM(H832:I832)</f>
        <v>505.59</v>
      </c>
    </row>
    <row r="833" spans="1:10" outlineLevel="2">
      <c r="A833" s="191" t="s">
        <v>484</v>
      </c>
      <c r="B833" s="191" t="s">
        <v>477</v>
      </c>
      <c r="C833" s="191" t="s">
        <v>478</v>
      </c>
      <c r="D833" s="191" t="s">
        <v>2006</v>
      </c>
      <c r="E833" s="191" t="s">
        <v>2660</v>
      </c>
      <c r="F833" s="191" t="s">
        <v>2660</v>
      </c>
      <c r="G833" s="191">
        <v>7</v>
      </c>
      <c r="H833" s="192">
        <v>0</v>
      </c>
      <c r="I833" s="192">
        <v>150.63999999999999</v>
      </c>
      <c r="J833" s="192">
        <f>SUM(H833:I833)</f>
        <v>150.63999999999999</v>
      </c>
    </row>
    <row r="834" spans="1:10" outlineLevel="2">
      <c r="A834" s="191" t="s">
        <v>484</v>
      </c>
      <c r="B834" s="191" t="s">
        <v>477</v>
      </c>
      <c r="C834" s="191" t="s">
        <v>478</v>
      </c>
      <c r="D834" s="191" t="s">
        <v>2007</v>
      </c>
      <c r="E834" s="191" t="s">
        <v>2661</v>
      </c>
      <c r="F834" s="191" t="s">
        <v>2661</v>
      </c>
      <c r="G834" s="191">
        <v>7</v>
      </c>
      <c r="H834" s="192">
        <v>0</v>
      </c>
      <c r="I834" s="192">
        <v>150.63999999999999</v>
      </c>
      <c r="J834" s="192">
        <f>SUM(H834:I834)</f>
        <v>150.63999999999999</v>
      </c>
    </row>
    <row r="835" spans="1:10" outlineLevel="2">
      <c r="A835" s="191" t="s">
        <v>484</v>
      </c>
      <c r="B835" s="191" t="s">
        <v>477</v>
      </c>
      <c r="C835" s="191" t="s">
        <v>478</v>
      </c>
      <c r="D835" s="191" t="s">
        <v>1997</v>
      </c>
      <c r="E835" s="191" t="s">
        <v>1500</v>
      </c>
      <c r="F835" s="191" t="s">
        <v>1500</v>
      </c>
      <c r="G835" s="191">
        <v>7</v>
      </c>
      <c r="H835" s="192">
        <v>0</v>
      </c>
      <c r="I835" s="192">
        <v>151.38</v>
      </c>
      <c r="J835" s="192">
        <f>SUM(H835:I835)</f>
        <v>151.38</v>
      </c>
    </row>
    <row r="836" spans="1:10" outlineLevel="2">
      <c r="A836" s="191" t="s">
        <v>484</v>
      </c>
      <c r="B836" s="191" t="s">
        <v>477</v>
      </c>
      <c r="C836" s="191" t="s">
        <v>478</v>
      </c>
      <c r="D836" s="191" t="s">
        <v>2008</v>
      </c>
      <c r="E836" s="191" t="s">
        <v>2711</v>
      </c>
      <c r="F836" s="191" t="s">
        <v>2589</v>
      </c>
      <c r="G836" s="191">
        <v>14</v>
      </c>
      <c r="H836" s="192">
        <v>0</v>
      </c>
      <c r="I836" s="192">
        <v>301.27999999999997</v>
      </c>
      <c r="J836" s="192">
        <f>SUM(H836:I836)</f>
        <v>301.27999999999997</v>
      </c>
    </row>
    <row r="837" spans="1:10" outlineLevel="2">
      <c r="A837" s="191" t="s">
        <v>484</v>
      </c>
      <c r="B837" s="191" t="s">
        <v>477</v>
      </c>
      <c r="C837" s="191" t="s">
        <v>478</v>
      </c>
      <c r="D837" s="191" t="s">
        <v>1839</v>
      </c>
      <c r="E837" s="191" t="s">
        <v>2606</v>
      </c>
      <c r="F837" s="191" t="s">
        <v>1487</v>
      </c>
      <c r="G837" s="191">
        <v>21</v>
      </c>
      <c r="H837" s="192">
        <v>0</v>
      </c>
      <c r="I837" s="192">
        <v>451.92</v>
      </c>
      <c r="J837" s="192">
        <f>SUM(H837:I837)</f>
        <v>451.92</v>
      </c>
    </row>
    <row r="838" spans="1:10" outlineLevel="2">
      <c r="A838" s="191" t="s">
        <v>485</v>
      </c>
      <c r="B838" s="191" t="s">
        <v>477</v>
      </c>
      <c r="C838" s="191" t="s">
        <v>478</v>
      </c>
      <c r="D838" s="191" t="s">
        <v>486</v>
      </c>
      <c r="E838" s="191" t="s">
        <v>1482</v>
      </c>
      <c r="F838" s="191" t="s">
        <v>1482</v>
      </c>
      <c r="G838" s="191">
        <v>7</v>
      </c>
      <c r="H838" s="192">
        <v>0</v>
      </c>
      <c r="I838" s="192">
        <v>150.63999999999999</v>
      </c>
      <c r="J838" s="192">
        <f>SUM(H838:I838)</f>
        <v>150.63999999999999</v>
      </c>
    </row>
    <row r="839" spans="1:10" outlineLevel="2">
      <c r="A839" s="191" t="s">
        <v>485</v>
      </c>
      <c r="B839" s="191" t="s">
        <v>477</v>
      </c>
      <c r="C839" s="191" t="s">
        <v>478</v>
      </c>
      <c r="D839" s="191" t="s">
        <v>2009</v>
      </c>
      <c r="E839" s="191" t="s">
        <v>2661</v>
      </c>
      <c r="F839" s="191" t="s">
        <v>2661</v>
      </c>
      <c r="G839" s="191">
        <v>7</v>
      </c>
      <c r="H839" s="192">
        <v>0</v>
      </c>
      <c r="I839" s="192">
        <v>150.63999999999999</v>
      </c>
      <c r="J839" s="192">
        <f>SUM(H839:I839)</f>
        <v>150.63999999999999</v>
      </c>
    </row>
    <row r="840" spans="1:10" outlineLevel="2">
      <c r="A840" s="191" t="s">
        <v>485</v>
      </c>
      <c r="B840" s="191" t="s">
        <v>477</v>
      </c>
      <c r="C840" s="191" t="s">
        <v>478</v>
      </c>
      <c r="D840" s="191" t="s">
        <v>2010</v>
      </c>
      <c r="E840" s="191" t="s">
        <v>2629</v>
      </c>
      <c r="F840" s="191" t="s">
        <v>2629</v>
      </c>
      <c r="G840" s="191">
        <v>7</v>
      </c>
      <c r="H840" s="192">
        <v>0</v>
      </c>
      <c r="I840" s="192">
        <v>150.63999999999999</v>
      </c>
      <c r="J840" s="192">
        <f>SUM(H840:I840)</f>
        <v>150.63999999999999</v>
      </c>
    </row>
    <row r="841" spans="1:10" outlineLevel="2">
      <c r="A841" s="191" t="s">
        <v>485</v>
      </c>
      <c r="B841" s="191" t="s">
        <v>477</v>
      </c>
      <c r="C841" s="191" t="s">
        <v>478</v>
      </c>
      <c r="D841" s="191" t="s">
        <v>1997</v>
      </c>
      <c r="E841" s="191" t="s">
        <v>2607</v>
      </c>
      <c r="F841" s="191" t="s">
        <v>1500</v>
      </c>
      <c r="G841" s="191">
        <v>21</v>
      </c>
      <c r="H841" s="192">
        <v>0</v>
      </c>
      <c r="I841" s="192">
        <v>439.5</v>
      </c>
      <c r="J841" s="192">
        <f>SUM(H841:I841)</f>
        <v>439.5</v>
      </c>
    </row>
    <row r="842" spans="1:10" outlineLevel="2">
      <c r="A842" s="191" t="s">
        <v>487</v>
      </c>
      <c r="B842" s="191" t="s">
        <v>477</v>
      </c>
      <c r="C842" s="191" t="s">
        <v>478</v>
      </c>
      <c r="D842" s="191" t="s">
        <v>2011</v>
      </c>
      <c r="E842" s="191" t="s">
        <v>2651</v>
      </c>
      <c r="F842" s="191" t="s">
        <v>2651</v>
      </c>
      <c r="G842" s="191">
        <v>7</v>
      </c>
      <c r="H842" s="192">
        <v>0</v>
      </c>
      <c r="I842" s="192">
        <v>136.59</v>
      </c>
      <c r="J842" s="192">
        <f>SUM(H842:I842)</f>
        <v>136.59</v>
      </c>
    </row>
    <row r="843" spans="1:10" outlineLevel="2">
      <c r="A843" s="191" t="s">
        <v>487</v>
      </c>
      <c r="B843" s="191" t="s">
        <v>477</v>
      </c>
      <c r="C843" s="191" t="s">
        <v>478</v>
      </c>
      <c r="D843" s="191" t="s">
        <v>2012</v>
      </c>
      <c r="E843" s="191" t="s">
        <v>2595</v>
      </c>
      <c r="F843" s="191" t="s">
        <v>2596</v>
      </c>
      <c r="G843" s="191">
        <v>14</v>
      </c>
      <c r="H843" s="192">
        <v>0</v>
      </c>
      <c r="I843" s="192">
        <v>273.18</v>
      </c>
      <c r="J843" s="192">
        <f>SUM(H843:I843)</f>
        <v>273.18</v>
      </c>
    </row>
    <row r="844" spans="1:10" outlineLevel="2">
      <c r="A844" s="191" t="s">
        <v>487</v>
      </c>
      <c r="B844" s="191" t="s">
        <v>477</v>
      </c>
      <c r="C844" s="191" t="s">
        <v>478</v>
      </c>
      <c r="D844" s="191" t="s">
        <v>2013</v>
      </c>
      <c r="E844" s="191" t="s">
        <v>2647</v>
      </c>
      <c r="F844" s="191" t="s">
        <v>2599</v>
      </c>
      <c r="G844" s="191">
        <v>14</v>
      </c>
      <c r="H844" s="192">
        <v>0</v>
      </c>
      <c r="I844" s="192">
        <v>273.18</v>
      </c>
      <c r="J844" s="192">
        <f>SUM(H844:I844)</f>
        <v>273.18</v>
      </c>
    </row>
    <row r="845" spans="1:10" outlineLevel="2">
      <c r="A845" s="191" t="s">
        <v>487</v>
      </c>
      <c r="B845" s="191" t="s">
        <v>477</v>
      </c>
      <c r="C845" s="191" t="s">
        <v>478</v>
      </c>
      <c r="D845" s="191" t="s">
        <v>1997</v>
      </c>
      <c r="E845" s="191" t="s">
        <v>2607</v>
      </c>
      <c r="F845" s="191" t="s">
        <v>1500</v>
      </c>
      <c r="G845" s="191">
        <v>21</v>
      </c>
      <c r="H845" s="192">
        <v>0</v>
      </c>
      <c r="I845" s="192">
        <v>416.91</v>
      </c>
      <c r="J845" s="192">
        <f>SUM(H845:I845)</f>
        <v>416.91</v>
      </c>
    </row>
    <row r="846" spans="1:10" outlineLevel="2">
      <c r="A846" s="191" t="s">
        <v>2877</v>
      </c>
      <c r="B846" s="191" t="s">
        <v>477</v>
      </c>
      <c r="C846" s="191" t="s">
        <v>478</v>
      </c>
      <c r="D846" s="191" t="s">
        <v>1997</v>
      </c>
      <c r="E846" s="191" t="s">
        <v>1499</v>
      </c>
      <c r="F846" s="191" t="s">
        <v>1500</v>
      </c>
      <c r="G846" s="191">
        <v>14</v>
      </c>
      <c r="H846" s="192">
        <v>0</v>
      </c>
      <c r="I846" s="192">
        <v>271.08</v>
      </c>
      <c r="J846" s="192">
        <f>SUM(H846:I846)</f>
        <v>271.08</v>
      </c>
    </row>
    <row r="847" spans="1:10" outlineLevel="2">
      <c r="A847" s="191" t="s">
        <v>488</v>
      </c>
      <c r="B847" s="191" t="s">
        <v>477</v>
      </c>
      <c r="C847" s="191" t="s">
        <v>478</v>
      </c>
      <c r="D847" s="191" t="s">
        <v>1997</v>
      </c>
      <c r="E847" s="191" t="s">
        <v>2607</v>
      </c>
      <c r="F847" s="191" t="s">
        <v>1500</v>
      </c>
      <c r="G847" s="191">
        <v>21</v>
      </c>
      <c r="H847" s="192">
        <v>0</v>
      </c>
      <c r="I847" s="192">
        <v>406.62</v>
      </c>
      <c r="J847" s="192">
        <f>SUM(H847:I847)</f>
        <v>406.62</v>
      </c>
    </row>
    <row r="848" spans="1:10" outlineLevel="2">
      <c r="A848" s="191" t="s">
        <v>489</v>
      </c>
      <c r="B848" s="191" t="s">
        <v>477</v>
      </c>
      <c r="C848" s="191" t="s">
        <v>478</v>
      </c>
      <c r="D848" s="191" t="s">
        <v>2014</v>
      </c>
      <c r="E848" s="191" t="s">
        <v>2664</v>
      </c>
      <c r="F848" s="191" t="s">
        <v>2664</v>
      </c>
      <c r="G848" s="191">
        <v>7</v>
      </c>
      <c r="H848" s="192">
        <v>0</v>
      </c>
      <c r="I848" s="192">
        <v>177.9</v>
      </c>
      <c r="J848" s="192">
        <f>SUM(H848:I848)</f>
        <v>177.9</v>
      </c>
    </row>
    <row r="849" spans="1:10" outlineLevel="2">
      <c r="A849" s="191" t="s">
        <v>489</v>
      </c>
      <c r="B849" s="191" t="s">
        <v>477</v>
      </c>
      <c r="C849" s="191" t="s">
        <v>478</v>
      </c>
      <c r="D849" s="191" t="s">
        <v>1997</v>
      </c>
      <c r="E849" s="191" t="s">
        <v>2607</v>
      </c>
      <c r="F849" s="191" t="s">
        <v>1500</v>
      </c>
      <c r="G849" s="191">
        <v>21</v>
      </c>
      <c r="H849" s="192">
        <v>0</v>
      </c>
      <c r="I849" s="192">
        <v>536.30999999999995</v>
      </c>
      <c r="J849" s="192">
        <f>SUM(H849:I849)</f>
        <v>536.30999999999995</v>
      </c>
    </row>
    <row r="850" spans="1:10" outlineLevel="2">
      <c r="A850" s="191" t="s">
        <v>2878</v>
      </c>
      <c r="B850" s="191" t="s">
        <v>477</v>
      </c>
      <c r="C850" s="191" t="s">
        <v>478</v>
      </c>
      <c r="D850" s="191" t="s">
        <v>1997</v>
      </c>
      <c r="E850" s="191" t="s">
        <v>1499</v>
      </c>
      <c r="F850" s="191" t="s">
        <v>1500</v>
      </c>
      <c r="G850" s="191">
        <v>14</v>
      </c>
      <c r="H850" s="192">
        <v>0</v>
      </c>
      <c r="I850" s="192">
        <v>271.08</v>
      </c>
      <c r="J850" s="192">
        <f>SUM(H850:I850)</f>
        <v>271.08</v>
      </c>
    </row>
    <row r="851" spans="1:10" outlineLevel="2">
      <c r="A851" s="191" t="s">
        <v>490</v>
      </c>
      <c r="B851" s="191" t="s">
        <v>477</v>
      </c>
      <c r="C851" s="191" t="s">
        <v>478</v>
      </c>
      <c r="D851" s="191" t="s">
        <v>2015</v>
      </c>
      <c r="E851" s="191" t="s">
        <v>2600</v>
      </c>
      <c r="F851" s="191" t="s">
        <v>2600</v>
      </c>
      <c r="G851" s="191">
        <v>7</v>
      </c>
      <c r="H851" s="192">
        <v>0</v>
      </c>
      <c r="I851" s="192">
        <v>158.74</v>
      </c>
      <c r="J851" s="192">
        <f>SUM(H851:I851)</f>
        <v>158.74</v>
      </c>
    </row>
    <row r="852" spans="1:10" outlineLevel="2">
      <c r="A852" s="191" t="s">
        <v>490</v>
      </c>
      <c r="B852" s="191" t="s">
        <v>477</v>
      </c>
      <c r="C852" s="191" t="s">
        <v>478</v>
      </c>
      <c r="D852" s="191" t="s">
        <v>2016</v>
      </c>
      <c r="E852" s="191" t="s">
        <v>2654</v>
      </c>
      <c r="F852" s="191" t="s">
        <v>2654</v>
      </c>
      <c r="G852" s="191">
        <v>7</v>
      </c>
      <c r="H852" s="192">
        <v>0</v>
      </c>
      <c r="I852" s="192">
        <v>158.74</v>
      </c>
      <c r="J852" s="192">
        <f>SUM(H852:I852)</f>
        <v>158.74</v>
      </c>
    </row>
    <row r="853" spans="1:10" outlineLevel="2">
      <c r="A853" s="191" t="s">
        <v>490</v>
      </c>
      <c r="B853" s="191" t="s">
        <v>477</v>
      </c>
      <c r="C853" s="191" t="s">
        <v>478</v>
      </c>
      <c r="D853" s="191" t="s">
        <v>2017</v>
      </c>
      <c r="E853" s="191" t="s">
        <v>2608</v>
      </c>
      <c r="F853" s="191" t="s">
        <v>2608</v>
      </c>
      <c r="G853" s="191">
        <v>7</v>
      </c>
      <c r="H853" s="192">
        <v>0</v>
      </c>
      <c r="I853" s="192">
        <v>158.74</v>
      </c>
      <c r="J853" s="192">
        <f>SUM(H853:I853)</f>
        <v>158.74</v>
      </c>
    </row>
    <row r="854" spans="1:10" outlineLevel="2">
      <c r="A854" s="191" t="s">
        <v>490</v>
      </c>
      <c r="B854" s="191" t="s">
        <v>477</v>
      </c>
      <c r="C854" s="191" t="s">
        <v>478</v>
      </c>
      <c r="D854" s="191" t="s">
        <v>2018</v>
      </c>
      <c r="E854" s="191" t="s">
        <v>2664</v>
      </c>
      <c r="F854" s="191" t="s">
        <v>2664</v>
      </c>
      <c r="G854" s="191">
        <v>7</v>
      </c>
      <c r="H854" s="192">
        <v>0</v>
      </c>
      <c r="I854" s="192">
        <v>158.74</v>
      </c>
      <c r="J854" s="192">
        <f>SUM(H854:I854)</f>
        <v>158.74</v>
      </c>
    </row>
    <row r="855" spans="1:10" outlineLevel="2">
      <c r="A855" s="191" t="s">
        <v>490</v>
      </c>
      <c r="B855" s="191" t="s">
        <v>477</v>
      </c>
      <c r="C855" s="191" t="s">
        <v>478</v>
      </c>
      <c r="D855" s="191" t="s">
        <v>2019</v>
      </c>
      <c r="E855" s="191" t="s">
        <v>2640</v>
      </c>
      <c r="F855" s="191" t="s">
        <v>2640</v>
      </c>
      <c r="G855" s="191">
        <v>7</v>
      </c>
      <c r="H855" s="192">
        <v>0</v>
      </c>
      <c r="I855" s="192">
        <v>159.51</v>
      </c>
      <c r="J855" s="192">
        <f>SUM(H855:I855)</f>
        <v>159.51</v>
      </c>
    </row>
    <row r="856" spans="1:10" outlineLevel="2">
      <c r="A856" s="191" t="s">
        <v>490</v>
      </c>
      <c r="B856" s="191" t="s">
        <v>477</v>
      </c>
      <c r="C856" s="191" t="s">
        <v>478</v>
      </c>
      <c r="D856" s="191" t="s">
        <v>2020</v>
      </c>
      <c r="E856" s="191" t="s">
        <v>2714</v>
      </c>
      <c r="F856" s="191" t="s">
        <v>2716</v>
      </c>
      <c r="G856" s="191">
        <v>21</v>
      </c>
      <c r="H856" s="192">
        <v>0</v>
      </c>
      <c r="I856" s="192">
        <v>476.22</v>
      </c>
      <c r="J856" s="192">
        <f>SUM(H856:I856)</f>
        <v>476.22</v>
      </c>
    </row>
    <row r="857" spans="1:10" outlineLevel="2">
      <c r="A857" s="191" t="s">
        <v>491</v>
      </c>
      <c r="B857" s="191" t="s">
        <v>492</v>
      </c>
      <c r="C857" s="191" t="s">
        <v>478</v>
      </c>
      <c r="D857" s="191" t="s">
        <v>2021</v>
      </c>
      <c r="E857" s="191" t="s">
        <v>2646</v>
      </c>
      <c r="F857" s="191" t="s">
        <v>2646</v>
      </c>
      <c r="G857" s="191">
        <v>7</v>
      </c>
      <c r="H857" s="192">
        <v>0</v>
      </c>
      <c r="I857" s="192">
        <v>132.9</v>
      </c>
      <c r="J857" s="192">
        <f>SUM(H857:I857)</f>
        <v>132.9</v>
      </c>
    </row>
    <row r="858" spans="1:10" outlineLevel="2">
      <c r="A858" s="191" t="s">
        <v>491</v>
      </c>
      <c r="B858" s="191" t="s">
        <v>492</v>
      </c>
      <c r="C858" s="191" t="s">
        <v>478</v>
      </c>
      <c r="D858" s="191" t="s">
        <v>2022</v>
      </c>
      <c r="E858" s="191" t="s">
        <v>2694</v>
      </c>
      <c r="F858" s="191" t="s">
        <v>2694</v>
      </c>
      <c r="G858" s="191">
        <v>7</v>
      </c>
      <c r="H858" s="192">
        <v>0</v>
      </c>
      <c r="I858" s="192">
        <v>132.9</v>
      </c>
      <c r="J858" s="192">
        <f>SUM(H858:I858)</f>
        <v>132.9</v>
      </c>
    </row>
    <row r="859" spans="1:10" outlineLevel="2">
      <c r="A859" s="191" t="s">
        <v>491</v>
      </c>
      <c r="B859" s="191" t="s">
        <v>492</v>
      </c>
      <c r="C859" s="191" t="s">
        <v>478</v>
      </c>
      <c r="D859" s="191" t="s">
        <v>2023</v>
      </c>
      <c r="E859" s="191" t="s">
        <v>2714</v>
      </c>
      <c r="F859" s="191" t="s">
        <v>2728</v>
      </c>
      <c r="G859" s="191">
        <v>14</v>
      </c>
      <c r="H859" s="192">
        <v>0</v>
      </c>
      <c r="I859" s="192">
        <v>466.6</v>
      </c>
      <c r="J859" s="192">
        <f>SUM(H859:I859)</f>
        <v>466.6</v>
      </c>
    </row>
    <row r="860" spans="1:10" outlineLevel="2">
      <c r="A860" s="191" t="s">
        <v>491</v>
      </c>
      <c r="B860" s="191" t="s">
        <v>492</v>
      </c>
      <c r="C860" s="191" t="s">
        <v>478</v>
      </c>
      <c r="D860" s="191" t="s">
        <v>1997</v>
      </c>
      <c r="E860" s="191" t="s">
        <v>1499</v>
      </c>
      <c r="F860" s="191" t="s">
        <v>1500</v>
      </c>
      <c r="G860" s="191">
        <v>14</v>
      </c>
      <c r="H860" s="192">
        <v>0</v>
      </c>
      <c r="I860" s="192">
        <v>265.8</v>
      </c>
      <c r="J860" s="192">
        <f>SUM(H860:I860)</f>
        <v>265.8</v>
      </c>
    </row>
    <row r="861" spans="1:10" outlineLevel="2">
      <c r="A861" s="191" t="s">
        <v>491</v>
      </c>
      <c r="B861" s="191" t="s">
        <v>492</v>
      </c>
      <c r="C861" s="191" t="s">
        <v>478</v>
      </c>
      <c r="D861" s="191" t="s">
        <v>1839</v>
      </c>
      <c r="E861" s="191" t="s">
        <v>2606</v>
      </c>
      <c r="F861" s="191" t="s">
        <v>1487</v>
      </c>
      <c r="G861" s="191">
        <v>21</v>
      </c>
      <c r="H861" s="192">
        <v>0</v>
      </c>
      <c r="I861" s="192">
        <v>699.9</v>
      </c>
      <c r="J861" s="192">
        <f>SUM(H861:I861)</f>
        <v>699.9</v>
      </c>
    </row>
    <row r="862" spans="1:10" outlineLevel="2">
      <c r="A862" s="191" t="s">
        <v>491</v>
      </c>
      <c r="B862" s="191" t="s">
        <v>492</v>
      </c>
      <c r="C862" s="191" t="s">
        <v>478</v>
      </c>
      <c r="D862" s="191" t="s">
        <v>2024</v>
      </c>
      <c r="E862" s="191" t="s">
        <v>2710</v>
      </c>
      <c r="F862" s="191" t="s">
        <v>2710</v>
      </c>
      <c r="G862" s="191" t="s">
        <v>2760</v>
      </c>
      <c r="H862" s="192">
        <v>0</v>
      </c>
      <c r="I862" s="192">
        <v>0</v>
      </c>
      <c r="J862" s="192">
        <f>SUM(H862:I862)</f>
        <v>0</v>
      </c>
    </row>
    <row r="863" spans="1:10" outlineLevel="2">
      <c r="A863" s="191" t="s">
        <v>493</v>
      </c>
      <c r="B863" s="191" t="s">
        <v>477</v>
      </c>
      <c r="C863" s="191" t="s">
        <v>478</v>
      </c>
      <c r="D863" s="191" t="s">
        <v>2025</v>
      </c>
      <c r="E863" s="191" t="s">
        <v>2710</v>
      </c>
      <c r="F863" s="191" t="s">
        <v>2710</v>
      </c>
      <c r="G863" s="191">
        <v>7</v>
      </c>
      <c r="H863" s="192">
        <v>0</v>
      </c>
      <c r="I863" s="192">
        <v>166.83</v>
      </c>
      <c r="J863" s="192">
        <f>SUM(H863:I863)</f>
        <v>166.83</v>
      </c>
    </row>
    <row r="864" spans="1:10" outlineLevel="2">
      <c r="A864" s="191" t="s">
        <v>493</v>
      </c>
      <c r="B864" s="191" t="s">
        <v>477</v>
      </c>
      <c r="C864" s="191" t="s">
        <v>478</v>
      </c>
      <c r="D864" s="191" t="s">
        <v>2026</v>
      </c>
      <c r="E864" s="191" t="s">
        <v>2600</v>
      </c>
      <c r="F864" s="191" t="s">
        <v>2600</v>
      </c>
      <c r="G864" s="191">
        <v>7</v>
      </c>
      <c r="H864" s="192">
        <v>0</v>
      </c>
      <c r="I864" s="192">
        <v>166.83</v>
      </c>
      <c r="J864" s="192">
        <f>SUM(H864:I864)</f>
        <v>166.83</v>
      </c>
    </row>
    <row r="865" spans="1:10" outlineLevel="2">
      <c r="A865" s="191" t="s">
        <v>493</v>
      </c>
      <c r="B865" s="191" t="s">
        <v>477</v>
      </c>
      <c r="C865" s="191" t="s">
        <v>478</v>
      </c>
      <c r="D865" s="191" t="s">
        <v>2027</v>
      </c>
      <c r="E865" s="191" t="s">
        <v>2617</v>
      </c>
      <c r="F865" s="191" t="s">
        <v>2617</v>
      </c>
      <c r="G865" s="191">
        <v>7</v>
      </c>
      <c r="H865" s="192">
        <v>0</v>
      </c>
      <c r="I865" s="192">
        <v>167.65</v>
      </c>
      <c r="J865" s="192">
        <f>SUM(H865:I865)</f>
        <v>167.65</v>
      </c>
    </row>
    <row r="866" spans="1:10" outlineLevel="2">
      <c r="A866" s="191" t="s">
        <v>493</v>
      </c>
      <c r="B866" s="191" t="s">
        <v>477</v>
      </c>
      <c r="C866" s="191" t="s">
        <v>478</v>
      </c>
      <c r="D866" s="191" t="s">
        <v>2028</v>
      </c>
      <c r="E866" s="191" t="s">
        <v>2694</v>
      </c>
      <c r="F866" s="191" t="s">
        <v>2694</v>
      </c>
      <c r="G866" s="191">
        <v>7</v>
      </c>
      <c r="H866" s="192">
        <v>0</v>
      </c>
      <c r="I866" s="192">
        <v>167.65</v>
      </c>
      <c r="J866" s="192">
        <f>SUM(H866:I866)</f>
        <v>167.65</v>
      </c>
    </row>
    <row r="867" spans="1:10" outlineLevel="2">
      <c r="A867" s="191" t="s">
        <v>493</v>
      </c>
      <c r="B867" s="191" t="s">
        <v>477</v>
      </c>
      <c r="C867" s="191" t="s">
        <v>478</v>
      </c>
      <c r="D867" s="191" t="s">
        <v>2014</v>
      </c>
      <c r="E867" s="191" t="s">
        <v>2664</v>
      </c>
      <c r="F867" s="191" t="s">
        <v>2664</v>
      </c>
      <c r="G867" s="191">
        <v>12</v>
      </c>
      <c r="H867" s="192">
        <v>0</v>
      </c>
      <c r="I867" s="192">
        <v>285.99</v>
      </c>
      <c r="J867" s="192">
        <f>SUM(H867:I867)</f>
        <v>285.99</v>
      </c>
    </row>
    <row r="868" spans="1:10" outlineLevel="2">
      <c r="A868" s="191" t="s">
        <v>493</v>
      </c>
      <c r="B868" s="191" t="s">
        <v>477</v>
      </c>
      <c r="C868" s="191" t="s">
        <v>478</v>
      </c>
      <c r="D868" s="191" t="s">
        <v>1997</v>
      </c>
      <c r="E868" s="191" t="s">
        <v>1499</v>
      </c>
      <c r="F868" s="191" t="s">
        <v>1500</v>
      </c>
      <c r="G868" s="191">
        <v>14</v>
      </c>
      <c r="H868" s="192">
        <v>0</v>
      </c>
      <c r="I868" s="192">
        <v>335.3</v>
      </c>
      <c r="J868" s="192">
        <f>SUM(H868:I868)</f>
        <v>335.3</v>
      </c>
    </row>
    <row r="869" spans="1:10" outlineLevel="2">
      <c r="A869" s="191" t="s">
        <v>494</v>
      </c>
      <c r="B869" s="191" t="s">
        <v>477</v>
      </c>
      <c r="C869" s="191" t="s">
        <v>478</v>
      </c>
      <c r="D869" s="191" t="s">
        <v>486</v>
      </c>
      <c r="E869" s="191" t="s">
        <v>1482</v>
      </c>
      <c r="F869" s="191" t="s">
        <v>1482</v>
      </c>
      <c r="G869" s="191">
        <v>7</v>
      </c>
      <c r="H869" s="192">
        <v>0</v>
      </c>
      <c r="I869" s="192">
        <v>171.94</v>
      </c>
      <c r="J869" s="192">
        <f>SUM(H869:I869)</f>
        <v>171.94</v>
      </c>
    </row>
    <row r="870" spans="1:10" outlineLevel="2">
      <c r="A870" s="191" t="s">
        <v>494</v>
      </c>
      <c r="B870" s="191" t="s">
        <v>477</v>
      </c>
      <c r="C870" s="191" t="s">
        <v>478</v>
      </c>
      <c r="D870" s="191" t="s">
        <v>2009</v>
      </c>
      <c r="E870" s="191" t="s">
        <v>2661</v>
      </c>
      <c r="F870" s="191" t="s">
        <v>2661</v>
      </c>
      <c r="G870" s="191">
        <v>7</v>
      </c>
      <c r="H870" s="192">
        <v>0</v>
      </c>
      <c r="I870" s="192">
        <v>171.94</v>
      </c>
      <c r="J870" s="192">
        <f>SUM(H870:I870)</f>
        <v>171.94</v>
      </c>
    </row>
    <row r="871" spans="1:10" outlineLevel="2">
      <c r="A871" s="191" t="s">
        <v>494</v>
      </c>
      <c r="B871" s="191" t="s">
        <v>477</v>
      </c>
      <c r="C871" s="191" t="s">
        <v>478</v>
      </c>
      <c r="D871" s="191" t="s">
        <v>2029</v>
      </c>
      <c r="E871" s="191" t="s">
        <v>2664</v>
      </c>
      <c r="F871" s="191" t="s">
        <v>2664</v>
      </c>
      <c r="G871" s="191">
        <v>7</v>
      </c>
      <c r="H871" s="192">
        <v>0</v>
      </c>
      <c r="I871" s="192">
        <v>171.94</v>
      </c>
      <c r="J871" s="192">
        <f>SUM(H871:I871)</f>
        <v>171.94</v>
      </c>
    </row>
    <row r="872" spans="1:10" outlineLevel="2">
      <c r="A872" s="191" t="s">
        <v>494</v>
      </c>
      <c r="B872" s="191" t="s">
        <v>477</v>
      </c>
      <c r="C872" s="191" t="s">
        <v>478</v>
      </c>
      <c r="D872" s="191" t="s">
        <v>2030</v>
      </c>
      <c r="E872" s="191" t="s">
        <v>2700</v>
      </c>
      <c r="F872" s="191" t="s">
        <v>2614</v>
      </c>
      <c r="G872" s="191">
        <v>14</v>
      </c>
      <c r="H872" s="192">
        <v>0</v>
      </c>
      <c r="I872" s="192">
        <v>343.88</v>
      </c>
      <c r="J872" s="192">
        <f>SUM(H872:I872)</f>
        <v>343.88</v>
      </c>
    </row>
    <row r="873" spans="1:10" outlineLevel="2">
      <c r="A873" s="191" t="s">
        <v>494</v>
      </c>
      <c r="B873" s="191" t="s">
        <v>477</v>
      </c>
      <c r="C873" s="191" t="s">
        <v>478</v>
      </c>
      <c r="D873" s="191" t="s">
        <v>1997</v>
      </c>
      <c r="E873" s="191" t="s">
        <v>2607</v>
      </c>
      <c r="F873" s="191" t="s">
        <v>1500</v>
      </c>
      <c r="G873" s="191">
        <v>21</v>
      </c>
      <c r="H873" s="192">
        <v>0</v>
      </c>
      <c r="I873" s="192">
        <v>501.63</v>
      </c>
      <c r="J873" s="192">
        <f>SUM(H873:I873)</f>
        <v>501.63</v>
      </c>
    </row>
    <row r="874" spans="1:10" outlineLevel="2">
      <c r="A874" s="191" t="s">
        <v>2879</v>
      </c>
      <c r="B874" s="191" t="s">
        <v>147</v>
      </c>
      <c r="C874" s="191" t="s">
        <v>478</v>
      </c>
      <c r="D874" s="191" t="s">
        <v>2031</v>
      </c>
      <c r="E874" s="191" t="s">
        <v>2645</v>
      </c>
      <c r="F874" s="191" t="s">
        <v>2640</v>
      </c>
      <c r="G874" s="191">
        <v>14</v>
      </c>
      <c r="H874" s="192">
        <v>0</v>
      </c>
      <c r="I874" s="192">
        <v>109.06</v>
      </c>
      <c r="J874" s="192">
        <f>SUM(H874:I874)</f>
        <v>109.06</v>
      </c>
    </row>
    <row r="875" spans="1:10" outlineLevel="2">
      <c r="A875" s="191" t="s">
        <v>495</v>
      </c>
      <c r="B875" s="191" t="s">
        <v>116</v>
      </c>
      <c r="C875" s="191" t="s">
        <v>478</v>
      </c>
      <c r="D875" s="191" t="s">
        <v>2032</v>
      </c>
      <c r="E875" s="191" t="s">
        <v>2707</v>
      </c>
      <c r="F875" s="191" t="s">
        <v>2707</v>
      </c>
      <c r="G875" s="191">
        <v>7</v>
      </c>
      <c r="H875" s="192">
        <v>0</v>
      </c>
      <c r="I875" s="192">
        <v>63.11</v>
      </c>
      <c r="J875" s="192">
        <f>SUM(H875:I875)</f>
        <v>63.11</v>
      </c>
    </row>
    <row r="876" spans="1:10" outlineLevel="2">
      <c r="A876" s="191" t="s">
        <v>2880</v>
      </c>
      <c r="B876" s="191" t="s">
        <v>112</v>
      </c>
      <c r="C876" s="191" t="s">
        <v>478</v>
      </c>
      <c r="D876" s="191" t="s">
        <v>2033</v>
      </c>
      <c r="E876" s="191" t="s">
        <v>2660</v>
      </c>
      <c r="F876" s="191" t="s">
        <v>2660</v>
      </c>
      <c r="G876" s="191">
        <v>7</v>
      </c>
      <c r="H876" s="192">
        <v>0</v>
      </c>
      <c r="I876" s="192">
        <v>58.69</v>
      </c>
      <c r="J876" s="192">
        <f>SUM(H876:I876)</f>
        <v>58.69</v>
      </c>
    </row>
    <row r="877" spans="1:10" outlineLevel="2">
      <c r="A877" s="191" t="s">
        <v>496</v>
      </c>
      <c r="B877" s="191" t="s">
        <v>477</v>
      </c>
      <c r="C877" s="191" t="s">
        <v>478</v>
      </c>
      <c r="D877" s="191" t="s">
        <v>2034</v>
      </c>
      <c r="E877" s="191" t="s">
        <v>2710</v>
      </c>
      <c r="F877" s="191" t="s">
        <v>2710</v>
      </c>
      <c r="G877" s="191">
        <v>7</v>
      </c>
      <c r="H877" s="192">
        <v>0</v>
      </c>
      <c r="I877" s="192">
        <v>173.81</v>
      </c>
      <c r="J877" s="192">
        <f>SUM(H877:I877)</f>
        <v>173.81</v>
      </c>
    </row>
    <row r="878" spans="1:10" outlineLevel="2">
      <c r="A878" s="191" t="s">
        <v>496</v>
      </c>
      <c r="B878" s="191" t="s">
        <v>477</v>
      </c>
      <c r="C878" s="191" t="s">
        <v>478</v>
      </c>
      <c r="D878" s="191" t="s">
        <v>2021</v>
      </c>
      <c r="E878" s="191" t="s">
        <v>2646</v>
      </c>
      <c r="F878" s="191" t="s">
        <v>2646</v>
      </c>
      <c r="G878" s="191">
        <v>7</v>
      </c>
      <c r="H878" s="192">
        <v>0</v>
      </c>
      <c r="I878" s="192">
        <v>180.48</v>
      </c>
      <c r="J878" s="192">
        <f>SUM(H878:I878)</f>
        <v>180.48</v>
      </c>
    </row>
    <row r="879" spans="1:10" outlineLevel="2">
      <c r="A879" s="191" t="s">
        <v>496</v>
      </c>
      <c r="B879" s="191" t="s">
        <v>477</v>
      </c>
      <c r="C879" s="191" t="s">
        <v>478</v>
      </c>
      <c r="D879" s="191" t="s">
        <v>1997</v>
      </c>
      <c r="E879" s="191" t="s">
        <v>2607</v>
      </c>
      <c r="F879" s="191" t="s">
        <v>1500</v>
      </c>
      <c r="G879" s="191">
        <v>21</v>
      </c>
      <c r="H879" s="192">
        <v>0</v>
      </c>
      <c r="I879" s="192">
        <v>541.44000000000005</v>
      </c>
      <c r="J879" s="192">
        <f>SUM(H879:I879)</f>
        <v>541.44000000000005</v>
      </c>
    </row>
    <row r="880" spans="1:10" outlineLevel="2">
      <c r="A880" s="191" t="s">
        <v>497</v>
      </c>
      <c r="B880" s="191" t="s">
        <v>116</v>
      </c>
      <c r="C880" s="191" t="s">
        <v>478</v>
      </c>
      <c r="D880" s="191" t="s">
        <v>2035</v>
      </c>
      <c r="E880" s="191" t="s">
        <v>2588</v>
      </c>
      <c r="F880" s="191" t="s">
        <v>2588</v>
      </c>
      <c r="G880" s="191">
        <v>7</v>
      </c>
      <c r="H880" s="192">
        <v>0</v>
      </c>
      <c r="I880" s="192">
        <v>63.11</v>
      </c>
      <c r="J880" s="192">
        <f>SUM(H880:I880)</f>
        <v>63.11</v>
      </c>
    </row>
    <row r="881" spans="1:10" outlineLevel="2">
      <c r="A881" s="191" t="s">
        <v>497</v>
      </c>
      <c r="B881" s="191" t="s">
        <v>116</v>
      </c>
      <c r="C881" s="191" t="s">
        <v>478</v>
      </c>
      <c r="D881" s="191" t="s">
        <v>2036</v>
      </c>
      <c r="E881" s="191" t="s">
        <v>2710</v>
      </c>
      <c r="F881" s="191" t="s">
        <v>2660</v>
      </c>
      <c r="G881" s="191">
        <v>14</v>
      </c>
      <c r="H881" s="192">
        <v>0</v>
      </c>
      <c r="I881" s="192">
        <v>126.22</v>
      </c>
      <c r="J881" s="192">
        <f>SUM(H881:I881)</f>
        <v>126.22</v>
      </c>
    </row>
    <row r="882" spans="1:10" outlineLevel="2">
      <c r="A882" s="191" t="s">
        <v>498</v>
      </c>
      <c r="B882" s="191" t="s">
        <v>477</v>
      </c>
      <c r="C882" s="191" t="s">
        <v>478</v>
      </c>
      <c r="D882" s="191" t="s">
        <v>2027</v>
      </c>
      <c r="E882" s="191" t="s">
        <v>2617</v>
      </c>
      <c r="F882" s="191" t="s">
        <v>2617</v>
      </c>
      <c r="G882" s="191">
        <v>7</v>
      </c>
      <c r="H882" s="192">
        <v>0</v>
      </c>
      <c r="I882" s="192">
        <v>169.36</v>
      </c>
      <c r="J882" s="192">
        <f>SUM(H882:I882)</f>
        <v>169.36</v>
      </c>
    </row>
    <row r="883" spans="1:10" outlineLevel="2">
      <c r="A883" s="191" t="s">
        <v>498</v>
      </c>
      <c r="B883" s="191" t="s">
        <v>477</v>
      </c>
      <c r="C883" s="191" t="s">
        <v>478</v>
      </c>
      <c r="D883" s="191" t="s">
        <v>2028</v>
      </c>
      <c r="E883" s="191" t="s">
        <v>2694</v>
      </c>
      <c r="F883" s="191" t="s">
        <v>2694</v>
      </c>
      <c r="G883" s="191">
        <v>7</v>
      </c>
      <c r="H883" s="192">
        <v>0</v>
      </c>
      <c r="I883" s="192">
        <v>169.36</v>
      </c>
      <c r="J883" s="192">
        <f>SUM(H883:I883)</f>
        <v>169.36</v>
      </c>
    </row>
    <row r="884" spans="1:10" outlineLevel="2">
      <c r="A884" s="191" t="s">
        <v>499</v>
      </c>
      <c r="B884" s="191" t="s">
        <v>477</v>
      </c>
      <c r="C884" s="191" t="s">
        <v>478</v>
      </c>
      <c r="D884" s="191" t="s">
        <v>2037</v>
      </c>
      <c r="E884" s="191" t="s">
        <v>1490</v>
      </c>
      <c r="F884" s="191" t="s">
        <v>1490</v>
      </c>
      <c r="G884" s="191">
        <v>7</v>
      </c>
      <c r="H884" s="192">
        <v>0</v>
      </c>
      <c r="I884" s="192">
        <v>137.25</v>
      </c>
      <c r="J884" s="192">
        <f>SUM(H884:I884)</f>
        <v>137.25</v>
      </c>
    </row>
    <row r="885" spans="1:10" outlineLevel="2">
      <c r="A885" s="191" t="s">
        <v>499</v>
      </c>
      <c r="B885" s="191" t="s">
        <v>477</v>
      </c>
      <c r="C885" s="191" t="s">
        <v>478</v>
      </c>
      <c r="D885" s="191" t="s">
        <v>2038</v>
      </c>
      <c r="E885" s="191" t="s">
        <v>2659</v>
      </c>
      <c r="F885" s="191" t="s">
        <v>2628</v>
      </c>
      <c r="G885" s="191" t="s">
        <v>2760</v>
      </c>
      <c r="H885" s="192">
        <v>0</v>
      </c>
      <c r="I885" s="192">
        <v>0</v>
      </c>
      <c r="J885" s="192">
        <f>SUM(H885:I885)</f>
        <v>0</v>
      </c>
    </row>
    <row r="886" spans="1:10" outlineLevel="2">
      <c r="A886" s="191" t="s">
        <v>499</v>
      </c>
      <c r="B886" s="191" t="s">
        <v>477</v>
      </c>
      <c r="C886" s="191" t="s">
        <v>478</v>
      </c>
      <c r="D886" s="191" t="s">
        <v>2007</v>
      </c>
      <c r="E886" s="191" t="s">
        <v>2661</v>
      </c>
      <c r="F886" s="191" t="s">
        <v>2661</v>
      </c>
      <c r="G886" s="191" t="s">
        <v>2760</v>
      </c>
      <c r="H886" s="192">
        <v>0</v>
      </c>
      <c r="I886" s="192">
        <v>0</v>
      </c>
      <c r="J886" s="192">
        <f>SUM(H886:I886)</f>
        <v>0</v>
      </c>
    </row>
    <row r="887" spans="1:10" outlineLevel="2">
      <c r="A887" s="191" t="s">
        <v>500</v>
      </c>
      <c r="B887" s="191" t="s">
        <v>477</v>
      </c>
      <c r="C887" s="191" t="s">
        <v>478</v>
      </c>
      <c r="D887" s="191" t="s">
        <v>486</v>
      </c>
      <c r="E887" s="191" t="s">
        <v>1482</v>
      </c>
      <c r="F887" s="191" t="s">
        <v>1482</v>
      </c>
      <c r="G887" s="191">
        <v>7</v>
      </c>
      <c r="H887" s="192">
        <v>0</v>
      </c>
      <c r="I887" s="192">
        <v>136.59</v>
      </c>
      <c r="J887" s="192">
        <f>SUM(H887:I887)</f>
        <v>136.59</v>
      </c>
    </row>
    <row r="888" spans="1:10" outlineLevel="2">
      <c r="A888" s="191" t="s">
        <v>500</v>
      </c>
      <c r="B888" s="191" t="s">
        <v>477</v>
      </c>
      <c r="C888" s="191" t="s">
        <v>478</v>
      </c>
      <c r="D888" s="191" t="s">
        <v>2039</v>
      </c>
      <c r="E888" s="191" t="s">
        <v>2687</v>
      </c>
      <c r="F888" s="191" t="s">
        <v>2687</v>
      </c>
      <c r="G888" s="191">
        <v>7</v>
      </c>
      <c r="H888" s="192">
        <v>0</v>
      </c>
      <c r="I888" s="192">
        <v>136.59</v>
      </c>
      <c r="J888" s="192">
        <f>SUM(H888:I888)</f>
        <v>136.59</v>
      </c>
    </row>
    <row r="889" spans="1:10" outlineLevel="2">
      <c r="A889" s="191" t="s">
        <v>500</v>
      </c>
      <c r="B889" s="191" t="s">
        <v>477</v>
      </c>
      <c r="C889" s="191" t="s">
        <v>478</v>
      </c>
      <c r="D889" s="191" t="s">
        <v>2040</v>
      </c>
      <c r="E889" s="191" t="s">
        <v>2661</v>
      </c>
      <c r="F889" s="191" t="s">
        <v>2661</v>
      </c>
      <c r="G889" s="191">
        <v>7</v>
      </c>
      <c r="H889" s="192">
        <v>0</v>
      </c>
      <c r="I889" s="192">
        <v>136.59</v>
      </c>
      <c r="J889" s="192">
        <f>SUM(H889:I889)</f>
        <v>136.59</v>
      </c>
    </row>
    <row r="890" spans="1:10" outlineLevel="2">
      <c r="A890" s="191" t="s">
        <v>501</v>
      </c>
      <c r="B890" s="191" t="s">
        <v>477</v>
      </c>
      <c r="C890" s="191" t="s">
        <v>478</v>
      </c>
      <c r="D890" s="191" t="s">
        <v>486</v>
      </c>
      <c r="E890" s="191" t="s">
        <v>1482</v>
      </c>
      <c r="F890" s="191" t="s">
        <v>1482</v>
      </c>
      <c r="G890" s="191">
        <v>7</v>
      </c>
      <c r="H890" s="192">
        <v>0</v>
      </c>
      <c r="I890" s="192">
        <v>134.88</v>
      </c>
      <c r="J890" s="192">
        <f>SUM(H890:I890)</f>
        <v>134.88</v>
      </c>
    </row>
    <row r="891" spans="1:10" outlineLevel="2">
      <c r="A891" s="191" t="s">
        <v>501</v>
      </c>
      <c r="B891" s="191" t="s">
        <v>477</v>
      </c>
      <c r="C891" s="191" t="s">
        <v>478</v>
      </c>
      <c r="D891" s="191" t="s">
        <v>2041</v>
      </c>
      <c r="E891" s="191" t="s">
        <v>2630</v>
      </c>
      <c r="F891" s="191" t="s">
        <v>2617</v>
      </c>
      <c r="G891" s="191">
        <v>14</v>
      </c>
      <c r="H891" s="192">
        <v>0</v>
      </c>
      <c r="I891" s="192">
        <v>274.5</v>
      </c>
      <c r="J891" s="192">
        <f>SUM(H891:I891)</f>
        <v>274.5</v>
      </c>
    </row>
    <row r="892" spans="1:10" outlineLevel="2">
      <c r="A892" s="191" t="s">
        <v>2881</v>
      </c>
      <c r="B892" s="191" t="s">
        <v>147</v>
      </c>
      <c r="C892" s="191" t="s">
        <v>478</v>
      </c>
      <c r="D892" s="191" t="s">
        <v>2031</v>
      </c>
      <c r="E892" s="191" t="s">
        <v>2645</v>
      </c>
      <c r="F892" s="191" t="s">
        <v>2640</v>
      </c>
      <c r="G892" s="191" t="s">
        <v>2760</v>
      </c>
      <c r="H892" s="192">
        <v>0</v>
      </c>
      <c r="I892" s="192">
        <v>0</v>
      </c>
      <c r="J892" s="192">
        <f>SUM(H892:I892)</f>
        <v>0</v>
      </c>
    </row>
    <row r="893" spans="1:10" outlineLevel="2">
      <c r="A893" s="191" t="s">
        <v>502</v>
      </c>
      <c r="B893" s="191" t="s">
        <v>477</v>
      </c>
      <c r="C893" s="191" t="s">
        <v>478</v>
      </c>
      <c r="D893" s="191" t="s">
        <v>486</v>
      </c>
      <c r="E893" s="191" t="s">
        <v>1482</v>
      </c>
      <c r="F893" s="191" t="s">
        <v>1482</v>
      </c>
      <c r="G893" s="191">
        <v>7</v>
      </c>
      <c r="H893" s="192">
        <v>0</v>
      </c>
      <c r="I893" s="192">
        <v>148.94</v>
      </c>
      <c r="J893" s="192">
        <f>SUM(H893:I893)</f>
        <v>148.94</v>
      </c>
    </row>
    <row r="894" spans="1:10" outlineLevel="2">
      <c r="A894" s="191" t="s">
        <v>502</v>
      </c>
      <c r="B894" s="191" t="s">
        <v>477</v>
      </c>
      <c r="C894" s="191" t="s">
        <v>478</v>
      </c>
      <c r="D894" s="191" t="s">
        <v>1997</v>
      </c>
      <c r="E894" s="191" t="s">
        <v>2607</v>
      </c>
      <c r="F894" s="191" t="s">
        <v>1500</v>
      </c>
      <c r="G894" s="191">
        <v>21</v>
      </c>
      <c r="H894" s="192">
        <v>0</v>
      </c>
      <c r="I894" s="192">
        <v>449.01</v>
      </c>
      <c r="J894" s="192">
        <f>SUM(H894:I894)</f>
        <v>449.01</v>
      </c>
    </row>
    <row r="895" spans="1:10" outlineLevel="1">
      <c r="A895" s="193" t="s">
        <v>3019</v>
      </c>
      <c r="B895" s="194"/>
      <c r="C895" s="194"/>
      <c r="D895" s="194"/>
      <c r="E895" s="194"/>
      <c r="F895" s="194"/>
      <c r="G895" s="194">
        <f>SUBTOTAL(9,G817:G894)</f>
        <v>810</v>
      </c>
      <c r="H895" s="195">
        <f>SUBTOTAL(9,H817:H894)</f>
        <v>0</v>
      </c>
      <c r="I895" s="195">
        <f>SUBTOTAL(9,I817:I894)</f>
        <v>17401.699999999993</v>
      </c>
      <c r="J895" s="195">
        <f>SUBTOTAL(9,J817:J894)</f>
        <v>17401.699999999993</v>
      </c>
    </row>
    <row r="896" spans="1:10" outlineLevel="2">
      <c r="A896" s="191" t="s">
        <v>503</v>
      </c>
      <c r="B896" s="191" t="s">
        <v>504</v>
      </c>
      <c r="C896" s="191" t="s">
        <v>505</v>
      </c>
      <c r="D896" s="191" t="s">
        <v>2042</v>
      </c>
      <c r="E896" s="191" t="s">
        <v>1499</v>
      </c>
      <c r="F896" s="191" t="s">
        <v>1499</v>
      </c>
      <c r="G896" s="191">
        <v>7</v>
      </c>
      <c r="H896" s="192">
        <v>0</v>
      </c>
      <c r="I896" s="192">
        <v>231.46</v>
      </c>
      <c r="J896" s="192">
        <f>SUM(H896:I896)</f>
        <v>231.46</v>
      </c>
    </row>
    <row r="897" spans="1:10" outlineLevel="2">
      <c r="A897" s="191" t="s">
        <v>503</v>
      </c>
      <c r="B897" s="191" t="s">
        <v>504</v>
      </c>
      <c r="C897" s="191" t="s">
        <v>505</v>
      </c>
      <c r="D897" s="191" t="s">
        <v>2043</v>
      </c>
      <c r="E897" s="191" t="s">
        <v>2700</v>
      </c>
      <c r="F897" s="191" t="s">
        <v>2614</v>
      </c>
      <c r="G897" s="191">
        <v>14</v>
      </c>
      <c r="H897" s="192">
        <v>0</v>
      </c>
      <c r="I897" s="192">
        <v>357.38</v>
      </c>
      <c r="J897" s="192">
        <f>SUM(H897:I897)</f>
        <v>357.38</v>
      </c>
    </row>
    <row r="898" spans="1:10" outlineLevel="2">
      <c r="A898" s="191" t="s">
        <v>2882</v>
      </c>
      <c r="B898" s="191" t="s">
        <v>141</v>
      </c>
      <c r="C898" s="191" t="s">
        <v>505</v>
      </c>
      <c r="D898" s="191" t="s">
        <v>2044</v>
      </c>
      <c r="E898" s="191" t="s">
        <v>2617</v>
      </c>
      <c r="F898" s="191" t="s">
        <v>2617</v>
      </c>
      <c r="G898" s="191">
        <v>7</v>
      </c>
      <c r="H898" s="192">
        <v>0</v>
      </c>
      <c r="I898" s="192">
        <v>49.33</v>
      </c>
      <c r="J898" s="192">
        <f>SUM(H898:I898)</f>
        <v>49.33</v>
      </c>
    </row>
    <row r="899" spans="1:10" outlineLevel="2">
      <c r="A899" s="191" t="s">
        <v>2882</v>
      </c>
      <c r="B899" s="191" t="s">
        <v>141</v>
      </c>
      <c r="C899" s="191" t="s">
        <v>505</v>
      </c>
      <c r="D899" s="191" t="s">
        <v>2045</v>
      </c>
      <c r="E899" s="191" t="s">
        <v>2603</v>
      </c>
      <c r="F899" s="191" t="s">
        <v>2603</v>
      </c>
      <c r="G899" s="191">
        <v>7</v>
      </c>
      <c r="H899" s="192">
        <v>0</v>
      </c>
      <c r="I899" s="192">
        <v>50.97</v>
      </c>
      <c r="J899" s="192">
        <f>SUM(H899:I899)</f>
        <v>50.97</v>
      </c>
    </row>
    <row r="900" spans="1:10" outlineLevel="2">
      <c r="A900" s="191" t="s">
        <v>2882</v>
      </c>
      <c r="B900" s="191" t="s">
        <v>141</v>
      </c>
      <c r="C900" s="191" t="s">
        <v>505</v>
      </c>
      <c r="D900" s="191" t="s">
        <v>2046</v>
      </c>
      <c r="E900" s="191" t="s">
        <v>1499</v>
      </c>
      <c r="F900" s="191" t="s">
        <v>1500</v>
      </c>
      <c r="G900" s="191">
        <v>14</v>
      </c>
      <c r="H900" s="192">
        <v>0</v>
      </c>
      <c r="I900" s="192">
        <v>98.66</v>
      </c>
      <c r="J900" s="192">
        <f>SUM(H900:I900)</f>
        <v>98.66</v>
      </c>
    </row>
    <row r="901" spans="1:10" outlineLevel="2">
      <c r="A901" s="191" t="s">
        <v>2883</v>
      </c>
      <c r="B901" s="191" t="s">
        <v>504</v>
      </c>
      <c r="C901" s="191" t="s">
        <v>505</v>
      </c>
      <c r="D901" s="191" t="s">
        <v>2047</v>
      </c>
      <c r="E901" s="191" t="s">
        <v>2718</v>
      </c>
      <c r="F901" s="191" t="s">
        <v>1494</v>
      </c>
      <c r="G901" s="191">
        <v>14</v>
      </c>
      <c r="H901" s="192">
        <v>0</v>
      </c>
      <c r="I901" s="192">
        <v>162.32</v>
      </c>
      <c r="J901" s="192">
        <f>SUM(H901:I901)</f>
        <v>162.32</v>
      </c>
    </row>
    <row r="902" spans="1:10" outlineLevel="2">
      <c r="A902" s="191" t="s">
        <v>506</v>
      </c>
      <c r="B902" s="191" t="s">
        <v>504</v>
      </c>
      <c r="C902" s="191" t="s">
        <v>505</v>
      </c>
      <c r="D902" s="191" t="s">
        <v>2048</v>
      </c>
      <c r="E902" s="191" t="s">
        <v>2660</v>
      </c>
      <c r="F902" s="191" t="s">
        <v>2660</v>
      </c>
      <c r="G902" s="191">
        <v>7</v>
      </c>
      <c r="H902" s="192">
        <v>0</v>
      </c>
      <c r="I902" s="192">
        <v>134.88</v>
      </c>
      <c r="J902" s="192">
        <f>SUM(H902:I902)</f>
        <v>134.88</v>
      </c>
    </row>
    <row r="903" spans="1:10" outlineLevel="2">
      <c r="A903" s="191" t="s">
        <v>506</v>
      </c>
      <c r="B903" s="191" t="s">
        <v>504</v>
      </c>
      <c r="C903" s="191" t="s">
        <v>505</v>
      </c>
      <c r="D903" s="191" t="s">
        <v>2049</v>
      </c>
      <c r="E903" s="191" t="s">
        <v>2585</v>
      </c>
      <c r="F903" s="191" t="s">
        <v>2585</v>
      </c>
      <c r="G903" s="191">
        <v>7</v>
      </c>
      <c r="H903" s="192">
        <v>0</v>
      </c>
      <c r="I903" s="192">
        <v>134.88</v>
      </c>
      <c r="J903" s="192">
        <f>SUM(H903:I903)</f>
        <v>134.88</v>
      </c>
    </row>
    <row r="904" spans="1:10" outlineLevel="2">
      <c r="A904" s="191" t="s">
        <v>506</v>
      </c>
      <c r="B904" s="191" t="s">
        <v>504</v>
      </c>
      <c r="C904" s="191" t="s">
        <v>505</v>
      </c>
      <c r="D904" s="191" t="s">
        <v>2050</v>
      </c>
      <c r="E904" s="191" t="s">
        <v>2607</v>
      </c>
      <c r="F904" s="191" t="s">
        <v>2607</v>
      </c>
      <c r="G904" s="191">
        <v>7</v>
      </c>
      <c r="H904" s="192">
        <v>0</v>
      </c>
      <c r="I904" s="192">
        <v>131.16999999999999</v>
      </c>
      <c r="J904" s="192">
        <f>SUM(H904:I904)</f>
        <v>131.16999999999999</v>
      </c>
    </row>
    <row r="905" spans="1:10" outlineLevel="2">
      <c r="A905" s="191" t="s">
        <v>2884</v>
      </c>
      <c r="B905" s="191" t="s">
        <v>504</v>
      </c>
      <c r="C905" s="191" t="s">
        <v>505</v>
      </c>
      <c r="D905" s="191" t="s">
        <v>2051</v>
      </c>
      <c r="E905" s="191" t="s">
        <v>1487</v>
      </c>
      <c r="F905" s="191" t="s">
        <v>1487</v>
      </c>
      <c r="G905" s="191" t="s">
        <v>2760</v>
      </c>
      <c r="H905" s="192">
        <v>0</v>
      </c>
      <c r="I905" s="192">
        <v>0</v>
      </c>
      <c r="J905" s="192">
        <f>SUM(H905:I905)</f>
        <v>0</v>
      </c>
    </row>
    <row r="906" spans="1:10" outlineLevel="2">
      <c r="A906" s="191" t="s">
        <v>507</v>
      </c>
      <c r="B906" s="191" t="s">
        <v>504</v>
      </c>
      <c r="C906" s="191" t="s">
        <v>505</v>
      </c>
      <c r="D906" s="191" t="s">
        <v>2048</v>
      </c>
      <c r="E906" s="191" t="s">
        <v>2660</v>
      </c>
      <c r="F906" s="191" t="s">
        <v>2660</v>
      </c>
      <c r="G906" s="191">
        <v>7</v>
      </c>
      <c r="H906" s="192">
        <v>0</v>
      </c>
      <c r="I906" s="192">
        <v>139.75</v>
      </c>
      <c r="J906" s="192">
        <f>SUM(H906:I906)</f>
        <v>139.75</v>
      </c>
    </row>
    <row r="907" spans="1:10" outlineLevel="2">
      <c r="A907" s="191" t="s">
        <v>508</v>
      </c>
      <c r="B907" s="191" t="s">
        <v>116</v>
      </c>
      <c r="C907" s="191" t="s">
        <v>505</v>
      </c>
      <c r="D907" s="191" t="s">
        <v>2052</v>
      </c>
      <c r="E907" s="191" t="s">
        <v>2585</v>
      </c>
      <c r="F907" s="191" t="s">
        <v>2586</v>
      </c>
      <c r="G907" s="191">
        <v>14</v>
      </c>
      <c r="H907" s="192">
        <v>0</v>
      </c>
      <c r="I907" s="192">
        <v>126.22</v>
      </c>
      <c r="J907" s="192">
        <f>SUM(H907:I907)</f>
        <v>126.22</v>
      </c>
    </row>
    <row r="908" spans="1:10" outlineLevel="2">
      <c r="A908" s="191" t="s">
        <v>508</v>
      </c>
      <c r="B908" s="191" t="s">
        <v>504</v>
      </c>
      <c r="C908" s="191" t="s">
        <v>505</v>
      </c>
      <c r="D908" s="191" t="s">
        <v>2053</v>
      </c>
      <c r="E908" s="191" t="s">
        <v>2640</v>
      </c>
      <c r="F908" s="191" t="s">
        <v>2640</v>
      </c>
      <c r="G908" s="191">
        <v>7</v>
      </c>
      <c r="H908" s="192">
        <v>0</v>
      </c>
      <c r="I908" s="192">
        <v>133.83000000000001</v>
      </c>
      <c r="J908" s="192">
        <f>SUM(H908:I908)</f>
        <v>133.83000000000001</v>
      </c>
    </row>
    <row r="909" spans="1:10" outlineLevel="2">
      <c r="A909" s="191" t="s">
        <v>509</v>
      </c>
      <c r="B909" s="191" t="s">
        <v>116</v>
      </c>
      <c r="C909" s="191" t="s">
        <v>505</v>
      </c>
      <c r="D909" s="191" t="s">
        <v>2052</v>
      </c>
      <c r="E909" s="191" t="s">
        <v>2585</v>
      </c>
      <c r="F909" s="191" t="s">
        <v>2586</v>
      </c>
      <c r="G909" s="191">
        <v>14</v>
      </c>
      <c r="H909" s="192">
        <v>0</v>
      </c>
      <c r="I909" s="192">
        <v>126.22</v>
      </c>
      <c r="J909" s="192">
        <f>SUM(H909:I909)</f>
        <v>126.22</v>
      </c>
    </row>
    <row r="910" spans="1:10" outlineLevel="2">
      <c r="A910" s="191" t="s">
        <v>509</v>
      </c>
      <c r="B910" s="191" t="s">
        <v>116</v>
      </c>
      <c r="C910" s="191" t="s">
        <v>505</v>
      </c>
      <c r="D910" s="191" t="s">
        <v>2054</v>
      </c>
      <c r="E910" s="191" t="s">
        <v>2608</v>
      </c>
      <c r="F910" s="191" t="s">
        <v>2608</v>
      </c>
      <c r="G910" s="191" t="s">
        <v>2760</v>
      </c>
      <c r="H910" s="192">
        <v>0</v>
      </c>
      <c r="I910" s="192">
        <v>0</v>
      </c>
      <c r="J910" s="192">
        <f>SUM(H910:I910)</f>
        <v>0</v>
      </c>
    </row>
    <row r="911" spans="1:10" outlineLevel="2">
      <c r="A911" s="191" t="s">
        <v>509</v>
      </c>
      <c r="B911" s="191" t="s">
        <v>504</v>
      </c>
      <c r="C911" s="191" t="s">
        <v>505</v>
      </c>
      <c r="D911" s="191" t="s">
        <v>2053</v>
      </c>
      <c r="E911" s="191" t="s">
        <v>2640</v>
      </c>
      <c r="F911" s="191" t="s">
        <v>2640</v>
      </c>
      <c r="G911" s="191">
        <v>7</v>
      </c>
      <c r="H911" s="192">
        <v>0</v>
      </c>
      <c r="I911" s="192">
        <v>141.30000000000001</v>
      </c>
      <c r="J911" s="192">
        <f>SUM(H911:I911)</f>
        <v>141.30000000000001</v>
      </c>
    </row>
    <row r="912" spans="1:10" outlineLevel="2">
      <c r="A912" s="191" t="s">
        <v>510</v>
      </c>
      <c r="B912" s="191" t="s">
        <v>504</v>
      </c>
      <c r="C912" s="191" t="s">
        <v>505</v>
      </c>
      <c r="D912" s="191" t="s">
        <v>2053</v>
      </c>
      <c r="E912" s="191" t="s">
        <v>2645</v>
      </c>
      <c r="F912" s="191" t="s">
        <v>2640</v>
      </c>
      <c r="G912" s="191">
        <v>14</v>
      </c>
      <c r="H912" s="192">
        <v>0</v>
      </c>
      <c r="I912" s="192">
        <v>341.86</v>
      </c>
      <c r="J912" s="192">
        <f>SUM(H912:I912)</f>
        <v>341.86</v>
      </c>
    </row>
    <row r="913" spans="1:10" outlineLevel="2">
      <c r="A913" s="191" t="s">
        <v>2885</v>
      </c>
      <c r="B913" s="191" t="s">
        <v>147</v>
      </c>
      <c r="C913" s="191" t="s">
        <v>505</v>
      </c>
      <c r="D913" s="191" t="s">
        <v>2045</v>
      </c>
      <c r="E913" s="191" t="s">
        <v>2603</v>
      </c>
      <c r="F913" s="191" t="s">
        <v>2603</v>
      </c>
      <c r="G913" s="191">
        <v>7</v>
      </c>
      <c r="H913" s="192">
        <v>0</v>
      </c>
      <c r="I913" s="192">
        <v>54.53</v>
      </c>
      <c r="J913" s="192">
        <f>SUM(H913:I913)</f>
        <v>54.53</v>
      </c>
    </row>
    <row r="914" spans="1:10" outlineLevel="2">
      <c r="A914" s="191" t="s">
        <v>511</v>
      </c>
      <c r="B914" s="191" t="s">
        <v>504</v>
      </c>
      <c r="C914" s="191" t="s">
        <v>505</v>
      </c>
      <c r="D914" s="191" t="s">
        <v>2055</v>
      </c>
      <c r="E914" s="191" t="s">
        <v>2707</v>
      </c>
      <c r="F914" s="191" t="s">
        <v>2707</v>
      </c>
      <c r="G914" s="191">
        <v>7</v>
      </c>
      <c r="H914" s="192">
        <v>0</v>
      </c>
      <c r="I914" s="192">
        <v>166.83</v>
      </c>
      <c r="J914" s="192">
        <f>SUM(H914:I914)</f>
        <v>166.83</v>
      </c>
    </row>
    <row r="915" spans="1:10" outlineLevel="2">
      <c r="A915" s="191" t="s">
        <v>511</v>
      </c>
      <c r="B915" s="191" t="s">
        <v>504</v>
      </c>
      <c r="C915" s="191" t="s">
        <v>505</v>
      </c>
      <c r="D915" s="191" t="s">
        <v>2056</v>
      </c>
      <c r="E915" s="191" t="s">
        <v>1496</v>
      </c>
      <c r="F915" s="191" t="s">
        <v>1496</v>
      </c>
      <c r="G915" s="191">
        <v>7</v>
      </c>
      <c r="H915" s="192">
        <v>0</v>
      </c>
      <c r="I915" s="192">
        <v>161.44999999999999</v>
      </c>
      <c r="J915" s="192">
        <f>SUM(H915:I915)</f>
        <v>161.44999999999999</v>
      </c>
    </row>
    <row r="916" spans="1:10" outlineLevel="2">
      <c r="A916" s="191" t="s">
        <v>511</v>
      </c>
      <c r="B916" s="191" t="s">
        <v>504</v>
      </c>
      <c r="C916" s="191" t="s">
        <v>505</v>
      </c>
      <c r="D916" s="191" t="s">
        <v>2057</v>
      </c>
      <c r="E916" s="191" t="s">
        <v>1502</v>
      </c>
      <c r="F916" s="191" t="s">
        <v>1502</v>
      </c>
      <c r="G916" s="191">
        <v>7</v>
      </c>
      <c r="H916" s="192">
        <v>0</v>
      </c>
      <c r="I916" s="192">
        <v>163.89</v>
      </c>
      <c r="J916" s="192">
        <f>SUM(H916:I916)</f>
        <v>163.89</v>
      </c>
    </row>
    <row r="917" spans="1:10" outlineLevel="2">
      <c r="A917" s="191" t="s">
        <v>511</v>
      </c>
      <c r="B917" s="191" t="s">
        <v>504</v>
      </c>
      <c r="C917" s="191" t="s">
        <v>505</v>
      </c>
      <c r="D917" s="191" t="s">
        <v>2058</v>
      </c>
      <c r="E917" s="191" t="s">
        <v>2599</v>
      </c>
      <c r="F917" s="191" t="s">
        <v>2600</v>
      </c>
      <c r="G917" s="191">
        <v>14</v>
      </c>
      <c r="H917" s="192">
        <v>0</v>
      </c>
      <c r="I917" s="192">
        <v>333.66</v>
      </c>
      <c r="J917" s="192">
        <f>SUM(H917:I917)</f>
        <v>333.66</v>
      </c>
    </row>
    <row r="918" spans="1:10" outlineLevel="2">
      <c r="A918" s="191" t="s">
        <v>511</v>
      </c>
      <c r="B918" s="191" t="s">
        <v>504</v>
      </c>
      <c r="C918" s="191" t="s">
        <v>505</v>
      </c>
      <c r="D918" s="191" t="s">
        <v>2059</v>
      </c>
      <c r="E918" s="191" t="s">
        <v>2675</v>
      </c>
      <c r="F918" s="191" t="s">
        <v>1504</v>
      </c>
      <c r="G918" s="191">
        <v>14</v>
      </c>
      <c r="H918" s="192">
        <v>0</v>
      </c>
      <c r="I918" s="192">
        <v>381.22</v>
      </c>
      <c r="J918" s="192">
        <f>SUM(H918:I918)</f>
        <v>381.22</v>
      </c>
    </row>
    <row r="919" spans="1:10" outlineLevel="2">
      <c r="A919" s="191" t="s">
        <v>2886</v>
      </c>
      <c r="B919" s="191" t="s">
        <v>504</v>
      </c>
      <c r="C919" s="191" t="s">
        <v>505</v>
      </c>
      <c r="D919" s="191" t="s">
        <v>2060</v>
      </c>
      <c r="E919" s="191" t="s">
        <v>2660</v>
      </c>
      <c r="F919" s="191" t="s">
        <v>2660</v>
      </c>
      <c r="G919" s="191" t="s">
        <v>2760</v>
      </c>
      <c r="H919" s="192">
        <v>0</v>
      </c>
      <c r="I919" s="192">
        <v>0</v>
      </c>
      <c r="J919" s="192">
        <f>SUM(H919:I919)</f>
        <v>0</v>
      </c>
    </row>
    <row r="920" spans="1:10" outlineLevel="2">
      <c r="A920" s="191" t="s">
        <v>2887</v>
      </c>
      <c r="B920" s="191" t="s">
        <v>116</v>
      </c>
      <c r="C920" s="191" t="s">
        <v>505</v>
      </c>
      <c r="D920" s="191" t="s">
        <v>2046</v>
      </c>
      <c r="E920" s="191" t="s">
        <v>1499</v>
      </c>
      <c r="F920" s="191" t="s">
        <v>1500</v>
      </c>
      <c r="G920" s="191">
        <v>14</v>
      </c>
      <c r="H920" s="192">
        <v>0</v>
      </c>
      <c r="I920" s="192">
        <v>125.94</v>
      </c>
      <c r="J920" s="192">
        <f>SUM(H920:I920)</f>
        <v>125.94</v>
      </c>
    </row>
    <row r="921" spans="1:10" outlineLevel="2">
      <c r="A921" s="191" t="s">
        <v>512</v>
      </c>
      <c r="B921" s="191" t="s">
        <v>504</v>
      </c>
      <c r="C921" s="191" t="s">
        <v>505</v>
      </c>
      <c r="D921" s="191" t="s">
        <v>2061</v>
      </c>
      <c r="E921" s="191" t="s">
        <v>2608</v>
      </c>
      <c r="F921" s="191" t="s">
        <v>2608</v>
      </c>
      <c r="G921" s="191">
        <v>7</v>
      </c>
      <c r="H921" s="192">
        <v>0</v>
      </c>
      <c r="I921" s="192">
        <v>148.94</v>
      </c>
      <c r="J921" s="192">
        <f>SUM(H921:I921)</f>
        <v>148.94</v>
      </c>
    </row>
    <row r="922" spans="1:10" outlineLevel="2">
      <c r="A922" s="191" t="s">
        <v>513</v>
      </c>
      <c r="B922" s="191" t="s">
        <v>504</v>
      </c>
      <c r="C922" s="191" t="s">
        <v>505</v>
      </c>
      <c r="D922" s="191" t="s">
        <v>2062</v>
      </c>
      <c r="E922" s="191" t="s">
        <v>1502</v>
      </c>
      <c r="F922" s="191" t="s">
        <v>1502</v>
      </c>
      <c r="G922" s="191">
        <v>7</v>
      </c>
      <c r="H922" s="192">
        <v>0</v>
      </c>
      <c r="I922" s="192">
        <v>148.15</v>
      </c>
      <c r="J922" s="192">
        <f>SUM(H922:I922)</f>
        <v>148.15</v>
      </c>
    </row>
    <row r="923" spans="1:10" outlineLevel="2">
      <c r="A923" s="191" t="s">
        <v>513</v>
      </c>
      <c r="B923" s="191" t="s">
        <v>504</v>
      </c>
      <c r="C923" s="191" t="s">
        <v>505</v>
      </c>
      <c r="D923" s="191" t="s">
        <v>2063</v>
      </c>
      <c r="E923" s="191" t="s">
        <v>2710</v>
      </c>
      <c r="F923" s="191" t="s">
        <v>2660</v>
      </c>
      <c r="G923" s="191">
        <v>14</v>
      </c>
      <c r="H923" s="192">
        <v>0</v>
      </c>
      <c r="I923" s="192">
        <v>304.7</v>
      </c>
      <c r="J923" s="192">
        <f>SUM(H923:I923)</f>
        <v>304.7</v>
      </c>
    </row>
    <row r="924" spans="1:10" outlineLevel="2">
      <c r="A924" s="191" t="s">
        <v>513</v>
      </c>
      <c r="B924" s="191" t="s">
        <v>504</v>
      </c>
      <c r="C924" s="191" t="s">
        <v>505</v>
      </c>
      <c r="D924" s="191" t="s">
        <v>2064</v>
      </c>
      <c r="E924" s="191" t="s">
        <v>2585</v>
      </c>
      <c r="F924" s="191" t="s">
        <v>2586</v>
      </c>
      <c r="G924" s="191">
        <v>14</v>
      </c>
      <c r="H924" s="192">
        <v>0</v>
      </c>
      <c r="I924" s="192">
        <v>304.7</v>
      </c>
      <c r="J924" s="192">
        <f>SUM(H924:I924)</f>
        <v>304.7</v>
      </c>
    </row>
    <row r="925" spans="1:10" outlineLevel="2">
      <c r="A925" s="191" t="s">
        <v>514</v>
      </c>
      <c r="B925" s="191" t="s">
        <v>504</v>
      </c>
      <c r="C925" s="191" t="s">
        <v>505</v>
      </c>
      <c r="D925" s="191" t="s">
        <v>2065</v>
      </c>
      <c r="E925" s="191" t="s">
        <v>2612</v>
      </c>
      <c r="F925" s="191" t="s">
        <v>2612</v>
      </c>
      <c r="G925" s="191">
        <v>7</v>
      </c>
      <c r="H925" s="192">
        <v>0</v>
      </c>
      <c r="I925" s="192">
        <v>137.37</v>
      </c>
      <c r="J925" s="192">
        <f>SUM(H925:I925)</f>
        <v>137.37</v>
      </c>
    </row>
    <row r="926" spans="1:10" outlineLevel="2">
      <c r="A926" s="191" t="s">
        <v>514</v>
      </c>
      <c r="B926" s="191" t="s">
        <v>504</v>
      </c>
      <c r="C926" s="191" t="s">
        <v>505</v>
      </c>
      <c r="D926" s="191" t="s">
        <v>2064</v>
      </c>
      <c r="E926" s="191" t="s">
        <v>2585</v>
      </c>
      <c r="F926" s="191" t="s">
        <v>2586</v>
      </c>
      <c r="G926" s="191">
        <v>14</v>
      </c>
      <c r="H926" s="192">
        <v>0</v>
      </c>
      <c r="I926" s="192">
        <v>274.74</v>
      </c>
      <c r="J926" s="192">
        <f>SUM(H926:I926)</f>
        <v>274.74</v>
      </c>
    </row>
    <row r="927" spans="1:10" outlineLevel="2">
      <c r="A927" s="191" t="s">
        <v>514</v>
      </c>
      <c r="B927" s="191" t="s">
        <v>504</v>
      </c>
      <c r="C927" s="191" t="s">
        <v>505</v>
      </c>
      <c r="D927" s="191" t="s">
        <v>2066</v>
      </c>
      <c r="E927" s="191" t="s">
        <v>2592</v>
      </c>
      <c r="F927" s="191" t="s">
        <v>2682</v>
      </c>
      <c r="G927" s="191">
        <v>14</v>
      </c>
      <c r="H927" s="192">
        <v>0</v>
      </c>
      <c r="I927" s="192">
        <v>276.10000000000002</v>
      </c>
      <c r="J927" s="192">
        <f>SUM(H927:I927)</f>
        <v>276.10000000000002</v>
      </c>
    </row>
    <row r="928" spans="1:10" outlineLevel="2">
      <c r="A928" s="191" t="s">
        <v>514</v>
      </c>
      <c r="B928" s="191" t="s">
        <v>504</v>
      </c>
      <c r="C928" s="191" t="s">
        <v>505</v>
      </c>
      <c r="D928" s="191" t="s">
        <v>2065</v>
      </c>
      <c r="E928" s="191" t="s">
        <v>2654</v>
      </c>
      <c r="F928" s="191" t="s">
        <v>2719</v>
      </c>
      <c r="G928" s="191">
        <v>21</v>
      </c>
      <c r="H928" s="192">
        <v>0</v>
      </c>
      <c r="I928" s="192">
        <v>412.11</v>
      </c>
      <c r="J928" s="192">
        <f>SUM(H928:I928)</f>
        <v>412.11</v>
      </c>
    </row>
    <row r="929" spans="1:10" outlineLevel="2">
      <c r="A929" s="191" t="s">
        <v>515</v>
      </c>
      <c r="B929" s="191" t="s">
        <v>504</v>
      </c>
      <c r="C929" s="191" t="s">
        <v>505</v>
      </c>
      <c r="D929" s="191" t="s">
        <v>2067</v>
      </c>
      <c r="E929" s="191" t="s">
        <v>2608</v>
      </c>
      <c r="F929" s="191" t="s">
        <v>2608</v>
      </c>
      <c r="G929" s="191">
        <v>7</v>
      </c>
      <c r="H929" s="192">
        <v>0</v>
      </c>
      <c r="I929" s="192">
        <v>157.03</v>
      </c>
      <c r="J929" s="192">
        <f>SUM(H929:I929)</f>
        <v>157.03</v>
      </c>
    </row>
    <row r="930" spans="1:10" outlineLevel="2">
      <c r="A930" s="191" t="s">
        <v>515</v>
      </c>
      <c r="B930" s="191" t="s">
        <v>504</v>
      </c>
      <c r="C930" s="191" t="s">
        <v>505</v>
      </c>
      <c r="D930" s="191" t="s">
        <v>2048</v>
      </c>
      <c r="E930" s="191" t="s">
        <v>2710</v>
      </c>
      <c r="F930" s="191" t="s">
        <v>2660</v>
      </c>
      <c r="G930" s="191">
        <v>14</v>
      </c>
      <c r="H930" s="192">
        <v>0</v>
      </c>
      <c r="I930" s="192">
        <v>314.06</v>
      </c>
      <c r="J930" s="192">
        <f>SUM(H930:I930)</f>
        <v>314.06</v>
      </c>
    </row>
    <row r="931" spans="1:10" outlineLevel="2">
      <c r="A931" s="191" t="s">
        <v>515</v>
      </c>
      <c r="B931" s="191" t="s">
        <v>504</v>
      </c>
      <c r="C931" s="191" t="s">
        <v>505</v>
      </c>
      <c r="D931" s="191" t="s">
        <v>2058</v>
      </c>
      <c r="E931" s="191" t="s">
        <v>2599</v>
      </c>
      <c r="F931" s="191" t="s">
        <v>2600</v>
      </c>
      <c r="G931" s="191">
        <v>14</v>
      </c>
      <c r="H931" s="192">
        <v>0</v>
      </c>
      <c r="I931" s="192">
        <v>314.06</v>
      </c>
      <c r="J931" s="192">
        <f>SUM(H931:I931)</f>
        <v>314.06</v>
      </c>
    </row>
    <row r="932" spans="1:10" outlineLevel="2">
      <c r="A932" s="191" t="s">
        <v>515</v>
      </c>
      <c r="B932" s="191" t="s">
        <v>504</v>
      </c>
      <c r="C932" s="191" t="s">
        <v>505</v>
      </c>
      <c r="D932" s="191" t="s">
        <v>2068</v>
      </c>
      <c r="E932" s="191" t="s">
        <v>2725</v>
      </c>
      <c r="F932" s="191" t="s">
        <v>2653</v>
      </c>
      <c r="G932" s="191">
        <v>21</v>
      </c>
      <c r="H932" s="192">
        <v>0</v>
      </c>
      <c r="I932" s="192">
        <v>478.53</v>
      </c>
      <c r="J932" s="192">
        <f>SUM(H932:I932)</f>
        <v>478.53</v>
      </c>
    </row>
    <row r="933" spans="1:10" outlineLevel="2">
      <c r="A933" s="191" t="s">
        <v>516</v>
      </c>
      <c r="B933" s="191" t="s">
        <v>504</v>
      </c>
      <c r="C933" s="191" t="s">
        <v>505</v>
      </c>
      <c r="D933" s="191" t="s">
        <v>2069</v>
      </c>
      <c r="E933" s="191" t="s">
        <v>2722</v>
      </c>
      <c r="F933" s="191" t="s">
        <v>2722</v>
      </c>
      <c r="G933" s="191">
        <v>7</v>
      </c>
      <c r="H933" s="192">
        <v>0</v>
      </c>
      <c r="I933" s="192">
        <v>175.35</v>
      </c>
      <c r="J933" s="192">
        <f>SUM(H933:I933)</f>
        <v>175.35</v>
      </c>
    </row>
    <row r="934" spans="1:10" outlineLevel="2">
      <c r="A934" s="191" t="s">
        <v>517</v>
      </c>
      <c r="B934" s="191" t="s">
        <v>504</v>
      </c>
      <c r="C934" s="191" t="s">
        <v>505</v>
      </c>
      <c r="D934" s="191" t="s">
        <v>2063</v>
      </c>
      <c r="E934" s="191" t="s">
        <v>2660</v>
      </c>
      <c r="F934" s="191" t="s">
        <v>2660</v>
      </c>
      <c r="G934" s="191">
        <v>7</v>
      </c>
      <c r="H934" s="192">
        <v>0</v>
      </c>
      <c r="I934" s="192">
        <v>134.88</v>
      </c>
      <c r="J934" s="192">
        <f>SUM(H934:I934)</f>
        <v>134.88</v>
      </c>
    </row>
    <row r="935" spans="1:10" outlineLevel="2">
      <c r="A935" s="191" t="s">
        <v>517</v>
      </c>
      <c r="B935" s="191" t="s">
        <v>504</v>
      </c>
      <c r="C935" s="191" t="s">
        <v>505</v>
      </c>
      <c r="D935" s="191" t="s">
        <v>2070</v>
      </c>
      <c r="E935" s="191" t="s">
        <v>2645</v>
      </c>
      <c r="F935" s="191" t="s">
        <v>2645</v>
      </c>
      <c r="G935" s="191">
        <v>7</v>
      </c>
      <c r="H935" s="192">
        <v>0</v>
      </c>
      <c r="I935" s="192">
        <v>137.25</v>
      </c>
      <c r="J935" s="192">
        <f>SUM(H935:I935)</f>
        <v>137.25</v>
      </c>
    </row>
    <row r="936" spans="1:10" outlineLevel="2">
      <c r="A936" s="191" t="s">
        <v>517</v>
      </c>
      <c r="B936" s="191" t="s">
        <v>504</v>
      </c>
      <c r="C936" s="191" t="s">
        <v>505</v>
      </c>
      <c r="D936" s="191" t="s">
        <v>2043</v>
      </c>
      <c r="E936" s="191" t="s">
        <v>2700</v>
      </c>
      <c r="F936" s="191" t="s">
        <v>2614</v>
      </c>
      <c r="G936" s="191">
        <v>14</v>
      </c>
      <c r="H936" s="192">
        <v>0</v>
      </c>
      <c r="I936" s="192">
        <v>269.76</v>
      </c>
      <c r="J936" s="192">
        <f>SUM(H936:I936)</f>
        <v>269.76</v>
      </c>
    </row>
    <row r="937" spans="1:10" outlineLevel="2">
      <c r="A937" s="191" t="s">
        <v>517</v>
      </c>
      <c r="B937" s="191" t="s">
        <v>504</v>
      </c>
      <c r="C937" s="191" t="s">
        <v>505</v>
      </c>
      <c r="D937" s="191" t="s">
        <v>2071</v>
      </c>
      <c r="E937" s="191" t="s">
        <v>2725</v>
      </c>
      <c r="F937" s="191" t="s">
        <v>2650</v>
      </c>
      <c r="G937" s="191">
        <v>28</v>
      </c>
      <c r="H937" s="192">
        <v>0</v>
      </c>
      <c r="I937" s="192">
        <v>549</v>
      </c>
      <c r="J937" s="192">
        <f>SUM(H937:I937)</f>
        <v>549</v>
      </c>
    </row>
    <row r="938" spans="1:10" outlineLevel="2">
      <c r="A938" s="191" t="s">
        <v>2888</v>
      </c>
      <c r="B938" s="191" t="s">
        <v>112</v>
      </c>
      <c r="C938" s="191" t="s">
        <v>505</v>
      </c>
      <c r="D938" s="191" t="s">
        <v>2072</v>
      </c>
      <c r="E938" s="191" t="s">
        <v>2617</v>
      </c>
      <c r="F938" s="191" t="s">
        <v>2617</v>
      </c>
      <c r="G938" s="191">
        <v>7</v>
      </c>
      <c r="H938" s="192">
        <v>0</v>
      </c>
      <c r="I938" s="192">
        <v>57.07</v>
      </c>
      <c r="J938" s="192">
        <f>SUM(H938:I938)</f>
        <v>57.07</v>
      </c>
    </row>
    <row r="939" spans="1:10" outlineLevel="2">
      <c r="A939" s="191" t="s">
        <v>2888</v>
      </c>
      <c r="B939" s="191" t="s">
        <v>112</v>
      </c>
      <c r="C939" s="191" t="s">
        <v>505</v>
      </c>
      <c r="D939" s="191" t="s">
        <v>2045</v>
      </c>
      <c r="E939" s="191" t="s">
        <v>2603</v>
      </c>
      <c r="F939" s="191" t="s">
        <v>2603</v>
      </c>
      <c r="G939" s="191">
        <v>7</v>
      </c>
      <c r="H939" s="192">
        <v>0</v>
      </c>
      <c r="I939" s="192">
        <v>58.97</v>
      </c>
      <c r="J939" s="192">
        <f>SUM(H939:I939)</f>
        <v>58.97</v>
      </c>
    </row>
    <row r="940" spans="1:10" outlineLevel="2">
      <c r="A940" s="191" t="s">
        <v>2888</v>
      </c>
      <c r="B940" s="191" t="s">
        <v>112</v>
      </c>
      <c r="C940" s="191" t="s">
        <v>505</v>
      </c>
      <c r="D940" s="191" t="s">
        <v>2052</v>
      </c>
      <c r="E940" s="191" t="s">
        <v>2585</v>
      </c>
      <c r="F940" s="191" t="s">
        <v>2586</v>
      </c>
      <c r="G940" s="191">
        <v>14</v>
      </c>
      <c r="H940" s="192">
        <v>0</v>
      </c>
      <c r="I940" s="192">
        <v>117.38</v>
      </c>
      <c r="J940" s="192">
        <f>SUM(H940:I940)</f>
        <v>117.38</v>
      </c>
    </row>
    <row r="941" spans="1:10" outlineLevel="2">
      <c r="A941" s="191" t="s">
        <v>2888</v>
      </c>
      <c r="B941" s="191" t="s">
        <v>112</v>
      </c>
      <c r="C941" s="191" t="s">
        <v>505</v>
      </c>
      <c r="D941" s="191" t="s">
        <v>2073</v>
      </c>
      <c r="E941" s="191" t="s">
        <v>1499</v>
      </c>
      <c r="F941" s="191" t="s">
        <v>1500</v>
      </c>
      <c r="G941" s="191">
        <v>14</v>
      </c>
      <c r="H941" s="192">
        <v>0</v>
      </c>
      <c r="I941" s="192">
        <v>114.14</v>
      </c>
      <c r="J941" s="192">
        <f>SUM(H941:I941)</f>
        <v>114.14</v>
      </c>
    </row>
    <row r="942" spans="1:10" outlineLevel="2">
      <c r="A942" s="191" t="s">
        <v>518</v>
      </c>
      <c r="B942" s="191" t="s">
        <v>504</v>
      </c>
      <c r="C942" s="191" t="s">
        <v>505</v>
      </c>
      <c r="D942" s="191" t="s">
        <v>2048</v>
      </c>
      <c r="E942" s="191" t="s">
        <v>2660</v>
      </c>
      <c r="F942" s="191" t="s">
        <v>2660</v>
      </c>
      <c r="G942" s="191">
        <v>7</v>
      </c>
      <c r="H942" s="192">
        <v>0</v>
      </c>
      <c r="I942" s="192">
        <v>136.59</v>
      </c>
      <c r="J942" s="192">
        <f>SUM(H942:I942)</f>
        <v>136.59</v>
      </c>
    </row>
    <row r="943" spans="1:10" outlineLevel="2">
      <c r="A943" s="191" t="s">
        <v>518</v>
      </c>
      <c r="B943" s="191" t="s">
        <v>504</v>
      </c>
      <c r="C943" s="191" t="s">
        <v>505</v>
      </c>
      <c r="D943" s="191" t="s">
        <v>2074</v>
      </c>
      <c r="E943" s="191" t="s">
        <v>2592</v>
      </c>
      <c r="F943" s="191" t="s">
        <v>2682</v>
      </c>
      <c r="G943" s="191">
        <v>14</v>
      </c>
      <c r="H943" s="192">
        <v>0</v>
      </c>
      <c r="I943" s="192">
        <v>274.5</v>
      </c>
      <c r="J943" s="192">
        <f>SUM(H943:I943)</f>
        <v>274.5</v>
      </c>
    </row>
    <row r="944" spans="1:10" outlineLevel="2">
      <c r="A944" s="191" t="s">
        <v>2889</v>
      </c>
      <c r="B944" s="191" t="s">
        <v>141</v>
      </c>
      <c r="C944" s="191" t="s">
        <v>505</v>
      </c>
      <c r="D944" s="191" t="s">
        <v>2075</v>
      </c>
      <c r="E944" s="191" t="s">
        <v>2617</v>
      </c>
      <c r="F944" s="191" t="s">
        <v>2617</v>
      </c>
      <c r="G944" s="191">
        <v>7</v>
      </c>
      <c r="H944" s="192">
        <v>0</v>
      </c>
      <c r="I944" s="192">
        <v>50.97</v>
      </c>
      <c r="J944" s="192">
        <f>SUM(H944:I944)</f>
        <v>50.97</v>
      </c>
    </row>
    <row r="945" spans="1:10" outlineLevel="2">
      <c r="A945" s="191" t="s">
        <v>2889</v>
      </c>
      <c r="B945" s="191" t="s">
        <v>141</v>
      </c>
      <c r="C945" s="191" t="s">
        <v>505</v>
      </c>
      <c r="D945" s="191" t="s">
        <v>2045</v>
      </c>
      <c r="E945" s="191" t="s">
        <v>2603</v>
      </c>
      <c r="F945" s="191" t="s">
        <v>2603</v>
      </c>
      <c r="G945" s="191">
        <v>7</v>
      </c>
      <c r="H945" s="192">
        <v>0</v>
      </c>
      <c r="I945" s="192">
        <v>50.97</v>
      </c>
      <c r="J945" s="192">
        <f>SUM(H945:I945)</f>
        <v>50.97</v>
      </c>
    </row>
    <row r="946" spans="1:10" outlineLevel="2">
      <c r="A946" s="191" t="s">
        <v>2889</v>
      </c>
      <c r="B946" s="191" t="s">
        <v>141</v>
      </c>
      <c r="C946" s="191" t="s">
        <v>505</v>
      </c>
      <c r="D946" s="191" t="s">
        <v>2070</v>
      </c>
      <c r="E946" s="191" t="s">
        <v>2645</v>
      </c>
      <c r="F946" s="191" t="s">
        <v>2645</v>
      </c>
      <c r="G946" s="191">
        <v>7</v>
      </c>
      <c r="H946" s="192">
        <v>0</v>
      </c>
      <c r="I946" s="192">
        <v>50.97</v>
      </c>
      <c r="J946" s="192">
        <f>SUM(H946:I946)</f>
        <v>50.97</v>
      </c>
    </row>
    <row r="947" spans="1:10" outlineLevel="2">
      <c r="A947" s="191" t="s">
        <v>2889</v>
      </c>
      <c r="B947" s="191" t="s">
        <v>141</v>
      </c>
      <c r="C947" s="191" t="s">
        <v>505</v>
      </c>
      <c r="D947" s="191" t="s">
        <v>2076</v>
      </c>
      <c r="E947" s="191" t="s">
        <v>2680</v>
      </c>
      <c r="F947" s="191" t="s">
        <v>2680</v>
      </c>
      <c r="G947" s="191">
        <v>12</v>
      </c>
      <c r="H947" s="192">
        <v>0</v>
      </c>
      <c r="I947" s="192">
        <v>87.38</v>
      </c>
      <c r="J947" s="192">
        <f>SUM(H947:I947)</f>
        <v>87.38</v>
      </c>
    </row>
    <row r="948" spans="1:10" outlineLevel="2">
      <c r="A948" s="191" t="s">
        <v>2889</v>
      </c>
      <c r="B948" s="191" t="s">
        <v>141</v>
      </c>
      <c r="C948" s="191" t="s">
        <v>505</v>
      </c>
      <c r="D948" s="191" t="s">
        <v>2046</v>
      </c>
      <c r="E948" s="191" t="s">
        <v>1499</v>
      </c>
      <c r="F948" s="191" t="s">
        <v>1500</v>
      </c>
      <c r="G948" s="191">
        <v>14</v>
      </c>
      <c r="H948" s="192">
        <v>0</v>
      </c>
      <c r="I948" s="192">
        <v>101.94</v>
      </c>
      <c r="J948" s="192">
        <f>SUM(H948:I948)</f>
        <v>101.94</v>
      </c>
    </row>
    <row r="949" spans="1:10" outlineLevel="2">
      <c r="A949" s="191" t="s">
        <v>2890</v>
      </c>
      <c r="B949" s="191" t="s">
        <v>147</v>
      </c>
      <c r="C949" s="191" t="s">
        <v>505</v>
      </c>
      <c r="D949" s="191" t="s">
        <v>2045</v>
      </c>
      <c r="E949" s="191" t="s">
        <v>2603</v>
      </c>
      <c r="F949" s="191" t="s">
        <v>2603</v>
      </c>
      <c r="G949" s="191">
        <v>7</v>
      </c>
      <c r="H949" s="192">
        <v>0</v>
      </c>
      <c r="I949" s="192">
        <v>54.53</v>
      </c>
      <c r="J949" s="192">
        <f>SUM(H949:I949)</f>
        <v>54.53</v>
      </c>
    </row>
    <row r="950" spans="1:10" outlineLevel="2">
      <c r="A950" s="191" t="s">
        <v>2890</v>
      </c>
      <c r="B950" s="191" t="s">
        <v>147</v>
      </c>
      <c r="C950" s="191" t="s">
        <v>505</v>
      </c>
      <c r="D950" s="191" t="s">
        <v>2046</v>
      </c>
      <c r="E950" s="191" t="s">
        <v>1499</v>
      </c>
      <c r="F950" s="191" t="s">
        <v>1500</v>
      </c>
      <c r="G950" s="191">
        <v>14</v>
      </c>
      <c r="H950" s="192">
        <v>0</v>
      </c>
      <c r="I950" s="192">
        <v>109.06</v>
      </c>
      <c r="J950" s="192">
        <f>SUM(H950:I950)</f>
        <v>109.06</v>
      </c>
    </row>
    <row r="951" spans="1:10" outlineLevel="2">
      <c r="A951" s="191" t="s">
        <v>2890</v>
      </c>
      <c r="B951" s="191" t="s">
        <v>147</v>
      </c>
      <c r="C951" s="191" t="s">
        <v>505</v>
      </c>
      <c r="D951" s="191" t="s">
        <v>2052</v>
      </c>
      <c r="E951" s="191" t="s">
        <v>2585</v>
      </c>
      <c r="F951" s="191" t="s">
        <v>2586</v>
      </c>
      <c r="G951" s="191" t="s">
        <v>2760</v>
      </c>
      <c r="H951" s="192">
        <v>0</v>
      </c>
      <c r="I951" s="192">
        <v>0</v>
      </c>
      <c r="J951" s="192">
        <f>SUM(H951:I951)</f>
        <v>0</v>
      </c>
    </row>
    <row r="952" spans="1:10" outlineLevel="2">
      <c r="A952" s="191" t="s">
        <v>519</v>
      </c>
      <c r="B952" s="191" t="s">
        <v>504</v>
      </c>
      <c r="C952" s="191" t="s">
        <v>505</v>
      </c>
      <c r="D952" s="191" t="s">
        <v>2051</v>
      </c>
      <c r="E952" s="191" t="s">
        <v>1487</v>
      </c>
      <c r="F952" s="191" t="s">
        <v>1487</v>
      </c>
      <c r="G952" s="191">
        <v>7</v>
      </c>
      <c r="H952" s="192">
        <v>0</v>
      </c>
      <c r="I952" s="192">
        <v>138.29</v>
      </c>
      <c r="J952" s="192">
        <f>SUM(H952:I952)</f>
        <v>138.29</v>
      </c>
    </row>
    <row r="953" spans="1:10" outlineLevel="2">
      <c r="A953" s="191" t="s">
        <v>520</v>
      </c>
      <c r="B953" s="191" t="s">
        <v>504</v>
      </c>
      <c r="C953" s="191" t="s">
        <v>505</v>
      </c>
      <c r="D953" s="191" t="s">
        <v>2077</v>
      </c>
      <c r="E953" s="191" t="s">
        <v>2645</v>
      </c>
      <c r="F953" s="191" t="s">
        <v>2640</v>
      </c>
      <c r="G953" s="191">
        <v>14</v>
      </c>
      <c r="H953" s="192">
        <v>0</v>
      </c>
      <c r="I953" s="192">
        <v>342.14</v>
      </c>
      <c r="J953" s="192">
        <f>SUM(H953:I953)</f>
        <v>342.14</v>
      </c>
    </row>
    <row r="954" spans="1:10" outlineLevel="2">
      <c r="A954" s="191" t="s">
        <v>2891</v>
      </c>
      <c r="B954" s="191" t="s">
        <v>112</v>
      </c>
      <c r="C954" s="191" t="s">
        <v>505</v>
      </c>
      <c r="D954" s="191" t="s">
        <v>2078</v>
      </c>
      <c r="E954" s="191" t="s">
        <v>2617</v>
      </c>
      <c r="F954" s="191" t="s">
        <v>2617</v>
      </c>
      <c r="G954" s="191">
        <v>7</v>
      </c>
      <c r="H954" s="192">
        <v>0</v>
      </c>
      <c r="I954" s="192">
        <v>57.07</v>
      </c>
      <c r="J954" s="192">
        <f>SUM(H954:I954)</f>
        <v>57.07</v>
      </c>
    </row>
    <row r="955" spans="1:10" outlineLevel="2">
      <c r="A955" s="191" t="s">
        <v>2891</v>
      </c>
      <c r="B955" s="191" t="s">
        <v>112</v>
      </c>
      <c r="C955" s="191" t="s">
        <v>505</v>
      </c>
      <c r="D955" s="191" t="s">
        <v>2045</v>
      </c>
      <c r="E955" s="191" t="s">
        <v>2603</v>
      </c>
      <c r="F955" s="191" t="s">
        <v>2603</v>
      </c>
      <c r="G955" s="191">
        <v>7</v>
      </c>
      <c r="H955" s="192">
        <v>0</v>
      </c>
      <c r="I955" s="192">
        <v>61.01</v>
      </c>
      <c r="J955" s="192">
        <f>SUM(H955:I955)</f>
        <v>61.01</v>
      </c>
    </row>
    <row r="956" spans="1:10" outlineLevel="2">
      <c r="A956" s="191" t="s">
        <v>2891</v>
      </c>
      <c r="B956" s="191" t="s">
        <v>112</v>
      </c>
      <c r="C956" s="191" t="s">
        <v>505</v>
      </c>
      <c r="D956" s="191" t="s">
        <v>2070</v>
      </c>
      <c r="E956" s="191" t="s">
        <v>2645</v>
      </c>
      <c r="F956" s="191" t="s">
        <v>2640</v>
      </c>
      <c r="G956" s="191">
        <v>14</v>
      </c>
      <c r="H956" s="192">
        <v>0</v>
      </c>
      <c r="I956" s="192">
        <v>122.02</v>
      </c>
      <c r="J956" s="192">
        <f>SUM(H956:I956)</f>
        <v>122.02</v>
      </c>
    </row>
    <row r="957" spans="1:10" outlineLevel="1">
      <c r="A957" s="193" t="s">
        <v>3020</v>
      </c>
      <c r="B957" s="194"/>
      <c r="C957" s="194"/>
      <c r="D957" s="194"/>
      <c r="E957" s="194"/>
      <c r="F957" s="194"/>
      <c r="G957" s="194">
        <f>SUBTOTAL(9,G896:G956)</f>
        <v>614</v>
      </c>
      <c r="H957" s="195">
        <f>SUBTOTAL(9,H896:H956)</f>
        <v>0</v>
      </c>
      <c r="I957" s="195">
        <f>SUBTOTAL(9,I896:I956)</f>
        <v>10269.479999999996</v>
      </c>
      <c r="J957" s="195">
        <f>SUBTOTAL(9,J896:J956)</f>
        <v>10269.479999999996</v>
      </c>
    </row>
    <row r="958" spans="1:10" outlineLevel="2">
      <c r="A958" s="191" t="s">
        <v>521</v>
      </c>
      <c r="B958" s="191" t="s">
        <v>522</v>
      </c>
      <c r="C958" s="191" t="s">
        <v>523</v>
      </c>
      <c r="D958" s="191" t="s">
        <v>2079</v>
      </c>
      <c r="E958" s="191" t="s">
        <v>2735</v>
      </c>
      <c r="F958" s="191" t="s">
        <v>2736</v>
      </c>
      <c r="G958" s="191">
        <v>14</v>
      </c>
      <c r="H958" s="192">
        <v>0</v>
      </c>
      <c r="I958" s="192">
        <v>304.7</v>
      </c>
      <c r="J958" s="192">
        <f>SUM(H958:I958)</f>
        <v>304.7</v>
      </c>
    </row>
    <row r="959" spans="1:10" outlineLevel="2">
      <c r="A959" s="191" t="s">
        <v>521</v>
      </c>
      <c r="B959" s="191" t="s">
        <v>522</v>
      </c>
      <c r="C959" s="191" t="s">
        <v>523</v>
      </c>
      <c r="D959" s="191" t="s">
        <v>2080</v>
      </c>
      <c r="E959" s="191" t="s">
        <v>2607</v>
      </c>
      <c r="F959" s="191" t="s">
        <v>1499</v>
      </c>
      <c r="G959" s="191">
        <v>14</v>
      </c>
      <c r="H959" s="192">
        <v>0</v>
      </c>
      <c r="I959" s="192">
        <v>306.18</v>
      </c>
      <c r="J959" s="192">
        <f>SUM(H959:I959)</f>
        <v>306.18</v>
      </c>
    </row>
    <row r="960" spans="1:10" outlineLevel="2">
      <c r="A960" s="191" t="s">
        <v>521</v>
      </c>
      <c r="B960" s="191" t="s">
        <v>522</v>
      </c>
      <c r="C960" s="191" t="s">
        <v>523</v>
      </c>
      <c r="D960" s="191" t="s">
        <v>2081</v>
      </c>
      <c r="E960" s="191" t="s">
        <v>2737</v>
      </c>
      <c r="F960" s="191" t="s">
        <v>2590</v>
      </c>
      <c r="G960" s="191">
        <v>28</v>
      </c>
      <c r="H960" s="192">
        <v>0</v>
      </c>
      <c r="I960" s="192">
        <v>612.36</v>
      </c>
      <c r="J960" s="192">
        <f>SUM(H960:I960)</f>
        <v>612.36</v>
      </c>
    </row>
    <row r="961" spans="1:10" outlineLevel="2">
      <c r="A961" s="191" t="s">
        <v>524</v>
      </c>
      <c r="B961" s="191" t="s">
        <v>522</v>
      </c>
      <c r="C961" s="191" t="s">
        <v>523</v>
      </c>
      <c r="D961" s="191" t="s">
        <v>2082</v>
      </c>
      <c r="E961" s="191" t="s">
        <v>2738</v>
      </c>
      <c r="F961" s="191" t="s">
        <v>2739</v>
      </c>
      <c r="G961" s="191">
        <v>14</v>
      </c>
      <c r="H961" s="192">
        <v>0</v>
      </c>
      <c r="I961" s="192">
        <v>276.58</v>
      </c>
      <c r="J961" s="192">
        <f>SUM(H961:I961)</f>
        <v>276.58</v>
      </c>
    </row>
    <row r="962" spans="1:10" outlineLevel="2">
      <c r="A962" s="191" t="s">
        <v>524</v>
      </c>
      <c r="B962" s="191" t="s">
        <v>522</v>
      </c>
      <c r="C962" s="191" t="s">
        <v>523</v>
      </c>
      <c r="D962" s="191" t="s">
        <v>2083</v>
      </c>
      <c r="E962" s="191" t="s">
        <v>1495</v>
      </c>
      <c r="F962" s="191" t="s">
        <v>1496</v>
      </c>
      <c r="G962" s="191">
        <v>14</v>
      </c>
      <c r="H962" s="192">
        <v>0</v>
      </c>
      <c r="I962" s="192">
        <v>267.66000000000003</v>
      </c>
      <c r="J962" s="192">
        <f>SUM(H962:I962)</f>
        <v>267.66000000000003</v>
      </c>
    </row>
    <row r="963" spans="1:10" outlineLevel="2">
      <c r="A963" s="191" t="s">
        <v>524</v>
      </c>
      <c r="B963" s="191" t="s">
        <v>522</v>
      </c>
      <c r="C963" s="191" t="s">
        <v>523</v>
      </c>
      <c r="D963" s="191" t="s">
        <v>2084</v>
      </c>
      <c r="E963" s="191" t="s">
        <v>2718</v>
      </c>
      <c r="F963" s="191" t="s">
        <v>1480</v>
      </c>
      <c r="G963" s="191">
        <v>21</v>
      </c>
      <c r="H963" s="192">
        <v>0</v>
      </c>
      <c r="I963" s="192">
        <v>416.91</v>
      </c>
      <c r="J963" s="192">
        <f>SUM(H963:I963)</f>
        <v>416.91</v>
      </c>
    </row>
    <row r="964" spans="1:10" outlineLevel="2">
      <c r="A964" s="191" t="s">
        <v>525</v>
      </c>
      <c r="B964" s="191" t="s">
        <v>522</v>
      </c>
      <c r="C964" s="191" t="s">
        <v>523</v>
      </c>
      <c r="D964" s="191" t="s">
        <v>2083</v>
      </c>
      <c r="E964" s="191" t="s">
        <v>1495</v>
      </c>
      <c r="F964" s="191" t="s">
        <v>1496</v>
      </c>
      <c r="G964" s="191">
        <v>14</v>
      </c>
      <c r="H964" s="192">
        <v>0</v>
      </c>
      <c r="I964" s="192">
        <v>269.76</v>
      </c>
      <c r="J964" s="192">
        <f>SUM(H964:I964)</f>
        <v>269.76</v>
      </c>
    </row>
    <row r="965" spans="1:10" outlineLevel="2">
      <c r="A965" s="191" t="s">
        <v>525</v>
      </c>
      <c r="B965" s="191" t="s">
        <v>522</v>
      </c>
      <c r="C965" s="191" t="s">
        <v>523</v>
      </c>
      <c r="D965" s="191" t="s">
        <v>2085</v>
      </c>
      <c r="E965" s="191" t="s">
        <v>2645</v>
      </c>
      <c r="F965" s="191" t="s">
        <v>2640</v>
      </c>
      <c r="G965" s="191">
        <v>14</v>
      </c>
      <c r="H965" s="192">
        <v>0</v>
      </c>
      <c r="I965" s="192">
        <v>274.5</v>
      </c>
      <c r="J965" s="192">
        <f>SUM(H965:I965)</f>
        <v>274.5</v>
      </c>
    </row>
    <row r="966" spans="1:10" outlineLevel="2">
      <c r="A966" s="191" t="s">
        <v>526</v>
      </c>
      <c r="B966" s="191" t="s">
        <v>112</v>
      </c>
      <c r="C966" s="191" t="s">
        <v>523</v>
      </c>
      <c r="D966" s="191" t="s">
        <v>2086</v>
      </c>
      <c r="E966" s="191" t="s">
        <v>2605</v>
      </c>
      <c r="F966" s="191" t="s">
        <v>2704</v>
      </c>
      <c r="G966" s="191">
        <v>14</v>
      </c>
      <c r="H966" s="192">
        <v>0</v>
      </c>
      <c r="I966" s="192">
        <v>117.38</v>
      </c>
      <c r="J966" s="192">
        <f>SUM(H966:I966)</f>
        <v>117.38</v>
      </c>
    </row>
    <row r="967" spans="1:10" outlineLevel="2">
      <c r="A967" s="191" t="s">
        <v>526</v>
      </c>
      <c r="B967" s="191" t="s">
        <v>112</v>
      </c>
      <c r="C967" s="191" t="s">
        <v>523</v>
      </c>
      <c r="D967" s="191" t="s">
        <v>2087</v>
      </c>
      <c r="E967" s="191" t="s">
        <v>2613</v>
      </c>
      <c r="F967" s="191" t="s">
        <v>2614</v>
      </c>
      <c r="G967" s="191">
        <v>21</v>
      </c>
      <c r="H967" s="192">
        <v>100</v>
      </c>
      <c r="I967" s="192">
        <v>176.07</v>
      </c>
      <c r="J967" s="192">
        <f>SUM(H967:I967)</f>
        <v>276.07</v>
      </c>
    </row>
    <row r="968" spans="1:10" outlineLevel="2">
      <c r="A968" s="191" t="s">
        <v>526</v>
      </c>
      <c r="B968" s="191" t="s">
        <v>116</v>
      </c>
      <c r="C968" s="191" t="s">
        <v>523</v>
      </c>
      <c r="D968" s="191" t="s">
        <v>2088</v>
      </c>
      <c r="E968" s="191" t="s">
        <v>2606</v>
      </c>
      <c r="F968" s="191" t="s">
        <v>1487</v>
      </c>
      <c r="G968" s="191">
        <v>21</v>
      </c>
      <c r="H968" s="192">
        <v>0</v>
      </c>
      <c r="I968" s="192">
        <v>183.21</v>
      </c>
      <c r="J968" s="192">
        <f>SUM(H968:I968)</f>
        <v>183.21</v>
      </c>
    </row>
    <row r="969" spans="1:10" outlineLevel="2">
      <c r="A969" s="191" t="s">
        <v>527</v>
      </c>
      <c r="B969" s="191" t="s">
        <v>522</v>
      </c>
      <c r="C969" s="191" t="s">
        <v>523</v>
      </c>
      <c r="D969" s="191" t="s">
        <v>2083</v>
      </c>
      <c r="E969" s="191" t="s">
        <v>1495</v>
      </c>
      <c r="F969" s="191" t="s">
        <v>1496</v>
      </c>
      <c r="G969" s="191">
        <v>14</v>
      </c>
      <c r="H969" s="192">
        <v>0</v>
      </c>
      <c r="I969" s="192">
        <v>320.88</v>
      </c>
      <c r="J969" s="192">
        <f>SUM(H969:I969)</f>
        <v>320.88</v>
      </c>
    </row>
    <row r="970" spans="1:10" outlineLevel="2">
      <c r="A970" s="191" t="s">
        <v>527</v>
      </c>
      <c r="B970" s="191" t="s">
        <v>522</v>
      </c>
      <c r="C970" s="191" t="s">
        <v>523</v>
      </c>
      <c r="D970" s="191" t="s">
        <v>2089</v>
      </c>
      <c r="E970" s="191" t="s">
        <v>2666</v>
      </c>
      <c r="F970" s="191" t="s">
        <v>2588</v>
      </c>
      <c r="G970" s="191">
        <v>21</v>
      </c>
      <c r="H970" s="192">
        <v>0</v>
      </c>
      <c r="I970" s="192">
        <v>481.32</v>
      </c>
      <c r="J970" s="192">
        <f>SUM(H970:I970)</f>
        <v>481.32</v>
      </c>
    </row>
    <row r="971" spans="1:10" outlineLevel="2">
      <c r="A971" s="191" t="s">
        <v>2892</v>
      </c>
      <c r="B971" s="191" t="s">
        <v>522</v>
      </c>
      <c r="C971" s="191" t="s">
        <v>523</v>
      </c>
      <c r="D971" s="191" t="s">
        <v>2090</v>
      </c>
      <c r="E971" s="191" t="s">
        <v>2610</v>
      </c>
      <c r="F971" s="191" t="s">
        <v>2607</v>
      </c>
      <c r="G971" s="191">
        <v>21</v>
      </c>
      <c r="H971" s="192">
        <v>0</v>
      </c>
      <c r="I971" s="192">
        <v>416.91</v>
      </c>
      <c r="J971" s="192">
        <f>SUM(H971:I971)</f>
        <v>416.91</v>
      </c>
    </row>
    <row r="972" spans="1:10" outlineLevel="2">
      <c r="A972" s="191" t="s">
        <v>2892</v>
      </c>
      <c r="B972" s="191" t="s">
        <v>522</v>
      </c>
      <c r="C972" s="191" t="s">
        <v>523</v>
      </c>
      <c r="D972" s="191" t="s">
        <v>2090</v>
      </c>
      <c r="E972" s="191" t="s">
        <v>2703</v>
      </c>
      <c r="F972" s="191" t="s">
        <v>2609</v>
      </c>
      <c r="G972" s="191">
        <v>35</v>
      </c>
      <c r="H972" s="192">
        <v>0</v>
      </c>
      <c r="I972" s="192">
        <v>694.85</v>
      </c>
      <c r="J972" s="192">
        <f>SUM(H972:I972)</f>
        <v>694.85</v>
      </c>
    </row>
    <row r="973" spans="1:10" outlineLevel="2">
      <c r="A973" s="191" t="s">
        <v>528</v>
      </c>
      <c r="B973" s="191" t="s">
        <v>522</v>
      </c>
      <c r="C973" s="191" t="s">
        <v>523</v>
      </c>
      <c r="D973" s="191" t="s">
        <v>2082</v>
      </c>
      <c r="E973" s="191" t="s">
        <v>2739</v>
      </c>
      <c r="F973" s="191" t="s">
        <v>2739</v>
      </c>
      <c r="G973" s="191">
        <v>3</v>
      </c>
      <c r="H973" s="192">
        <v>0</v>
      </c>
      <c r="I973" s="192">
        <v>57.08</v>
      </c>
      <c r="J973" s="192">
        <f>SUM(H973:I973)</f>
        <v>57.08</v>
      </c>
    </row>
    <row r="974" spans="1:10" outlineLevel="2">
      <c r="A974" s="191" t="s">
        <v>528</v>
      </c>
      <c r="B974" s="191" t="s">
        <v>522</v>
      </c>
      <c r="C974" s="191" t="s">
        <v>523</v>
      </c>
      <c r="D974" s="191" t="s">
        <v>2082</v>
      </c>
      <c r="E974" s="191" t="s">
        <v>2738</v>
      </c>
      <c r="F974" s="191" t="s">
        <v>2738</v>
      </c>
      <c r="G974" s="191">
        <v>7</v>
      </c>
      <c r="H974" s="192">
        <v>0</v>
      </c>
      <c r="I974" s="192">
        <v>133.18</v>
      </c>
      <c r="J974" s="192">
        <f>SUM(H974:I974)</f>
        <v>133.18</v>
      </c>
    </row>
    <row r="975" spans="1:10" outlineLevel="2">
      <c r="A975" s="191" t="s">
        <v>528</v>
      </c>
      <c r="B975" s="191" t="s">
        <v>522</v>
      </c>
      <c r="C975" s="191" t="s">
        <v>523</v>
      </c>
      <c r="D975" s="191" t="s">
        <v>2091</v>
      </c>
      <c r="E975" s="191" t="s">
        <v>2591</v>
      </c>
      <c r="F975" s="191" t="s">
        <v>2591</v>
      </c>
      <c r="G975" s="191" t="s">
        <v>2760</v>
      </c>
      <c r="H975" s="192">
        <v>0</v>
      </c>
      <c r="I975" s="192">
        <v>0</v>
      </c>
      <c r="J975" s="192">
        <f>SUM(H975:I975)</f>
        <v>0</v>
      </c>
    </row>
    <row r="976" spans="1:10" outlineLevel="2">
      <c r="A976" s="191" t="s">
        <v>528</v>
      </c>
      <c r="B976" s="191" t="s">
        <v>522</v>
      </c>
      <c r="C976" s="191" t="s">
        <v>523</v>
      </c>
      <c r="D976" s="191" t="s">
        <v>2083</v>
      </c>
      <c r="E976" s="191" t="s">
        <v>1495</v>
      </c>
      <c r="F976" s="191" t="s">
        <v>1496</v>
      </c>
      <c r="G976" s="191" t="s">
        <v>2760</v>
      </c>
      <c r="H976" s="192">
        <v>0</v>
      </c>
      <c r="I976" s="192">
        <v>0</v>
      </c>
      <c r="J976" s="192">
        <f>SUM(H976:I976)</f>
        <v>0</v>
      </c>
    </row>
    <row r="977" spans="1:10" outlineLevel="2">
      <c r="A977" s="191" t="s">
        <v>2893</v>
      </c>
      <c r="B977" s="191" t="s">
        <v>147</v>
      </c>
      <c r="C977" s="191" t="s">
        <v>523</v>
      </c>
      <c r="D977" s="191" t="s">
        <v>2092</v>
      </c>
      <c r="E977" s="191" t="s">
        <v>2740</v>
      </c>
      <c r="F977" s="191" t="s">
        <v>2740</v>
      </c>
      <c r="G977" s="191">
        <v>0</v>
      </c>
      <c r="H977" s="192">
        <v>100</v>
      </c>
      <c r="I977" s="192">
        <v>0</v>
      </c>
      <c r="J977" s="192">
        <f>SUM(H977:I977)</f>
        <v>100</v>
      </c>
    </row>
    <row r="978" spans="1:10" outlineLevel="2">
      <c r="A978" s="191" t="s">
        <v>2893</v>
      </c>
      <c r="B978" s="191" t="s">
        <v>147</v>
      </c>
      <c r="C978" s="191" t="s">
        <v>523</v>
      </c>
      <c r="D978" s="191" t="s">
        <v>2093</v>
      </c>
      <c r="E978" s="191" t="s">
        <v>1481</v>
      </c>
      <c r="F978" s="191" t="s">
        <v>1481</v>
      </c>
      <c r="G978" s="191">
        <v>7</v>
      </c>
      <c r="H978" s="192">
        <v>100</v>
      </c>
      <c r="I978" s="192">
        <v>54.26</v>
      </c>
      <c r="J978" s="192">
        <f>SUM(H978:I978)</f>
        <v>154.26</v>
      </c>
    </row>
    <row r="979" spans="1:10" outlineLevel="2">
      <c r="A979" s="191" t="s">
        <v>2893</v>
      </c>
      <c r="B979" s="191" t="s">
        <v>147</v>
      </c>
      <c r="C979" s="191" t="s">
        <v>523</v>
      </c>
      <c r="D979" s="191" t="s">
        <v>2094</v>
      </c>
      <c r="E979" s="191" t="s">
        <v>2666</v>
      </c>
      <c r="F979" s="191" t="s">
        <v>2594</v>
      </c>
      <c r="G979" s="191">
        <v>14</v>
      </c>
      <c r="H979" s="192">
        <v>0</v>
      </c>
      <c r="I979" s="192">
        <v>108.52</v>
      </c>
      <c r="J979" s="192">
        <f>SUM(H979:I979)</f>
        <v>108.52</v>
      </c>
    </row>
    <row r="980" spans="1:10" outlineLevel="2">
      <c r="A980" s="191" t="s">
        <v>2893</v>
      </c>
      <c r="B980" s="191" t="s">
        <v>112</v>
      </c>
      <c r="C980" s="191" t="s">
        <v>523</v>
      </c>
      <c r="D980" s="191" t="s">
        <v>2083</v>
      </c>
      <c r="E980" s="191" t="s">
        <v>2624</v>
      </c>
      <c r="F980" s="191" t="s">
        <v>1496</v>
      </c>
      <c r="G980" s="191">
        <v>21</v>
      </c>
      <c r="H980" s="192">
        <v>0</v>
      </c>
      <c r="I980" s="192">
        <v>166.32</v>
      </c>
      <c r="J980" s="192">
        <f>SUM(H980:I980)</f>
        <v>166.32</v>
      </c>
    </row>
    <row r="981" spans="1:10" outlineLevel="2">
      <c r="A981" s="191" t="s">
        <v>529</v>
      </c>
      <c r="B981" s="191" t="s">
        <v>116</v>
      </c>
      <c r="C981" s="191" t="s">
        <v>523</v>
      </c>
      <c r="D981" s="191" t="s">
        <v>2095</v>
      </c>
      <c r="E981" s="191" t="s">
        <v>2661</v>
      </c>
      <c r="F981" s="191" t="s">
        <v>2661</v>
      </c>
      <c r="G981" s="191">
        <v>7</v>
      </c>
      <c r="H981" s="192">
        <v>0</v>
      </c>
      <c r="I981" s="192">
        <v>63.11</v>
      </c>
      <c r="J981" s="192">
        <f>SUM(H981:I981)</f>
        <v>63.11</v>
      </c>
    </row>
    <row r="982" spans="1:10" outlineLevel="2">
      <c r="A982" s="191" t="s">
        <v>529</v>
      </c>
      <c r="B982" s="191" t="s">
        <v>116</v>
      </c>
      <c r="C982" s="191" t="s">
        <v>523</v>
      </c>
      <c r="D982" s="191" t="s">
        <v>2091</v>
      </c>
      <c r="E982" s="191" t="s">
        <v>2591</v>
      </c>
      <c r="F982" s="191" t="s">
        <v>2591</v>
      </c>
      <c r="G982" s="191">
        <v>7</v>
      </c>
      <c r="H982" s="192">
        <v>0</v>
      </c>
      <c r="I982" s="192">
        <v>63.11</v>
      </c>
      <c r="J982" s="192">
        <f>SUM(H982:I982)</f>
        <v>63.11</v>
      </c>
    </row>
    <row r="983" spans="1:10" outlineLevel="2">
      <c r="A983" s="191" t="s">
        <v>529</v>
      </c>
      <c r="B983" s="191" t="s">
        <v>116</v>
      </c>
      <c r="C983" s="191" t="s">
        <v>523</v>
      </c>
      <c r="D983" s="191" t="s">
        <v>2083</v>
      </c>
      <c r="E983" s="191" t="s">
        <v>2624</v>
      </c>
      <c r="F983" s="191" t="s">
        <v>1496</v>
      </c>
      <c r="G983" s="191">
        <v>21</v>
      </c>
      <c r="H983" s="192">
        <v>0</v>
      </c>
      <c r="I983" s="192">
        <v>189.33</v>
      </c>
      <c r="J983" s="192">
        <f>SUM(H983:I983)</f>
        <v>189.33</v>
      </c>
    </row>
    <row r="984" spans="1:10" outlineLevel="2">
      <c r="A984" s="191" t="s">
        <v>529</v>
      </c>
      <c r="B984" s="191" t="s">
        <v>189</v>
      </c>
      <c r="C984" s="191" t="s">
        <v>523</v>
      </c>
      <c r="D984" s="191" t="s">
        <v>2096</v>
      </c>
      <c r="E984" s="191" t="s">
        <v>2741</v>
      </c>
      <c r="F984" s="191" t="s">
        <v>2741</v>
      </c>
      <c r="G984" s="191">
        <v>7</v>
      </c>
      <c r="H984" s="192">
        <v>0</v>
      </c>
      <c r="I984" s="192">
        <v>87.49</v>
      </c>
      <c r="J984" s="192">
        <f>SUM(H984:I984)</f>
        <v>87.49</v>
      </c>
    </row>
    <row r="985" spans="1:10" outlineLevel="2">
      <c r="A985" s="191" t="s">
        <v>529</v>
      </c>
      <c r="B985" s="191" t="s">
        <v>189</v>
      </c>
      <c r="C985" s="191" t="s">
        <v>523</v>
      </c>
      <c r="D985" s="191" t="s">
        <v>2084</v>
      </c>
      <c r="E985" s="191" t="s">
        <v>2718</v>
      </c>
      <c r="F985" s="191" t="s">
        <v>1480</v>
      </c>
      <c r="G985" s="191">
        <v>21</v>
      </c>
      <c r="H985" s="192">
        <v>0</v>
      </c>
      <c r="I985" s="192">
        <v>203.58</v>
      </c>
      <c r="J985" s="192">
        <f>SUM(H985:I985)</f>
        <v>203.58</v>
      </c>
    </row>
    <row r="986" spans="1:10" outlineLevel="2">
      <c r="A986" s="191" t="s">
        <v>530</v>
      </c>
      <c r="B986" s="191" t="s">
        <v>522</v>
      </c>
      <c r="C986" s="191" t="s">
        <v>523</v>
      </c>
      <c r="D986" s="191" t="s">
        <v>2083</v>
      </c>
      <c r="E986" s="191" t="s">
        <v>1495</v>
      </c>
      <c r="F986" s="191" t="s">
        <v>1496</v>
      </c>
      <c r="G986" s="191">
        <v>14</v>
      </c>
      <c r="H986" s="192">
        <v>0</v>
      </c>
      <c r="I986" s="192">
        <v>301.27999999999997</v>
      </c>
      <c r="J986" s="192">
        <f>SUM(H986:I986)</f>
        <v>301.27999999999997</v>
      </c>
    </row>
    <row r="987" spans="1:10" outlineLevel="2">
      <c r="A987" s="191" t="s">
        <v>530</v>
      </c>
      <c r="B987" s="191" t="s">
        <v>522</v>
      </c>
      <c r="C987" s="191" t="s">
        <v>523</v>
      </c>
      <c r="D987" s="191" t="s">
        <v>2085</v>
      </c>
      <c r="E987" s="191" t="s">
        <v>2645</v>
      </c>
      <c r="F987" s="191" t="s">
        <v>2640</v>
      </c>
      <c r="G987" s="191">
        <v>14</v>
      </c>
      <c r="H987" s="192">
        <v>0</v>
      </c>
      <c r="I987" s="192">
        <v>302.76</v>
      </c>
      <c r="J987" s="192">
        <f>SUM(H987:I987)</f>
        <v>302.76</v>
      </c>
    </row>
    <row r="988" spans="1:10" outlineLevel="2">
      <c r="A988" s="191" t="s">
        <v>531</v>
      </c>
      <c r="B988" s="191" t="s">
        <v>268</v>
      </c>
      <c r="C988" s="191" t="s">
        <v>523</v>
      </c>
      <c r="D988" s="191" t="s">
        <v>2083</v>
      </c>
      <c r="E988" s="191" t="s">
        <v>1495</v>
      </c>
      <c r="F988" s="191" t="s">
        <v>1496</v>
      </c>
      <c r="G988" s="191">
        <v>14</v>
      </c>
      <c r="H988" s="192">
        <v>0</v>
      </c>
      <c r="I988" s="192">
        <v>426.28</v>
      </c>
      <c r="J988" s="192">
        <f>SUM(H988:I988)</f>
        <v>426.28</v>
      </c>
    </row>
    <row r="989" spans="1:10" outlineLevel="1">
      <c r="A989" s="193" t="s">
        <v>3021</v>
      </c>
      <c r="B989" s="194"/>
      <c r="C989" s="194"/>
      <c r="D989" s="194"/>
      <c r="E989" s="194"/>
      <c r="F989" s="194"/>
      <c r="G989" s="194">
        <f>SUBTOTAL(9,G958:G988)</f>
        <v>437</v>
      </c>
      <c r="H989" s="195">
        <f>SUBTOTAL(9,H958:H988)</f>
        <v>300</v>
      </c>
      <c r="I989" s="195">
        <f>SUBTOTAL(9,I958:I988)</f>
        <v>7275.57</v>
      </c>
      <c r="J989" s="195">
        <f>SUBTOTAL(9,J958:J988)</f>
        <v>7575.57</v>
      </c>
    </row>
    <row r="990" spans="1:10" outlineLevel="2">
      <c r="A990" s="191" t="s">
        <v>2894</v>
      </c>
      <c r="B990" s="191" t="s">
        <v>533</v>
      </c>
      <c r="C990" s="191" t="s">
        <v>534</v>
      </c>
      <c r="D990" s="191" t="s">
        <v>2097</v>
      </c>
      <c r="E990" s="191" t="s">
        <v>1496</v>
      </c>
      <c r="F990" s="191" t="s">
        <v>1496</v>
      </c>
      <c r="G990" s="191">
        <v>7</v>
      </c>
      <c r="H990" s="192">
        <v>0</v>
      </c>
      <c r="I990" s="192">
        <v>152.35</v>
      </c>
      <c r="J990" s="192">
        <f>SUM(H990:I990)</f>
        <v>152.35</v>
      </c>
    </row>
    <row r="991" spans="1:10" outlineLevel="2">
      <c r="A991" s="191" t="s">
        <v>2894</v>
      </c>
      <c r="B991" s="191" t="s">
        <v>533</v>
      </c>
      <c r="C991" s="191" t="s">
        <v>534</v>
      </c>
      <c r="D991" s="191" t="s">
        <v>2098</v>
      </c>
      <c r="E991" s="191" t="s">
        <v>2639</v>
      </c>
      <c r="F991" s="191" t="s">
        <v>2608</v>
      </c>
      <c r="G991" s="191">
        <v>14</v>
      </c>
      <c r="H991" s="192">
        <v>100</v>
      </c>
      <c r="I991" s="192">
        <v>304.7</v>
      </c>
      <c r="J991" s="192">
        <f>SUM(H991:I991)</f>
        <v>404.7</v>
      </c>
    </row>
    <row r="992" spans="1:10" outlineLevel="2">
      <c r="A992" s="191" t="s">
        <v>2894</v>
      </c>
      <c r="B992" s="191" t="s">
        <v>533</v>
      </c>
      <c r="C992" s="191" t="s">
        <v>534</v>
      </c>
      <c r="D992" s="191" t="s">
        <v>2099</v>
      </c>
      <c r="E992" s="191" t="s">
        <v>2742</v>
      </c>
      <c r="F992" s="191" t="s">
        <v>2598</v>
      </c>
      <c r="G992" s="191">
        <v>28</v>
      </c>
      <c r="H992" s="192">
        <v>0</v>
      </c>
      <c r="I992" s="192">
        <v>612.36</v>
      </c>
      <c r="J992" s="192">
        <f>SUM(H992:I992)</f>
        <v>612.36</v>
      </c>
    </row>
    <row r="993" spans="1:10" outlineLevel="2">
      <c r="A993" s="191" t="s">
        <v>2895</v>
      </c>
      <c r="B993" s="191" t="s">
        <v>287</v>
      </c>
      <c r="C993" s="191" t="s">
        <v>534</v>
      </c>
      <c r="D993" s="191" t="s">
        <v>2100</v>
      </c>
      <c r="E993" s="191" t="s">
        <v>2639</v>
      </c>
      <c r="F993" s="191" t="s">
        <v>2608</v>
      </c>
      <c r="G993" s="191">
        <v>14</v>
      </c>
      <c r="H993" s="192">
        <v>0</v>
      </c>
      <c r="I993" s="192">
        <v>180.78</v>
      </c>
      <c r="J993" s="192">
        <f>SUM(H993:I993)</f>
        <v>180.78</v>
      </c>
    </row>
    <row r="994" spans="1:10" outlineLevel="2">
      <c r="A994" s="191" t="s">
        <v>2896</v>
      </c>
      <c r="B994" s="191" t="s">
        <v>533</v>
      </c>
      <c r="C994" s="191" t="s">
        <v>534</v>
      </c>
      <c r="D994" s="191" t="s">
        <v>2101</v>
      </c>
      <c r="E994" s="191" t="s">
        <v>2640</v>
      </c>
      <c r="F994" s="191" t="s">
        <v>2640</v>
      </c>
      <c r="G994" s="191">
        <v>7</v>
      </c>
      <c r="H994" s="192">
        <v>0</v>
      </c>
      <c r="I994" s="192">
        <v>168.44</v>
      </c>
      <c r="J994" s="192">
        <f>SUM(H994:I994)</f>
        <v>168.44</v>
      </c>
    </row>
    <row r="995" spans="1:10" outlineLevel="2">
      <c r="A995" s="191" t="s">
        <v>2896</v>
      </c>
      <c r="B995" s="191" t="s">
        <v>533</v>
      </c>
      <c r="C995" s="191" t="s">
        <v>534</v>
      </c>
      <c r="D995" s="191" t="s">
        <v>2102</v>
      </c>
      <c r="E995" s="191" t="s">
        <v>2727</v>
      </c>
      <c r="F995" s="191" t="s">
        <v>1483</v>
      </c>
      <c r="G995" s="191">
        <v>14</v>
      </c>
      <c r="H995" s="192">
        <v>0</v>
      </c>
      <c r="I995" s="192">
        <v>335.24</v>
      </c>
      <c r="J995" s="192">
        <f>SUM(H995:I995)</f>
        <v>335.24</v>
      </c>
    </row>
    <row r="996" spans="1:10" outlineLevel="2">
      <c r="A996" s="191" t="s">
        <v>532</v>
      </c>
      <c r="B996" s="191" t="s">
        <v>533</v>
      </c>
      <c r="C996" s="191" t="s">
        <v>534</v>
      </c>
      <c r="D996" s="191" t="s">
        <v>2100</v>
      </c>
      <c r="E996" s="191" t="s">
        <v>2639</v>
      </c>
      <c r="F996" s="191" t="s">
        <v>2608</v>
      </c>
      <c r="G996" s="191">
        <v>14</v>
      </c>
      <c r="H996" s="192">
        <v>0</v>
      </c>
      <c r="I996" s="192">
        <v>343.88</v>
      </c>
      <c r="J996" s="192">
        <f>SUM(H996:I996)</f>
        <v>343.88</v>
      </c>
    </row>
    <row r="997" spans="1:10" outlineLevel="2">
      <c r="A997" s="191" t="s">
        <v>532</v>
      </c>
      <c r="B997" s="191" t="s">
        <v>533</v>
      </c>
      <c r="C997" s="191" t="s">
        <v>534</v>
      </c>
      <c r="D997" s="191" t="s">
        <v>2103</v>
      </c>
      <c r="E997" s="191" t="s">
        <v>2742</v>
      </c>
      <c r="F997" s="191" t="s">
        <v>2598</v>
      </c>
      <c r="G997" s="191">
        <v>28</v>
      </c>
      <c r="H997" s="192">
        <v>0</v>
      </c>
      <c r="I997" s="192">
        <v>691.12</v>
      </c>
      <c r="J997" s="192">
        <f>SUM(H997:I997)</f>
        <v>691.12</v>
      </c>
    </row>
    <row r="998" spans="1:10" outlineLevel="1">
      <c r="A998" s="193" t="s">
        <v>3022</v>
      </c>
      <c r="B998" s="194"/>
      <c r="C998" s="194"/>
      <c r="D998" s="194"/>
      <c r="E998" s="194"/>
      <c r="F998" s="194"/>
      <c r="G998" s="194">
        <f>SUBTOTAL(9,G990:G997)</f>
        <v>126</v>
      </c>
      <c r="H998" s="195">
        <f>SUBTOTAL(9,H990:H997)</f>
        <v>100</v>
      </c>
      <c r="I998" s="195">
        <f>SUBTOTAL(9,I990:I997)</f>
        <v>2788.87</v>
      </c>
      <c r="J998" s="195">
        <f>SUBTOTAL(9,J990:J997)</f>
        <v>2888.87</v>
      </c>
    </row>
    <row r="999" spans="1:10" outlineLevel="2">
      <c r="A999" s="191" t="s">
        <v>535</v>
      </c>
      <c r="B999" s="191" t="s">
        <v>538</v>
      </c>
      <c r="C999" s="191" t="s">
        <v>536</v>
      </c>
      <c r="D999" s="191" t="s">
        <v>2104</v>
      </c>
      <c r="E999" s="191" t="s">
        <v>1492</v>
      </c>
      <c r="F999" s="191" t="s">
        <v>2590</v>
      </c>
      <c r="G999" s="191">
        <v>21</v>
      </c>
      <c r="H999" s="192">
        <v>0</v>
      </c>
      <c r="I999" s="192">
        <v>401.49</v>
      </c>
      <c r="J999" s="192">
        <f>SUM(H999:I999)</f>
        <v>401.49</v>
      </c>
    </row>
    <row r="1000" spans="1:10" outlineLevel="2">
      <c r="A1000" s="191" t="s">
        <v>535</v>
      </c>
      <c r="B1000" s="191" t="s">
        <v>538</v>
      </c>
      <c r="C1000" s="191" t="s">
        <v>536</v>
      </c>
      <c r="D1000" s="191" t="s">
        <v>2105</v>
      </c>
      <c r="E1000" s="191" t="s">
        <v>2676</v>
      </c>
      <c r="F1000" s="191" t="s">
        <v>2609</v>
      </c>
      <c r="G1000" s="191">
        <v>21</v>
      </c>
      <c r="H1000" s="192">
        <v>0</v>
      </c>
      <c r="I1000" s="192">
        <v>401.49</v>
      </c>
      <c r="J1000" s="192">
        <f>SUM(H1000:I1000)</f>
        <v>401.49</v>
      </c>
    </row>
    <row r="1001" spans="1:10" outlineLevel="2">
      <c r="A1001" s="191" t="s">
        <v>537</v>
      </c>
      <c r="B1001" s="191" t="s">
        <v>538</v>
      </c>
      <c r="C1001" s="191" t="s">
        <v>536</v>
      </c>
      <c r="D1001" s="191" t="s">
        <v>2106</v>
      </c>
      <c r="E1001" s="191" t="s">
        <v>1481</v>
      </c>
      <c r="F1001" s="191" t="s">
        <v>1481</v>
      </c>
      <c r="G1001" s="191">
        <v>7</v>
      </c>
      <c r="H1001" s="192">
        <v>0</v>
      </c>
      <c r="I1001" s="192">
        <v>134.88</v>
      </c>
      <c r="J1001" s="192">
        <f>SUM(H1001:I1001)</f>
        <v>134.88</v>
      </c>
    </row>
    <row r="1002" spans="1:10" outlineLevel="2">
      <c r="A1002" s="191" t="s">
        <v>537</v>
      </c>
      <c r="B1002" s="191" t="s">
        <v>538</v>
      </c>
      <c r="C1002" s="191" t="s">
        <v>536</v>
      </c>
      <c r="D1002" s="191" t="s">
        <v>2107</v>
      </c>
      <c r="E1002" s="191" t="s">
        <v>2661</v>
      </c>
      <c r="F1002" s="191" t="s">
        <v>2661</v>
      </c>
      <c r="G1002" s="191">
        <v>7</v>
      </c>
      <c r="H1002" s="192">
        <v>0</v>
      </c>
      <c r="I1002" s="192">
        <v>134.88</v>
      </c>
      <c r="J1002" s="192">
        <f>SUM(H1002:I1002)</f>
        <v>134.88</v>
      </c>
    </row>
    <row r="1003" spans="1:10" outlineLevel="2">
      <c r="A1003" s="191" t="s">
        <v>537</v>
      </c>
      <c r="B1003" s="191" t="s">
        <v>538</v>
      </c>
      <c r="C1003" s="191" t="s">
        <v>536</v>
      </c>
      <c r="D1003" s="191" t="s">
        <v>2108</v>
      </c>
      <c r="E1003" s="191" t="s">
        <v>2618</v>
      </c>
      <c r="F1003" s="191" t="s">
        <v>2591</v>
      </c>
      <c r="G1003" s="191">
        <v>21</v>
      </c>
      <c r="H1003" s="192">
        <v>0</v>
      </c>
      <c r="I1003" s="192">
        <v>404.64</v>
      </c>
      <c r="J1003" s="192">
        <f>SUM(H1003:I1003)</f>
        <v>404.64</v>
      </c>
    </row>
    <row r="1004" spans="1:10" outlineLevel="2">
      <c r="A1004" s="191" t="s">
        <v>537</v>
      </c>
      <c r="B1004" s="191" t="s">
        <v>538</v>
      </c>
      <c r="C1004" s="191" t="s">
        <v>536</v>
      </c>
      <c r="D1004" s="191" t="s">
        <v>2109</v>
      </c>
      <c r="E1004" s="191" t="s">
        <v>1492</v>
      </c>
      <c r="F1004" s="191" t="s">
        <v>2590</v>
      </c>
      <c r="G1004" s="191">
        <v>21</v>
      </c>
      <c r="H1004" s="192">
        <v>0</v>
      </c>
      <c r="I1004" s="192">
        <v>406.62</v>
      </c>
      <c r="J1004" s="192">
        <f>SUM(H1004:I1004)</f>
        <v>406.62</v>
      </c>
    </row>
    <row r="1005" spans="1:10" outlineLevel="2">
      <c r="A1005" s="191" t="s">
        <v>539</v>
      </c>
      <c r="B1005" s="191" t="s">
        <v>538</v>
      </c>
      <c r="C1005" s="191" t="s">
        <v>536</v>
      </c>
      <c r="D1005" s="191" t="s">
        <v>2104</v>
      </c>
      <c r="E1005" s="191" t="s">
        <v>1492</v>
      </c>
      <c r="F1005" s="191" t="s">
        <v>2590</v>
      </c>
      <c r="G1005" s="191">
        <v>21</v>
      </c>
      <c r="H1005" s="192">
        <v>0</v>
      </c>
      <c r="I1005" s="192">
        <v>473.04</v>
      </c>
      <c r="J1005" s="192">
        <f>SUM(H1005:I1005)</f>
        <v>473.04</v>
      </c>
    </row>
    <row r="1006" spans="1:10" outlineLevel="2">
      <c r="A1006" s="191" t="s">
        <v>2897</v>
      </c>
      <c r="B1006" s="191" t="s">
        <v>538</v>
      </c>
      <c r="C1006" s="191" t="s">
        <v>536</v>
      </c>
      <c r="D1006" s="191" t="s">
        <v>2110</v>
      </c>
      <c r="E1006" s="191" t="s">
        <v>1481</v>
      </c>
      <c r="F1006" s="191" t="s">
        <v>1481</v>
      </c>
      <c r="G1006" s="191" t="s">
        <v>2760</v>
      </c>
      <c r="H1006" s="192">
        <v>0</v>
      </c>
      <c r="I1006" s="192">
        <v>0</v>
      </c>
      <c r="J1006" s="192">
        <f>SUM(H1006:I1006)</f>
        <v>0</v>
      </c>
    </row>
    <row r="1007" spans="1:10" outlineLevel="2">
      <c r="A1007" s="191" t="s">
        <v>2897</v>
      </c>
      <c r="B1007" s="191" t="s">
        <v>538</v>
      </c>
      <c r="C1007" s="191" t="s">
        <v>536</v>
      </c>
      <c r="D1007" s="191" t="s">
        <v>2111</v>
      </c>
      <c r="E1007" s="191" t="s">
        <v>2600</v>
      </c>
      <c r="F1007" s="191" t="s">
        <v>2600</v>
      </c>
      <c r="G1007" s="191" t="s">
        <v>2760</v>
      </c>
      <c r="H1007" s="192">
        <v>0</v>
      </c>
      <c r="I1007" s="192">
        <v>0</v>
      </c>
      <c r="J1007" s="192">
        <f>SUM(H1007:I1007)</f>
        <v>0</v>
      </c>
    </row>
    <row r="1008" spans="1:10" outlineLevel="2">
      <c r="A1008" s="191" t="s">
        <v>540</v>
      </c>
      <c r="B1008" s="191" t="s">
        <v>112</v>
      </c>
      <c r="C1008" s="191" t="s">
        <v>536</v>
      </c>
      <c r="D1008" s="191" t="s">
        <v>2112</v>
      </c>
      <c r="E1008" s="191" t="s">
        <v>2678</v>
      </c>
      <c r="F1008" s="191" t="s">
        <v>1493</v>
      </c>
      <c r="G1008" s="191">
        <v>21</v>
      </c>
      <c r="H1008" s="192">
        <v>0</v>
      </c>
      <c r="I1008" s="192">
        <v>171.21</v>
      </c>
      <c r="J1008" s="192">
        <f>SUM(H1008:I1008)</f>
        <v>171.21</v>
      </c>
    </row>
    <row r="1009" spans="1:10" outlineLevel="2">
      <c r="A1009" s="191" t="s">
        <v>540</v>
      </c>
      <c r="B1009" s="191" t="s">
        <v>112</v>
      </c>
      <c r="C1009" s="191" t="s">
        <v>536</v>
      </c>
      <c r="D1009" s="191" t="s">
        <v>2113</v>
      </c>
      <c r="E1009" s="191" t="s">
        <v>2665</v>
      </c>
      <c r="F1009" s="191" t="s">
        <v>1490</v>
      </c>
      <c r="G1009" s="191">
        <v>28</v>
      </c>
      <c r="H1009" s="192">
        <v>0</v>
      </c>
      <c r="I1009" s="192">
        <v>233.48</v>
      </c>
      <c r="J1009" s="192">
        <f>SUM(H1009:I1009)</f>
        <v>233.48</v>
      </c>
    </row>
    <row r="1010" spans="1:10" outlineLevel="2">
      <c r="A1010" s="191" t="s">
        <v>541</v>
      </c>
      <c r="B1010" s="191" t="s">
        <v>147</v>
      </c>
      <c r="C1010" s="191" t="s">
        <v>536</v>
      </c>
      <c r="D1010" s="191" t="s">
        <v>2114</v>
      </c>
      <c r="E1010" s="191" t="s">
        <v>2665</v>
      </c>
      <c r="F1010" s="191" t="s">
        <v>1490</v>
      </c>
      <c r="G1010" s="191">
        <v>28</v>
      </c>
      <c r="H1010" s="192">
        <v>0</v>
      </c>
      <c r="I1010" s="192">
        <v>218.12</v>
      </c>
      <c r="J1010" s="192">
        <f>SUM(H1010:I1010)</f>
        <v>218.12</v>
      </c>
    </row>
    <row r="1011" spans="1:10" outlineLevel="2">
      <c r="A1011" s="191" t="s">
        <v>2898</v>
      </c>
      <c r="B1011" s="191" t="s">
        <v>141</v>
      </c>
      <c r="C1011" s="191" t="s">
        <v>536</v>
      </c>
      <c r="D1011" s="191" t="s">
        <v>2115</v>
      </c>
      <c r="E1011" s="191" t="s">
        <v>2665</v>
      </c>
      <c r="F1011" s="191" t="s">
        <v>1490</v>
      </c>
      <c r="G1011" s="191">
        <v>28</v>
      </c>
      <c r="H1011" s="192">
        <v>0</v>
      </c>
      <c r="I1011" s="192">
        <v>203.88</v>
      </c>
      <c r="J1011" s="192">
        <f>SUM(H1011:I1011)</f>
        <v>203.88</v>
      </c>
    </row>
    <row r="1012" spans="1:10" outlineLevel="2">
      <c r="A1012" s="191" t="s">
        <v>542</v>
      </c>
      <c r="B1012" s="191" t="s">
        <v>538</v>
      </c>
      <c r="C1012" s="191" t="s">
        <v>536</v>
      </c>
      <c r="D1012" s="191" t="s">
        <v>2116</v>
      </c>
      <c r="E1012" s="191" t="s">
        <v>2607</v>
      </c>
      <c r="F1012" s="191" t="s">
        <v>1500</v>
      </c>
      <c r="G1012" s="191">
        <v>21</v>
      </c>
      <c r="H1012" s="192">
        <v>0</v>
      </c>
      <c r="I1012" s="192">
        <v>488.82</v>
      </c>
      <c r="J1012" s="192">
        <f>SUM(H1012:I1012)</f>
        <v>488.82</v>
      </c>
    </row>
    <row r="1013" spans="1:10" outlineLevel="2">
      <c r="A1013" s="191" t="s">
        <v>543</v>
      </c>
      <c r="B1013" s="191" t="s">
        <v>538</v>
      </c>
      <c r="C1013" s="191" t="s">
        <v>536</v>
      </c>
      <c r="D1013" s="191" t="s">
        <v>2117</v>
      </c>
      <c r="E1013" s="191" t="s">
        <v>2589</v>
      </c>
      <c r="F1013" s="191" t="s">
        <v>2589</v>
      </c>
      <c r="G1013" s="191">
        <v>7</v>
      </c>
      <c r="H1013" s="192">
        <v>0</v>
      </c>
      <c r="I1013" s="192">
        <v>138.29</v>
      </c>
      <c r="J1013" s="192">
        <f>SUM(H1013:I1013)</f>
        <v>138.29</v>
      </c>
    </row>
    <row r="1014" spans="1:10" outlineLevel="2">
      <c r="A1014" s="191" t="s">
        <v>543</v>
      </c>
      <c r="B1014" s="191" t="s">
        <v>538</v>
      </c>
      <c r="C1014" s="191" t="s">
        <v>536</v>
      </c>
      <c r="D1014" s="191" t="s">
        <v>2118</v>
      </c>
      <c r="E1014" s="191" t="s">
        <v>2706</v>
      </c>
      <c r="F1014" s="191" t="s">
        <v>2663</v>
      </c>
      <c r="G1014" s="191">
        <v>21</v>
      </c>
      <c r="H1014" s="192">
        <v>0</v>
      </c>
      <c r="I1014" s="192">
        <v>937.05</v>
      </c>
      <c r="J1014" s="192">
        <f>SUM(H1014:I1014)</f>
        <v>937.05</v>
      </c>
    </row>
    <row r="1015" spans="1:10" outlineLevel="2">
      <c r="A1015" s="191" t="s">
        <v>544</v>
      </c>
      <c r="B1015" s="191" t="s">
        <v>538</v>
      </c>
      <c r="C1015" s="191" t="s">
        <v>536</v>
      </c>
      <c r="D1015" s="191" t="s">
        <v>2119</v>
      </c>
      <c r="E1015" s="191" t="s">
        <v>2664</v>
      </c>
      <c r="F1015" s="191" t="s">
        <v>2664</v>
      </c>
      <c r="G1015" s="191">
        <v>7</v>
      </c>
      <c r="H1015" s="192">
        <v>0</v>
      </c>
      <c r="I1015" s="192">
        <v>136.59</v>
      </c>
      <c r="J1015" s="192">
        <f>SUM(H1015:I1015)</f>
        <v>136.59</v>
      </c>
    </row>
    <row r="1016" spans="1:10" outlineLevel="2">
      <c r="A1016" s="191" t="s">
        <v>544</v>
      </c>
      <c r="B1016" s="191" t="s">
        <v>538</v>
      </c>
      <c r="C1016" s="191" t="s">
        <v>536</v>
      </c>
      <c r="D1016" s="191" t="s">
        <v>2120</v>
      </c>
      <c r="E1016" s="191" t="s">
        <v>2655</v>
      </c>
      <c r="F1016" s="191" t="s">
        <v>2655</v>
      </c>
      <c r="G1016" s="191">
        <v>7</v>
      </c>
      <c r="H1016" s="192">
        <v>0</v>
      </c>
      <c r="I1016" s="192">
        <v>149.41999999999999</v>
      </c>
      <c r="J1016" s="192">
        <f>SUM(H1016:I1016)</f>
        <v>149.41999999999999</v>
      </c>
    </row>
    <row r="1017" spans="1:10" outlineLevel="2">
      <c r="A1017" s="191" t="s">
        <v>544</v>
      </c>
      <c r="B1017" s="191" t="s">
        <v>538</v>
      </c>
      <c r="C1017" s="191" t="s">
        <v>536</v>
      </c>
      <c r="D1017" s="191" t="s">
        <v>2121</v>
      </c>
      <c r="E1017" s="191" t="s">
        <v>2717</v>
      </c>
      <c r="F1017" s="191" t="s">
        <v>2717</v>
      </c>
      <c r="G1017" s="191">
        <v>7</v>
      </c>
      <c r="H1017" s="192">
        <v>0</v>
      </c>
      <c r="I1017" s="192">
        <v>137.25</v>
      </c>
      <c r="J1017" s="192">
        <f>SUM(H1017:I1017)</f>
        <v>137.25</v>
      </c>
    </row>
    <row r="1018" spans="1:10" outlineLevel="2">
      <c r="A1018" s="191" t="s">
        <v>544</v>
      </c>
      <c r="B1018" s="191" t="s">
        <v>538</v>
      </c>
      <c r="C1018" s="191" t="s">
        <v>536</v>
      </c>
      <c r="D1018" s="191" t="s">
        <v>2122</v>
      </c>
      <c r="E1018" s="191" t="s">
        <v>1499</v>
      </c>
      <c r="F1018" s="191" t="s">
        <v>1500</v>
      </c>
      <c r="G1018" s="191">
        <v>14</v>
      </c>
      <c r="H1018" s="192">
        <v>0</v>
      </c>
      <c r="I1018" s="192">
        <v>274.5</v>
      </c>
      <c r="J1018" s="192">
        <f>SUM(H1018:I1018)</f>
        <v>274.5</v>
      </c>
    </row>
    <row r="1019" spans="1:10" outlineLevel="2">
      <c r="A1019" s="191" t="s">
        <v>544</v>
      </c>
      <c r="B1019" s="191" t="s">
        <v>538</v>
      </c>
      <c r="C1019" s="191" t="s">
        <v>536</v>
      </c>
      <c r="D1019" s="191" t="s">
        <v>2120</v>
      </c>
      <c r="E1019" s="191" t="s">
        <v>2656</v>
      </c>
      <c r="F1019" s="191" t="s">
        <v>2698</v>
      </c>
      <c r="G1019" s="191">
        <v>21</v>
      </c>
      <c r="H1019" s="192">
        <v>0</v>
      </c>
      <c r="I1019" s="192">
        <v>411.75</v>
      </c>
      <c r="J1019" s="192">
        <f>SUM(H1019:I1019)</f>
        <v>411.75</v>
      </c>
    </row>
    <row r="1020" spans="1:10" outlineLevel="2">
      <c r="A1020" s="191" t="s">
        <v>545</v>
      </c>
      <c r="B1020" s="191" t="s">
        <v>538</v>
      </c>
      <c r="C1020" s="191" t="s">
        <v>536</v>
      </c>
      <c r="D1020" s="191" t="s">
        <v>2123</v>
      </c>
      <c r="E1020" s="191" t="s">
        <v>2594</v>
      </c>
      <c r="F1020" s="191" t="s">
        <v>2594</v>
      </c>
      <c r="G1020" s="191">
        <v>7</v>
      </c>
      <c r="H1020" s="192">
        <v>0</v>
      </c>
      <c r="I1020" s="192">
        <v>136.59</v>
      </c>
      <c r="J1020" s="192">
        <f>SUM(H1020:I1020)</f>
        <v>136.59</v>
      </c>
    </row>
    <row r="1021" spans="1:10" outlineLevel="2">
      <c r="A1021" s="191" t="s">
        <v>545</v>
      </c>
      <c r="B1021" s="191" t="s">
        <v>538</v>
      </c>
      <c r="C1021" s="191" t="s">
        <v>536</v>
      </c>
      <c r="D1021" s="191" t="s">
        <v>2124</v>
      </c>
      <c r="E1021" s="191" t="s">
        <v>2661</v>
      </c>
      <c r="F1021" s="191" t="s">
        <v>2661</v>
      </c>
      <c r="G1021" s="191">
        <v>7</v>
      </c>
      <c r="H1021" s="192">
        <v>0</v>
      </c>
      <c r="I1021" s="192">
        <v>136.59</v>
      </c>
      <c r="J1021" s="192">
        <f>SUM(H1021:I1021)</f>
        <v>136.59</v>
      </c>
    </row>
    <row r="1022" spans="1:10" outlineLevel="2">
      <c r="A1022" s="191" t="s">
        <v>545</v>
      </c>
      <c r="B1022" s="191" t="s">
        <v>538</v>
      </c>
      <c r="C1022" s="191" t="s">
        <v>536</v>
      </c>
      <c r="D1022" s="191" t="s">
        <v>2125</v>
      </c>
      <c r="E1022" s="191" t="s">
        <v>2608</v>
      </c>
      <c r="F1022" s="191" t="s">
        <v>2608</v>
      </c>
      <c r="G1022" s="191">
        <v>7</v>
      </c>
      <c r="H1022" s="192">
        <v>0</v>
      </c>
      <c r="I1022" s="192">
        <v>136.59</v>
      </c>
      <c r="J1022" s="192">
        <f>SUM(H1022:I1022)</f>
        <v>136.59</v>
      </c>
    </row>
    <row r="1023" spans="1:10" outlineLevel="2">
      <c r="A1023" s="191" t="s">
        <v>545</v>
      </c>
      <c r="B1023" s="191" t="s">
        <v>538</v>
      </c>
      <c r="C1023" s="191" t="s">
        <v>536</v>
      </c>
      <c r="D1023" s="191" t="s">
        <v>2126</v>
      </c>
      <c r="E1023" s="191" t="s">
        <v>2675</v>
      </c>
      <c r="F1023" s="191" t="s">
        <v>1504</v>
      </c>
      <c r="G1023" s="191">
        <v>14</v>
      </c>
      <c r="H1023" s="192">
        <v>0</v>
      </c>
      <c r="I1023" s="192">
        <v>273.18</v>
      </c>
      <c r="J1023" s="192">
        <f>SUM(H1023:I1023)</f>
        <v>273.18</v>
      </c>
    </row>
    <row r="1024" spans="1:10" outlineLevel="2">
      <c r="A1024" s="191" t="s">
        <v>545</v>
      </c>
      <c r="B1024" s="191" t="s">
        <v>538</v>
      </c>
      <c r="C1024" s="191" t="s">
        <v>536</v>
      </c>
      <c r="D1024" s="191" t="s">
        <v>2127</v>
      </c>
      <c r="E1024" s="191" t="s">
        <v>2665</v>
      </c>
      <c r="F1024" s="191" t="s">
        <v>1489</v>
      </c>
      <c r="G1024" s="191">
        <v>21</v>
      </c>
      <c r="H1024" s="192">
        <v>0</v>
      </c>
      <c r="I1024" s="192">
        <v>411.75</v>
      </c>
      <c r="J1024" s="192">
        <f>SUM(H1024:I1024)</f>
        <v>411.75</v>
      </c>
    </row>
    <row r="1025" spans="1:10" outlineLevel="2">
      <c r="A1025" s="191" t="s">
        <v>546</v>
      </c>
      <c r="B1025" s="191" t="s">
        <v>538</v>
      </c>
      <c r="C1025" s="191" t="s">
        <v>536</v>
      </c>
      <c r="D1025" s="191" t="s">
        <v>2128</v>
      </c>
      <c r="E1025" s="191" t="s">
        <v>1481</v>
      </c>
      <c r="F1025" s="191" t="s">
        <v>1481</v>
      </c>
      <c r="G1025" s="191">
        <v>7</v>
      </c>
      <c r="H1025" s="192">
        <v>0</v>
      </c>
      <c r="I1025" s="192">
        <v>150.63999999999999</v>
      </c>
      <c r="J1025" s="192">
        <f>SUM(H1025:I1025)</f>
        <v>150.63999999999999</v>
      </c>
    </row>
    <row r="1026" spans="1:10" outlineLevel="2">
      <c r="A1026" s="191" t="s">
        <v>546</v>
      </c>
      <c r="B1026" s="191" t="s">
        <v>538</v>
      </c>
      <c r="C1026" s="191" t="s">
        <v>536</v>
      </c>
      <c r="D1026" s="191" t="s">
        <v>2122</v>
      </c>
      <c r="E1026" s="191" t="s">
        <v>1499</v>
      </c>
      <c r="F1026" s="191" t="s">
        <v>1500</v>
      </c>
      <c r="G1026" s="191">
        <v>14</v>
      </c>
      <c r="H1026" s="192">
        <v>0</v>
      </c>
      <c r="I1026" s="192">
        <v>293</v>
      </c>
      <c r="J1026" s="192">
        <f>SUM(H1026:I1026)</f>
        <v>293</v>
      </c>
    </row>
    <row r="1027" spans="1:10" outlineLevel="2">
      <c r="A1027" s="191" t="s">
        <v>546</v>
      </c>
      <c r="B1027" s="191" t="s">
        <v>538</v>
      </c>
      <c r="C1027" s="191" t="s">
        <v>536</v>
      </c>
      <c r="D1027" s="191" t="s">
        <v>2127</v>
      </c>
      <c r="E1027" s="191" t="s">
        <v>2665</v>
      </c>
      <c r="F1027" s="191" t="s">
        <v>1490</v>
      </c>
      <c r="G1027" s="191">
        <v>28</v>
      </c>
      <c r="H1027" s="192">
        <v>0</v>
      </c>
      <c r="I1027" s="192">
        <v>605.52</v>
      </c>
      <c r="J1027" s="192">
        <f>SUM(H1027:I1027)</f>
        <v>605.52</v>
      </c>
    </row>
    <row r="1028" spans="1:10" outlineLevel="2">
      <c r="A1028" s="191" t="s">
        <v>2899</v>
      </c>
      <c r="B1028" s="191" t="s">
        <v>538</v>
      </c>
      <c r="C1028" s="191" t="s">
        <v>536</v>
      </c>
      <c r="D1028" s="191" t="s">
        <v>2113</v>
      </c>
      <c r="E1028" s="191" t="s">
        <v>2665</v>
      </c>
      <c r="F1028" s="191" t="s">
        <v>2717</v>
      </c>
      <c r="G1028" s="191">
        <v>14</v>
      </c>
      <c r="H1028" s="192">
        <v>0</v>
      </c>
      <c r="I1028" s="192">
        <v>271.08</v>
      </c>
      <c r="J1028" s="192">
        <f>SUM(H1028:I1028)</f>
        <v>271.08</v>
      </c>
    </row>
    <row r="1029" spans="1:10" outlineLevel="2">
      <c r="A1029" s="191" t="s">
        <v>2900</v>
      </c>
      <c r="B1029" s="191" t="s">
        <v>141</v>
      </c>
      <c r="C1029" s="191" t="s">
        <v>536</v>
      </c>
      <c r="D1029" s="191" t="s">
        <v>2115</v>
      </c>
      <c r="E1029" s="191" t="s">
        <v>2665</v>
      </c>
      <c r="F1029" s="191" t="s">
        <v>1490</v>
      </c>
      <c r="G1029" s="191" t="s">
        <v>2760</v>
      </c>
      <c r="H1029" s="192">
        <v>0</v>
      </c>
      <c r="I1029" s="192">
        <v>0</v>
      </c>
      <c r="J1029" s="192">
        <f>SUM(H1029:I1029)</f>
        <v>0</v>
      </c>
    </row>
    <row r="1030" spans="1:10" outlineLevel="2">
      <c r="A1030" s="191" t="s">
        <v>2901</v>
      </c>
      <c r="B1030" s="191" t="s">
        <v>538</v>
      </c>
      <c r="C1030" s="191" t="s">
        <v>536</v>
      </c>
      <c r="D1030" s="191" t="s">
        <v>2129</v>
      </c>
      <c r="E1030" s="191" t="s">
        <v>2711</v>
      </c>
      <c r="F1030" s="191" t="s">
        <v>2589</v>
      </c>
      <c r="G1030" s="191">
        <v>14</v>
      </c>
      <c r="H1030" s="192">
        <v>0</v>
      </c>
      <c r="I1030" s="192">
        <v>301.27999999999997</v>
      </c>
      <c r="J1030" s="192">
        <f>SUM(H1030:I1030)</f>
        <v>301.27999999999997</v>
      </c>
    </row>
    <row r="1031" spans="1:10" outlineLevel="2">
      <c r="A1031" s="191" t="s">
        <v>547</v>
      </c>
      <c r="B1031" s="191" t="s">
        <v>112</v>
      </c>
      <c r="C1031" s="191" t="s">
        <v>536</v>
      </c>
      <c r="D1031" s="191" t="s">
        <v>2115</v>
      </c>
      <c r="E1031" s="191" t="s">
        <v>2665</v>
      </c>
      <c r="F1031" s="191" t="s">
        <v>1490</v>
      </c>
      <c r="G1031" s="191">
        <v>28</v>
      </c>
      <c r="H1031" s="192">
        <v>0</v>
      </c>
      <c r="I1031" s="192">
        <v>235.88</v>
      </c>
      <c r="J1031" s="192">
        <f>SUM(H1031:I1031)</f>
        <v>235.88</v>
      </c>
    </row>
    <row r="1032" spans="1:10" outlineLevel="2">
      <c r="A1032" s="191" t="s">
        <v>548</v>
      </c>
      <c r="B1032" s="191" t="s">
        <v>538</v>
      </c>
      <c r="C1032" s="191" t="s">
        <v>536</v>
      </c>
      <c r="D1032" s="191" t="s">
        <v>2130</v>
      </c>
      <c r="E1032" s="191" t="s">
        <v>2635</v>
      </c>
      <c r="F1032" s="191" t="s">
        <v>2598</v>
      </c>
      <c r="G1032" s="191">
        <v>35</v>
      </c>
      <c r="H1032" s="192">
        <v>0</v>
      </c>
      <c r="I1032" s="192">
        <v>694.85</v>
      </c>
      <c r="J1032" s="192">
        <f>SUM(H1032:I1032)</f>
        <v>694.85</v>
      </c>
    </row>
    <row r="1033" spans="1:10" outlineLevel="2">
      <c r="A1033" s="191" t="s">
        <v>548</v>
      </c>
      <c r="B1033" s="191" t="s">
        <v>538</v>
      </c>
      <c r="C1033" s="191" t="s">
        <v>536</v>
      </c>
      <c r="D1033" s="191" t="s">
        <v>2131</v>
      </c>
      <c r="E1033" s="191" t="s">
        <v>2614</v>
      </c>
      <c r="F1033" s="191" t="s">
        <v>2614</v>
      </c>
      <c r="G1033" s="191" t="s">
        <v>2760</v>
      </c>
      <c r="H1033" s="192">
        <v>0</v>
      </c>
      <c r="I1033" s="192">
        <v>0</v>
      </c>
      <c r="J1033" s="192">
        <f>SUM(H1033:I1033)</f>
        <v>0</v>
      </c>
    </row>
    <row r="1034" spans="1:10" outlineLevel="2">
      <c r="A1034" s="191" t="s">
        <v>549</v>
      </c>
      <c r="B1034" s="191" t="s">
        <v>112</v>
      </c>
      <c r="C1034" s="191" t="s">
        <v>536</v>
      </c>
      <c r="D1034" s="191" t="s">
        <v>2132</v>
      </c>
      <c r="E1034" s="191" t="s">
        <v>2587</v>
      </c>
      <c r="F1034" s="191" t="s">
        <v>2587</v>
      </c>
      <c r="G1034" s="191">
        <v>7</v>
      </c>
      <c r="H1034" s="192">
        <v>0</v>
      </c>
      <c r="I1034" s="192">
        <v>58.69</v>
      </c>
      <c r="J1034" s="192">
        <f>SUM(H1034:I1034)</f>
        <v>58.69</v>
      </c>
    </row>
    <row r="1035" spans="1:10" outlineLevel="2">
      <c r="A1035" s="191" t="s">
        <v>549</v>
      </c>
      <c r="B1035" s="191" t="s">
        <v>112</v>
      </c>
      <c r="C1035" s="191" t="s">
        <v>536</v>
      </c>
      <c r="D1035" s="191" t="s">
        <v>2133</v>
      </c>
      <c r="E1035" s="191" t="s">
        <v>2715</v>
      </c>
      <c r="F1035" s="191" t="s">
        <v>2715</v>
      </c>
      <c r="G1035" s="191">
        <v>7</v>
      </c>
      <c r="H1035" s="192">
        <v>0</v>
      </c>
      <c r="I1035" s="192">
        <v>58.69</v>
      </c>
      <c r="J1035" s="192">
        <f>SUM(H1035:I1035)</f>
        <v>58.69</v>
      </c>
    </row>
    <row r="1036" spans="1:10" outlineLevel="2">
      <c r="A1036" s="191" t="s">
        <v>549</v>
      </c>
      <c r="B1036" s="191" t="s">
        <v>116</v>
      </c>
      <c r="C1036" s="191" t="s">
        <v>536</v>
      </c>
      <c r="D1036" s="191" t="s">
        <v>2127</v>
      </c>
      <c r="E1036" s="191" t="s">
        <v>2665</v>
      </c>
      <c r="F1036" s="191" t="s">
        <v>1490</v>
      </c>
      <c r="G1036" s="191" t="s">
        <v>2760</v>
      </c>
      <c r="H1036" s="192">
        <v>0</v>
      </c>
      <c r="I1036" s="192">
        <v>0</v>
      </c>
      <c r="J1036" s="192">
        <f>SUM(H1036:I1036)</f>
        <v>0</v>
      </c>
    </row>
    <row r="1037" spans="1:10" outlineLevel="2">
      <c r="A1037" s="191" t="s">
        <v>550</v>
      </c>
      <c r="B1037" s="191" t="s">
        <v>538</v>
      </c>
      <c r="C1037" s="191" t="s">
        <v>536</v>
      </c>
      <c r="D1037" s="191" t="s">
        <v>2134</v>
      </c>
      <c r="E1037" s="191" t="s">
        <v>2653</v>
      </c>
      <c r="F1037" s="191" t="s">
        <v>2646</v>
      </c>
      <c r="G1037" s="191">
        <v>21</v>
      </c>
      <c r="H1037" s="192">
        <v>0</v>
      </c>
      <c r="I1037" s="192">
        <v>439.5</v>
      </c>
      <c r="J1037" s="192">
        <f>SUM(H1037:I1037)</f>
        <v>439.5</v>
      </c>
    </row>
    <row r="1038" spans="1:10" outlineLevel="2">
      <c r="A1038" s="191" t="s">
        <v>550</v>
      </c>
      <c r="B1038" s="191" t="s">
        <v>538</v>
      </c>
      <c r="C1038" s="191" t="s">
        <v>536</v>
      </c>
      <c r="D1038" s="191" t="s">
        <v>2135</v>
      </c>
      <c r="E1038" s="191" t="s">
        <v>2665</v>
      </c>
      <c r="F1038" s="191" t="s">
        <v>1490</v>
      </c>
      <c r="G1038" s="191">
        <v>28</v>
      </c>
      <c r="H1038" s="192">
        <v>0</v>
      </c>
      <c r="I1038" s="192">
        <v>605.52</v>
      </c>
      <c r="J1038" s="192">
        <f>SUM(H1038:I1038)</f>
        <v>605.52</v>
      </c>
    </row>
    <row r="1039" spans="1:10" outlineLevel="2">
      <c r="A1039" s="191" t="s">
        <v>551</v>
      </c>
      <c r="B1039" s="191" t="s">
        <v>147</v>
      </c>
      <c r="C1039" s="191" t="s">
        <v>536</v>
      </c>
      <c r="D1039" s="191" t="s">
        <v>2136</v>
      </c>
      <c r="E1039" s="191" t="s">
        <v>2706</v>
      </c>
      <c r="F1039" s="191" t="s">
        <v>2663</v>
      </c>
      <c r="G1039" s="191">
        <v>21</v>
      </c>
      <c r="H1039" s="192">
        <v>0</v>
      </c>
      <c r="I1039" s="192">
        <v>211.14</v>
      </c>
      <c r="J1039" s="192">
        <f>SUM(H1039:I1039)</f>
        <v>211.14</v>
      </c>
    </row>
    <row r="1040" spans="1:10" outlineLevel="2">
      <c r="A1040" s="191" t="s">
        <v>551</v>
      </c>
      <c r="B1040" s="191" t="s">
        <v>147</v>
      </c>
      <c r="C1040" s="191" t="s">
        <v>536</v>
      </c>
      <c r="D1040" s="191" t="s">
        <v>2115</v>
      </c>
      <c r="E1040" s="191" t="s">
        <v>2665</v>
      </c>
      <c r="F1040" s="191" t="s">
        <v>1490</v>
      </c>
      <c r="G1040" s="191">
        <v>28</v>
      </c>
      <c r="H1040" s="192">
        <v>0</v>
      </c>
      <c r="I1040" s="192">
        <v>211.08</v>
      </c>
      <c r="J1040" s="192">
        <f>SUM(H1040:I1040)</f>
        <v>211.08</v>
      </c>
    </row>
    <row r="1041" spans="1:10" outlineLevel="2">
      <c r="A1041" s="191" t="s">
        <v>552</v>
      </c>
      <c r="B1041" s="191" t="s">
        <v>538</v>
      </c>
      <c r="C1041" s="191" t="s">
        <v>536</v>
      </c>
      <c r="D1041" s="191" t="s">
        <v>1531</v>
      </c>
      <c r="E1041" s="191" t="s">
        <v>2618</v>
      </c>
      <c r="F1041" s="191" t="s">
        <v>2618</v>
      </c>
      <c r="G1041" s="191">
        <v>7</v>
      </c>
      <c r="H1041" s="192">
        <v>0</v>
      </c>
      <c r="I1041" s="192">
        <v>160.44</v>
      </c>
      <c r="J1041" s="192">
        <f>SUM(H1041:I1041)</f>
        <v>160.44</v>
      </c>
    </row>
    <row r="1042" spans="1:10" outlineLevel="2">
      <c r="A1042" s="191" t="s">
        <v>552</v>
      </c>
      <c r="B1042" s="191" t="s">
        <v>538</v>
      </c>
      <c r="C1042" s="191" t="s">
        <v>536</v>
      </c>
      <c r="D1042" s="191" t="s">
        <v>2137</v>
      </c>
      <c r="E1042" s="191" t="s">
        <v>1486</v>
      </c>
      <c r="F1042" s="191" t="s">
        <v>1486</v>
      </c>
      <c r="G1042" s="191">
        <v>7</v>
      </c>
      <c r="H1042" s="192">
        <v>0</v>
      </c>
      <c r="I1042" s="192">
        <v>160.44</v>
      </c>
      <c r="J1042" s="192">
        <f>SUM(H1042:I1042)</f>
        <v>160.44</v>
      </c>
    </row>
    <row r="1043" spans="1:10" outlineLevel="2">
      <c r="A1043" s="191" t="s">
        <v>2902</v>
      </c>
      <c r="B1043" s="191" t="s">
        <v>538</v>
      </c>
      <c r="C1043" s="191" t="s">
        <v>536</v>
      </c>
      <c r="D1043" s="191" t="s">
        <v>2118</v>
      </c>
      <c r="E1043" s="191" t="s">
        <v>2706</v>
      </c>
      <c r="F1043" s="191" t="s">
        <v>2663</v>
      </c>
      <c r="G1043" s="191">
        <v>21</v>
      </c>
      <c r="H1043" s="192">
        <v>0</v>
      </c>
      <c r="I1043" s="192">
        <v>525.48</v>
      </c>
      <c r="J1043" s="192">
        <f>SUM(H1043:I1043)</f>
        <v>525.48</v>
      </c>
    </row>
    <row r="1044" spans="1:10" outlineLevel="2">
      <c r="A1044" s="191" t="s">
        <v>553</v>
      </c>
      <c r="B1044" s="191" t="s">
        <v>538</v>
      </c>
      <c r="C1044" s="191" t="s">
        <v>536</v>
      </c>
      <c r="D1044" s="191" t="s">
        <v>2138</v>
      </c>
      <c r="E1044" s="191" t="s">
        <v>1481</v>
      </c>
      <c r="F1044" s="191" t="s">
        <v>1481</v>
      </c>
      <c r="G1044" s="191">
        <v>7</v>
      </c>
      <c r="H1044" s="192">
        <v>0</v>
      </c>
      <c r="I1044" s="192">
        <v>171.94</v>
      </c>
      <c r="J1044" s="192">
        <f>SUM(H1044:I1044)</f>
        <v>171.94</v>
      </c>
    </row>
    <row r="1045" spans="1:10" outlineLevel="2">
      <c r="A1045" s="191" t="s">
        <v>553</v>
      </c>
      <c r="B1045" s="191" t="s">
        <v>538</v>
      </c>
      <c r="C1045" s="191" t="s">
        <v>536</v>
      </c>
      <c r="D1045" s="191" t="s">
        <v>2129</v>
      </c>
      <c r="E1045" s="191" t="s">
        <v>2711</v>
      </c>
      <c r="F1045" s="191" t="s">
        <v>2589</v>
      </c>
      <c r="G1045" s="191">
        <v>14</v>
      </c>
      <c r="H1045" s="192">
        <v>0</v>
      </c>
      <c r="I1045" s="192">
        <v>343.88</v>
      </c>
      <c r="J1045" s="192">
        <f>SUM(H1045:I1045)</f>
        <v>343.88</v>
      </c>
    </row>
    <row r="1046" spans="1:10" outlineLevel="2">
      <c r="A1046" s="191" t="s">
        <v>2903</v>
      </c>
      <c r="B1046" s="191" t="s">
        <v>538</v>
      </c>
      <c r="C1046" s="191" t="s">
        <v>536</v>
      </c>
      <c r="D1046" s="191" t="s">
        <v>2139</v>
      </c>
      <c r="E1046" s="191" t="s">
        <v>1492</v>
      </c>
      <c r="F1046" s="191" t="s">
        <v>2590</v>
      </c>
      <c r="G1046" s="191">
        <v>21</v>
      </c>
      <c r="H1046" s="192">
        <v>0</v>
      </c>
      <c r="I1046" s="192">
        <v>401.49</v>
      </c>
      <c r="J1046" s="192">
        <f>SUM(H1046:I1046)</f>
        <v>401.49</v>
      </c>
    </row>
    <row r="1047" spans="1:10" outlineLevel="2">
      <c r="A1047" s="191" t="s">
        <v>554</v>
      </c>
      <c r="B1047" s="191" t="s">
        <v>538</v>
      </c>
      <c r="C1047" s="191" t="s">
        <v>536</v>
      </c>
      <c r="D1047" s="191" t="s">
        <v>2140</v>
      </c>
      <c r="E1047" s="191" t="s">
        <v>2639</v>
      </c>
      <c r="F1047" s="191" t="s">
        <v>2608</v>
      </c>
      <c r="G1047" s="191">
        <v>14</v>
      </c>
      <c r="H1047" s="192">
        <v>0</v>
      </c>
      <c r="I1047" s="192">
        <v>427.38</v>
      </c>
      <c r="J1047" s="192">
        <f>SUM(H1047:I1047)</f>
        <v>427.38</v>
      </c>
    </row>
    <row r="1048" spans="1:10" outlineLevel="2">
      <c r="A1048" s="191" t="s">
        <v>554</v>
      </c>
      <c r="B1048" s="191" t="s">
        <v>538</v>
      </c>
      <c r="C1048" s="191" t="s">
        <v>536</v>
      </c>
      <c r="D1048" s="191" t="s">
        <v>2141</v>
      </c>
      <c r="E1048" s="191" t="s">
        <v>2741</v>
      </c>
      <c r="F1048" s="191" t="s">
        <v>2705</v>
      </c>
      <c r="G1048" s="191">
        <v>14</v>
      </c>
      <c r="H1048" s="192">
        <v>0</v>
      </c>
      <c r="I1048" s="192">
        <v>558.34</v>
      </c>
      <c r="J1048" s="192">
        <f>SUM(H1048:I1048)</f>
        <v>558.34</v>
      </c>
    </row>
    <row r="1049" spans="1:10" outlineLevel="2">
      <c r="A1049" s="191" t="s">
        <v>554</v>
      </c>
      <c r="B1049" s="191" t="s">
        <v>538</v>
      </c>
      <c r="C1049" s="191" t="s">
        <v>536</v>
      </c>
      <c r="D1049" s="191" t="s">
        <v>2127</v>
      </c>
      <c r="E1049" s="191" t="s">
        <v>2665</v>
      </c>
      <c r="F1049" s="191" t="s">
        <v>1490</v>
      </c>
      <c r="G1049" s="191">
        <v>28</v>
      </c>
      <c r="H1049" s="192">
        <v>0</v>
      </c>
      <c r="I1049" s="192">
        <v>858.96</v>
      </c>
      <c r="J1049" s="192">
        <f>SUM(H1049:I1049)</f>
        <v>858.96</v>
      </c>
    </row>
    <row r="1050" spans="1:10" outlineLevel="2">
      <c r="A1050" s="191" t="s">
        <v>2904</v>
      </c>
      <c r="B1050" s="191" t="s">
        <v>538</v>
      </c>
      <c r="C1050" s="191" t="s">
        <v>536</v>
      </c>
      <c r="D1050" s="191" t="s">
        <v>2121</v>
      </c>
      <c r="E1050" s="191" t="s">
        <v>2665</v>
      </c>
      <c r="F1050" s="191" t="s">
        <v>1489</v>
      </c>
      <c r="G1050" s="191">
        <v>21</v>
      </c>
      <c r="H1050" s="192">
        <v>0</v>
      </c>
      <c r="I1050" s="192">
        <v>401.49</v>
      </c>
      <c r="J1050" s="192">
        <f>SUM(H1050:I1050)</f>
        <v>401.49</v>
      </c>
    </row>
    <row r="1051" spans="1:10" outlineLevel="1">
      <c r="A1051" s="193" t="s">
        <v>3023</v>
      </c>
      <c r="B1051" s="194"/>
      <c r="C1051" s="194"/>
      <c r="D1051" s="194"/>
      <c r="E1051" s="194"/>
      <c r="F1051" s="194"/>
      <c r="G1051" s="194">
        <f>SUBTOTAL(9,G999:G1050)</f>
        <v>791</v>
      </c>
      <c r="H1051" s="195">
        <f>SUBTOTAL(9,H999:H1050)</f>
        <v>0</v>
      </c>
      <c r="I1051" s="195">
        <f>SUBTOTAL(9,I999:I1050)</f>
        <v>15098.810000000003</v>
      </c>
      <c r="J1051" s="195">
        <f>SUBTOTAL(9,J999:J1050)</f>
        <v>15098.810000000003</v>
      </c>
    </row>
    <row r="1052" spans="1:10" outlineLevel="2">
      <c r="A1052" s="191" t="s">
        <v>555</v>
      </c>
      <c r="B1052" s="191" t="s">
        <v>557</v>
      </c>
      <c r="C1052" s="191" t="s">
        <v>556</v>
      </c>
      <c r="D1052" s="191" t="s">
        <v>2142</v>
      </c>
      <c r="E1052" s="191" t="s">
        <v>2702</v>
      </c>
      <c r="F1052" s="191" t="s">
        <v>2640</v>
      </c>
      <c r="G1052" s="191">
        <v>21</v>
      </c>
      <c r="H1052" s="192">
        <v>0</v>
      </c>
      <c r="I1052" s="192">
        <v>451.32</v>
      </c>
      <c r="J1052" s="192">
        <f>SUM(H1052:I1052)</f>
        <v>451.32</v>
      </c>
    </row>
    <row r="1053" spans="1:10" outlineLevel="2">
      <c r="A1053" s="191" t="s">
        <v>558</v>
      </c>
      <c r="B1053" s="191" t="s">
        <v>112</v>
      </c>
      <c r="C1053" s="191" t="s">
        <v>556</v>
      </c>
      <c r="D1053" s="191" t="s">
        <v>2143</v>
      </c>
      <c r="E1053" s="191" t="s">
        <v>2675</v>
      </c>
      <c r="F1053" s="191" t="s">
        <v>1504</v>
      </c>
      <c r="G1053" s="191">
        <v>14</v>
      </c>
      <c r="H1053" s="192">
        <v>0</v>
      </c>
      <c r="I1053" s="192">
        <v>117.38</v>
      </c>
      <c r="J1053" s="192">
        <f>SUM(H1053:I1053)</f>
        <v>117.38</v>
      </c>
    </row>
    <row r="1054" spans="1:10" outlineLevel="2">
      <c r="A1054" s="191" t="s">
        <v>558</v>
      </c>
      <c r="B1054" s="191" t="s">
        <v>112</v>
      </c>
      <c r="C1054" s="191" t="s">
        <v>556</v>
      </c>
      <c r="D1054" s="191" t="s">
        <v>2144</v>
      </c>
      <c r="E1054" s="191" t="s">
        <v>2653</v>
      </c>
      <c r="F1054" s="191" t="s">
        <v>2646</v>
      </c>
      <c r="G1054" s="191">
        <v>21</v>
      </c>
      <c r="H1054" s="192">
        <v>0</v>
      </c>
      <c r="I1054" s="192">
        <v>171.21</v>
      </c>
      <c r="J1054" s="192">
        <f>SUM(H1054:I1054)</f>
        <v>171.21</v>
      </c>
    </row>
    <row r="1055" spans="1:10" outlineLevel="2">
      <c r="A1055" s="191" t="s">
        <v>559</v>
      </c>
      <c r="B1055" s="191" t="s">
        <v>557</v>
      </c>
      <c r="C1055" s="191" t="s">
        <v>556</v>
      </c>
      <c r="D1055" s="191" t="s">
        <v>2145</v>
      </c>
      <c r="E1055" s="191" t="s">
        <v>2599</v>
      </c>
      <c r="F1055" s="191" t="s">
        <v>2600</v>
      </c>
      <c r="G1055" s="191">
        <v>14</v>
      </c>
      <c r="H1055" s="192">
        <v>0</v>
      </c>
      <c r="I1055" s="192">
        <v>333.66</v>
      </c>
      <c r="J1055" s="192">
        <f>SUM(H1055:I1055)</f>
        <v>333.66</v>
      </c>
    </row>
    <row r="1056" spans="1:10" outlineLevel="2">
      <c r="A1056" s="191" t="s">
        <v>559</v>
      </c>
      <c r="B1056" s="191" t="s">
        <v>557</v>
      </c>
      <c r="C1056" s="191" t="s">
        <v>556</v>
      </c>
      <c r="D1056" s="191" t="s">
        <v>2146</v>
      </c>
      <c r="E1056" s="191" t="s">
        <v>2627</v>
      </c>
      <c r="F1056" s="191" t="s">
        <v>1482</v>
      </c>
      <c r="G1056" s="191">
        <v>21</v>
      </c>
      <c r="H1056" s="192">
        <v>0</v>
      </c>
      <c r="I1056" s="192">
        <v>500.49</v>
      </c>
      <c r="J1056" s="192">
        <f>SUM(H1056:I1056)</f>
        <v>500.49</v>
      </c>
    </row>
    <row r="1057" spans="1:10" outlineLevel="2">
      <c r="A1057" s="191" t="s">
        <v>559</v>
      </c>
      <c r="B1057" s="191" t="s">
        <v>557</v>
      </c>
      <c r="C1057" s="191" t="s">
        <v>556</v>
      </c>
      <c r="D1057" s="191" t="s">
        <v>2144</v>
      </c>
      <c r="E1057" s="191" t="s">
        <v>2653</v>
      </c>
      <c r="F1057" s="191" t="s">
        <v>2646</v>
      </c>
      <c r="G1057" s="191">
        <v>21</v>
      </c>
      <c r="H1057" s="192">
        <v>0</v>
      </c>
      <c r="I1057" s="192">
        <v>491.7</v>
      </c>
      <c r="J1057" s="192">
        <f>SUM(H1057:I1057)</f>
        <v>491.7</v>
      </c>
    </row>
    <row r="1058" spans="1:10" outlineLevel="2">
      <c r="A1058" s="191" t="s">
        <v>2905</v>
      </c>
      <c r="B1058" s="191" t="s">
        <v>141</v>
      </c>
      <c r="C1058" s="191" t="s">
        <v>556</v>
      </c>
      <c r="D1058" s="191" t="s">
        <v>2147</v>
      </c>
      <c r="E1058" s="191" t="s">
        <v>2598</v>
      </c>
      <c r="F1058" s="191" t="s">
        <v>2598</v>
      </c>
      <c r="G1058" s="191">
        <v>7</v>
      </c>
      <c r="H1058" s="192">
        <v>0</v>
      </c>
      <c r="I1058" s="192">
        <v>50.97</v>
      </c>
      <c r="J1058" s="192">
        <f>SUM(H1058:I1058)</f>
        <v>50.97</v>
      </c>
    </row>
    <row r="1059" spans="1:10" outlineLevel="2">
      <c r="A1059" s="191" t="s">
        <v>2905</v>
      </c>
      <c r="B1059" s="191" t="s">
        <v>141</v>
      </c>
      <c r="C1059" s="191" t="s">
        <v>556</v>
      </c>
      <c r="D1059" s="191" t="s">
        <v>2144</v>
      </c>
      <c r="E1059" s="191" t="s">
        <v>2653</v>
      </c>
      <c r="F1059" s="191" t="s">
        <v>2646</v>
      </c>
      <c r="G1059" s="191">
        <v>21</v>
      </c>
      <c r="H1059" s="192">
        <v>0</v>
      </c>
      <c r="I1059" s="192">
        <v>152.91</v>
      </c>
      <c r="J1059" s="192">
        <f>SUM(H1059:I1059)</f>
        <v>152.91</v>
      </c>
    </row>
    <row r="1060" spans="1:10" outlineLevel="2">
      <c r="A1060" s="191" t="s">
        <v>560</v>
      </c>
      <c r="B1060" s="191" t="s">
        <v>557</v>
      </c>
      <c r="C1060" s="191" t="s">
        <v>556</v>
      </c>
      <c r="D1060" s="191" t="s">
        <v>2144</v>
      </c>
      <c r="E1060" s="191" t="s">
        <v>2653</v>
      </c>
      <c r="F1060" s="191" t="s">
        <v>2646</v>
      </c>
      <c r="G1060" s="191">
        <v>21</v>
      </c>
      <c r="H1060" s="192">
        <v>0</v>
      </c>
      <c r="I1060" s="192">
        <v>472.53</v>
      </c>
      <c r="J1060" s="192">
        <f>SUM(H1060:I1060)</f>
        <v>472.53</v>
      </c>
    </row>
    <row r="1061" spans="1:10" outlineLevel="2">
      <c r="A1061" s="191" t="s">
        <v>561</v>
      </c>
      <c r="B1061" s="191" t="s">
        <v>557</v>
      </c>
      <c r="C1061" s="191" t="s">
        <v>556</v>
      </c>
      <c r="D1061" s="191" t="s">
        <v>2148</v>
      </c>
      <c r="E1061" s="191" t="s">
        <v>2653</v>
      </c>
      <c r="F1061" s="191" t="s">
        <v>2646</v>
      </c>
      <c r="G1061" s="191">
        <v>21</v>
      </c>
      <c r="H1061" s="192">
        <v>0</v>
      </c>
      <c r="I1061" s="192">
        <v>468.06</v>
      </c>
      <c r="J1061" s="192">
        <f>SUM(H1061:I1061)</f>
        <v>468.06</v>
      </c>
    </row>
    <row r="1062" spans="1:10" outlineLevel="2">
      <c r="A1062" s="191" t="s">
        <v>562</v>
      </c>
      <c r="B1062" s="191" t="s">
        <v>141</v>
      </c>
      <c r="C1062" s="191" t="s">
        <v>556</v>
      </c>
      <c r="D1062" s="191" t="s">
        <v>2149</v>
      </c>
      <c r="E1062" s="191" t="s">
        <v>2613</v>
      </c>
      <c r="F1062" s="191" t="s">
        <v>2614</v>
      </c>
      <c r="G1062" s="191">
        <v>21</v>
      </c>
      <c r="H1062" s="192">
        <v>0</v>
      </c>
      <c r="I1062" s="192">
        <v>152.16</v>
      </c>
      <c r="J1062" s="192">
        <f>SUM(H1062:I1062)</f>
        <v>152.16</v>
      </c>
    </row>
    <row r="1063" spans="1:10" outlineLevel="2">
      <c r="A1063" s="191" t="s">
        <v>562</v>
      </c>
      <c r="B1063" s="191" t="s">
        <v>141</v>
      </c>
      <c r="C1063" s="191" t="s">
        <v>556</v>
      </c>
      <c r="D1063" s="191" t="s">
        <v>2150</v>
      </c>
      <c r="E1063" s="191" t="s">
        <v>2627</v>
      </c>
      <c r="F1063" s="191" t="s">
        <v>1482</v>
      </c>
      <c r="G1063" s="191">
        <v>21</v>
      </c>
      <c r="H1063" s="192">
        <v>100</v>
      </c>
      <c r="I1063" s="192">
        <v>152.16</v>
      </c>
      <c r="J1063" s="192">
        <f>SUM(H1063:I1063)</f>
        <v>252.16</v>
      </c>
    </row>
    <row r="1064" spans="1:10" outlineLevel="2">
      <c r="A1064" s="191" t="s">
        <v>562</v>
      </c>
      <c r="B1064" s="191" t="s">
        <v>147</v>
      </c>
      <c r="C1064" s="191" t="s">
        <v>556</v>
      </c>
      <c r="D1064" s="191" t="s">
        <v>2144</v>
      </c>
      <c r="E1064" s="191" t="s">
        <v>2653</v>
      </c>
      <c r="F1064" s="191" t="s">
        <v>2646</v>
      </c>
      <c r="G1064" s="191">
        <v>21</v>
      </c>
      <c r="H1064" s="192">
        <v>0</v>
      </c>
      <c r="I1064" s="192">
        <v>158.31</v>
      </c>
      <c r="J1064" s="192">
        <f>SUM(H1064:I1064)</f>
        <v>158.31</v>
      </c>
    </row>
    <row r="1065" spans="1:10" outlineLevel="2">
      <c r="A1065" s="191" t="s">
        <v>563</v>
      </c>
      <c r="B1065" s="191" t="s">
        <v>557</v>
      </c>
      <c r="C1065" s="191" t="s">
        <v>556</v>
      </c>
      <c r="D1065" s="191" t="s">
        <v>2151</v>
      </c>
      <c r="E1065" s="191" t="s">
        <v>1490</v>
      </c>
      <c r="F1065" s="191" t="s">
        <v>1490</v>
      </c>
      <c r="G1065" s="191">
        <v>7</v>
      </c>
      <c r="H1065" s="192">
        <v>0</v>
      </c>
      <c r="I1065" s="192">
        <v>170.15</v>
      </c>
      <c r="J1065" s="192">
        <f>SUM(H1065:I1065)</f>
        <v>170.15</v>
      </c>
    </row>
    <row r="1066" spans="1:10" outlineLevel="2">
      <c r="A1066" s="191" t="s">
        <v>563</v>
      </c>
      <c r="B1066" s="191" t="s">
        <v>557</v>
      </c>
      <c r="C1066" s="191" t="s">
        <v>556</v>
      </c>
      <c r="D1066" s="191" t="s">
        <v>2144</v>
      </c>
      <c r="E1066" s="191" t="s">
        <v>2653</v>
      </c>
      <c r="F1066" s="191" t="s">
        <v>2646</v>
      </c>
      <c r="G1066" s="191">
        <v>21</v>
      </c>
      <c r="H1066" s="192">
        <v>0</v>
      </c>
      <c r="I1066" s="192">
        <v>478.56</v>
      </c>
      <c r="J1066" s="192">
        <f>SUM(H1066:I1066)</f>
        <v>478.56</v>
      </c>
    </row>
    <row r="1067" spans="1:10" outlineLevel="2">
      <c r="A1067" s="191" t="s">
        <v>563</v>
      </c>
      <c r="B1067" s="191" t="s">
        <v>557</v>
      </c>
      <c r="C1067" s="191" t="s">
        <v>556</v>
      </c>
      <c r="D1067" s="191" t="s">
        <v>2152</v>
      </c>
      <c r="E1067" s="191" t="s">
        <v>1477</v>
      </c>
      <c r="F1067" s="191" t="s">
        <v>2588</v>
      </c>
      <c r="G1067" s="191">
        <v>35</v>
      </c>
      <c r="H1067" s="192">
        <v>0</v>
      </c>
      <c r="I1067" s="192">
        <v>846.6</v>
      </c>
      <c r="J1067" s="192">
        <f>SUM(H1067:I1067)</f>
        <v>846.6</v>
      </c>
    </row>
    <row r="1068" spans="1:10" outlineLevel="2">
      <c r="A1068" s="191" t="s">
        <v>564</v>
      </c>
      <c r="B1068" s="191" t="s">
        <v>557</v>
      </c>
      <c r="C1068" s="191" t="s">
        <v>556</v>
      </c>
      <c r="D1068" s="191" t="s">
        <v>2153</v>
      </c>
      <c r="E1068" s="191" t="s">
        <v>2732</v>
      </c>
      <c r="F1068" s="191" t="s">
        <v>2664</v>
      </c>
      <c r="G1068" s="191">
        <v>14</v>
      </c>
      <c r="H1068" s="192">
        <v>0</v>
      </c>
      <c r="I1068" s="192">
        <v>301.27999999999997</v>
      </c>
      <c r="J1068" s="192">
        <f>SUM(H1068:I1068)</f>
        <v>301.27999999999997</v>
      </c>
    </row>
    <row r="1069" spans="1:10" outlineLevel="2">
      <c r="A1069" s="191" t="s">
        <v>564</v>
      </c>
      <c r="B1069" s="191" t="s">
        <v>557</v>
      </c>
      <c r="C1069" s="191" t="s">
        <v>556</v>
      </c>
      <c r="D1069" s="191" t="s">
        <v>2154</v>
      </c>
      <c r="E1069" s="191" t="s">
        <v>2683</v>
      </c>
      <c r="F1069" s="191" t="s">
        <v>2612</v>
      </c>
      <c r="G1069" s="191">
        <v>21</v>
      </c>
      <c r="H1069" s="192">
        <v>0</v>
      </c>
      <c r="I1069" s="192">
        <v>451.92</v>
      </c>
      <c r="J1069" s="192">
        <f>SUM(H1069:I1069)</f>
        <v>451.92</v>
      </c>
    </row>
    <row r="1070" spans="1:10" outlineLevel="2">
      <c r="A1070" s="191" t="s">
        <v>565</v>
      </c>
      <c r="B1070" s="191" t="s">
        <v>557</v>
      </c>
      <c r="C1070" s="191" t="s">
        <v>556</v>
      </c>
      <c r="D1070" s="191" t="s">
        <v>2145</v>
      </c>
      <c r="E1070" s="191" t="s">
        <v>2647</v>
      </c>
      <c r="F1070" s="191" t="s">
        <v>2600</v>
      </c>
      <c r="G1070" s="191">
        <v>21</v>
      </c>
      <c r="H1070" s="192">
        <v>0</v>
      </c>
      <c r="I1070" s="192">
        <v>409.77</v>
      </c>
      <c r="J1070" s="192">
        <f>SUM(H1070:I1070)</f>
        <v>409.77</v>
      </c>
    </row>
    <row r="1071" spans="1:10" outlineLevel="2">
      <c r="A1071" s="191" t="s">
        <v>566</v>
      </c>
      <c r="B1071" s="191" t="s">
        <v>557</v>
      </c>
      <c r="C1071" s="191" t="s">
        <v>556</v>
      </c>
      <c r="D1071" s="191" t="s">
        <v>2155</v>
      </c>
      <c r="E1071" s="191" t="s">
        <v>1481</v>
      </c>
      <c r="F1071" s="191" t="s">
        <v>1481</v>
      </c>
      <c r="G1071" s="191">
        <v>7</v>
      </c>
      <c r="H1071" s="192">
        <v>0</v>
      </c>
      <c r="I1071" s="192">
        <v>148.94</v>
      </c>
      <c r="J1071" s="192">
        <f>SUM(H1071:I1071)</f>
        <v>148.94</v>
      </c>
    </row>
    <row r="1072" spans="1:10" outlineLevel="2">
      <c r="A1072" s="191" t="s">
        <v>566</v>
      </c>
      <c r="B1072" s="191" t="s">
        <v>557</v>
      </c>
      <c r="C1072" s="191" t="s">
        <v>556</v>
      </c>
      <c r="D1072" s="191" t="s">
        <v>2156</v>
      </c>
      <c r="E1072" s="191" t="s">
        <v>2588</v>
      </c>
      <c r="F1072" s="191" t="s">
        <v>2588</v>
      </c>
      <c r="G1072" s="191">
        <v>7</v>
      </c>
      <c r="H1072" s="192">
        <v>0</v>
      </c>
      <c r="I1072" s="192">
        <v>148.94</v>
      </c>
      <c r="J1072" s="192">
        <f>SUM(H1072:I1072)</f>
        <v>148.94</v>
      </c>
    </row>
    <row r="1073" spans="1:10" outlineLevel="2">
      <c r="A1073" s="191" t="s">
        <v>566</v>
      </c>
      <c r="B1073" s="191" t="s">
        <v>557</v>
      </c>
      <c r="C1073" s="191" t="s">
        <v>556</v>
      </c>
      <c r="D1073" s="191" t="s">
        <v>2157</v>
      </c>
      <c r="E1073" s="191" t="s">
        <v>2593</v>
      </c>
      <c r="F1073" s="191" t="s">
        <v>1487</v>
      </c>
      <c r="G1073" s="191">
        <v>14</v>
      </c>
      <c r="H1073" s="192">
        <v>0</v>
      </c>
      <c r="I1073" s="192">
        <v>297.88</v>
      </c>
      <c r="J1073" s="192">
        <f>SUM(H1073:I1073)</f>
        <v>297.88</v>
      </c>
    </row>
    <row r="1074" spans="1:10" outlineLevel="2">
      <c r="A1074" s="191" t="s">
        <v>566</v>
      </c>
      <c r="B1074" s="191" t="s">
        <v>557</v>
      </c>
      <c r="C1074" s="191" t="s">
        <v>556</v>
      </c>
      <c r="D1074" s="191" t="s">
        <v>2158</v>
      </c>
      <c r="E1074" s="191" t="s">
        <v>2743</v>
      </c>
      <c r="F1074" s="191" t="s">
        <v>2744</v>
      </c>
      <c r="G1074" s="191">
        <v>21</v>
      </c>
      <c r="H1074" s="192">
        <v>0</v>
      </c>
      <c r="I1074" s="192">
        <v>446.82</v>
      </c>
      <c r="J1074" s="192">
        <f>SUM(H1074:I1074)</f>
        <v>446.82</v>
      </c>
    </row>
    <row r="1075" spans="1:10" outlineLevel="2">
      <c r="A1075" s="191" t="s">
        <v>567</v>
      </c>
      <c r="B1075" s="191" t="s">
        <v>557</v>
      </c>
      <c r="C1075" s="191" t="s">
        <v>556</v>
      </c>
      <c r="D1075" s="191" t="s">
        <v>2144</v>
      </c>
      <c r="E1075" s="191" t="s">
        <v>2653</v>
      </c>
      <c r="F1075" s="191" t="s">
        <v>2646</v>
      </c>
      <c r="G1075" s="191" t="s">
        <v>2760</v>
      </c>
      <c r="H1075" s="192">
        <v>0</v>
      </c>
      <c r="I1075" s="192">
        <v>0</v>
      </c>
      <c r="J1075" s="192">
        <f>SUM(H1075:I1075)</f>
        <v>0</v>
      </c>
    </row>
    <row r="1076" spans="1:10" outlineLevel="2">
      <c r="A1076" s="191" t="s">
        <v>568</v>
      </c>
      <c r="B1076" s="191" t="s">
        <v>557</v>
      </c>
      <c r="C1076" s="191" t="s">
        <v>556</v>
      </c>
      <c r="D1076" s="191" t="s">
        <v>2145</v>
      </c>
      <c r="E1076" s="191" t="s">
        <v>2599</v>
      </c>
      <c r="F1076" s="191" t="s">
        <v>2600</v>
      </c>
      <c r="G1076" s="191">
        <v>14</v>
      </c>
      <c r="H1076" s="192">
        <v>0</v>
      </c>
      <c r="I1076" s="192">
        <v>297.88</v>
      </c>
      <c r="J1076" s="192">
        <f>SUM(H1076:I1076)</f>
        <v>297.88</v>
      </c>
    </row>
    <row r="1077" spans="1:10" outlineLevel="2">
      <c r="A1077" s="191" t="s">
        <v>568</v>
      </c>
      <c r="B1077" s="191" t="s">
        <v>557</v>
      </c>
      <c r="C1077" s="191" t="s">
        <v>556</v>
      </c>
      <c r="D1077" s="191" t="s">
        <v>2144</v>
      </c>
      <c r="E1077" s="191" t="s">
        <v>2653</v>
      </c>
      <c r="F1077" s="191" t="s">
        <v>2646</v>
      </c>
      <c r="G1077" s="191">
        <v>21</v>
      </c>
      <c r="H1077" s="192">
        <v>0</v>
      </c>
      <c r="I1077" s="192">
        <v>439.5</v>
      </c>
      <c r="J1077" s="192">
        <f>SUM(H1077:I1077)</f>
        <v>439.5</v>
      </c>
    </row>
    <row r="1078" spans="1:10" outlineLevel="2">
      <c r="A1078" s="191" t="s">
        <v>569</v>
      </c>
      <c r="B1078" s="191" t="s">
        <v>557</v>
      </c>
      <c r="C1078" s="191" t="s">
        <v>556</v>
      </c>
      <c r="D1078" s="191" t="s">
        <v>2159</v>
      </c>
      <c r="E1078" s="191" t="s">
        <v>2634</v>
      </c>
      <c r="F1078" s="191" t="s">
        <v>2626</v>
      </c>
      <c r="G1078" s="191">
        <v>14</v>
      </c>
      <c r="H1078" s="192">
        <v>0</v>
      </c>
      <c r="I1078" s="192">
        <v>306.18</v>
      </c>
      <c r="J1078" s="192">
        <f>SUM(H1078:I1078)</f>
        <v>306.18</v>
      </c>
    </row>
    <row r="1079" spans="1:10" outlineLevel="2">
      <c r="A1079" s="191" t="s">
        <v>569</v>
      </c>
      <c r="B1079" s="191" t="s">
        <v>557</v>
      </c>
      <c r="C1079" s="191" t="s">
        <v>556</v>
      </c>
      <c r="D1079" s="191" t="s">
        <v>2160</v>
      </c>
      <c r="E1079" s="191" t="s">
        <v>2743</v>
      </c>
      <c r="F1079" s="191" t="s">
        <v>2744</v>
      </c>
      <c r="G1079" s="191">
        <v>21</v>
      </c>
      <c r="H1079" s="192">
        <v>0</v>
      </c>
      <c r="I1079" s="192">
        <v>457.05</v>
      </c>
      <c r="J1079" s="192">
        <f>SUM(H1079:I1079)</f>
        <v>457.05</v>
      </c>
    </row>
    <row r="1080" spans="1:10" outlineLevel="2">
      <c r="A1080" s="191" t="s">
        <v>569</v>
      </c>
      <c r="B1080" s="191" t="s">
        <v>557</v>
      </c>
      <c r="C1080" s="191" t="s">
        <v>556</v>
      </c>
      <c r="D1080" s="191" t="s">
        <v>2144</v>
      </c>
      <c r="E1080" s="191" t="s">
        <v>2653</v>
      </c>
      <c r="F1080" s="191" t="s">
        <v>2646</v>
      </c>
      <c r="G1080" s="191">
        <v>21</v>
      </c>
      <c r="H1080" s="192">
        <v>0</v>
      </c>
      <c r="I1080" s="192">
        <v>444.45</v>
      </c>
      <c r="J1080" s="192">
        <f>SUM(H1080:I1080)</f>
        <v>444.45</v>
      </c>
    </row>
    <row r="1081" spans="1:10" outlineLevel="2">
      <c r="A1081" s="191" t="s">
        <v>570</v>
      </c>
      <c r="B1081" s="191" t="s">
        <v>557</v>
      </c>
      <c r="C1081" s="191" t="s">
        <v>556</v>
      </c>
      <c r="D1081" s="191" t="s">
        <v>2161</v>
      </c>
      <c r="E1081" s="191" t="s">
        <v>2588</v>
      </c>
      <c r="F1081" s="191" t="s">
        <v>2588</v>
      </c>
      <c r="G1081" s="191">
        <v>7</v>
      </c>
      <c r="H1081" s="192">
        <v>0</v>
      </c>
      <c r="I1081" s="192">
        <v>34.39</v>
      </c>
      <c r="J1081" s="192">
        <f>SUM(H1081:I1081)</f>
        <v>34.39</v>
      </c>
    </row>
    <row r="1082" spans="1:10" outlineLevel="2">
      <c r="A1082" s="191" t="s">
        <v>570</v>
      </c>
      <c r="B1082" s="191" t="s">
        <v>2906</v>
      </c>
      <c r="C1082" s="191" t="s">
        <v>556</v>
      </c>
      <c r="D1082" s="191" t="s">
        <v>2162</v>
      </c>
      <c r="E1082" s="191" t="s">
        <v>2593</v>
      </c>
      <c r="F1082" s="191" t="s">
        <v>1487</v>
      </c>
      <c r="G1082" s="191">
        <v>14</v>
      </c>
      <c r="H1082" s="192">
        <v>0</v>
      </c>
      <c r="I1082" s="192">
        <v>477.84</v>
      </c>
      <c r="J1082" s="192">
        <f>SUM(H1082:I1082)</f>
        <v>477.84</v>
      </c>
    </row>
    <row r="1083" spans="1:10" outlineLevel="2">
      <c r="A1083" s="191" t="s">
        <v>570</v>
      </c>
      <c r="B1083" s="191" t="s">
        <v>2906</v>
      </c>
      <c r="C1083" s="191" t="s">
        <v>556</v>
      </c>
      <c r="D1083" s="191" t="s">
        <v>2144</v>
      </c>
      <c r="E1083" s="191" t="s">
        <v>2653</v>
      </c>
      <c r="F1083" s="191" t="s">
        <v>2646</v>
      </c>
      <c r="G1083" s="191">
        <v>21</v>
      </c>
      <c r="H1083" s="192">
        <v>0</v>
      </c>
      <c r="I1083" s="192">
        <v>614.37</v>
      </c>
      <c r="J1083" s="192">
        <f>SUM(H1083:I1083)</f>
        <v>614.37</v>
      </c>
    </row>
    <row r="1084" spans="1:10" outlineLevel="2">
      <c r="A1084" s="191" t="s">
        <v>571</v>
      </c>
      <c r="B1084" s="191" t="s">
        <v>116</v>
      </c>
      <c r="C1084" s="191" t="s">
        <v>556</v>
      </c>
      <c r="D1084" s="191" t="s">
        <v>2163</v>
      </c>
      <c r="E1084" s="191" t="s">
        <v>2593</v>
      </c>
      <c r="F1084" s="191" t="s">
        <v>1487</v>
      </c>
      <c r="G1084" s="191">
        <v>14</v>
      </c>
      <c r="H1084" s="192">
        <v>0</v>
      </c>
      <c r="I1084" s="192">
        <v>126.22</v>
      </c>
      <c r="J1084" s="192">
        <f>SUM(H1084:I1084)</f>
        <v>126.22</v>
      </c>
    </row>
    <row r="1085" spans="1:10" outlineLevel="2">
      <c r="A1085" s="191" t="s">
        <v>571</v>
      </c>
      <c r="B1085" s="191" t="s">
        <v>116</v>
      </c>
      <c r="C1085" s="191" t="s">
        <v>556</v>
      </c>
      <c r="D1085" s="191" t="s">
        <v>2164</v>
      </c>
      <c r="E1085" s="191" t="s">
        <v>2732</v>
      </c>
      <c r="F1085" s="191" t="s">
        <v>2664</v>
      </c>
      <c r="G1085" s="191">
        <v>14</v>
      </c>
      <c r="H1085" s="192">
        <v>100</v>
      </c>
      <c r="I1085" s="192">
        <v>126.22</v>
      </c>
      <c r="J1085" s="192">
        <f>SUM(H1085:I1085)</f>
        <v>226.22</v>
      </c>
    </row>
    <row r="1086" spans="1:10" outlineLevel="2">
      <c r="A1086" s="191" t="s">
        <v>571</v>
      </c>
      <c r="B1086" s="191" t="s">
        <v>557</v>
      </c>
      <c r="C1086" s="191" t="s">
        <v>556</v>
      </c>
      <c r="D1086" s="191" t="s">
        <v>2165</v>
      </c>
      <c r="E1086" s="191" t="s">
        <v>1489</v>
      </c>
      <c r="F1086" s="191" t="s">
        <v>1490</v>
      </c>
      <c r="G1086" s="191">
        <v>14</v>
      </c>
      <c r="H1086" s="192">
        <v>0</v>
      </c>
      <c r="I1086" s="192">
        <v>267.66000000000003</v>
      </c>
      <c r="J1086" s="192">
        <f>SUM(H1086:I1086)</f>
        <v>267.66000000000003</v>
      </c>
    </row>
    <row r="1087" spans="1:10" outlineLevel="2">
      <c r="A1087" s="191" t="s">
        <v>572</v>
      </c>
      <c r="B1087" s="191" t="s">
        <v>557</v>
      </c>
      <c r="C1087" s="191" t="s">
        <v>556</v>
      </c>
      <c r="D1087" s="191" t="s">
        <v>2144</v>
      </c>
      <c r="E1087" s="191" t="s">
        <v>2653</v>
      </c>
      <c r="F1087" s="191" t="s">
        <v>2650</v>
      </c>
      <c r="G1087" s="191">
        <v>14</v>
      </c>
      <c r="H1087" s="192">
        <v>0</v>
      </c>
      <c r="I1087" s="192">
        <v>302.76</v>
      </c>
      <c r="J1087" s="192">
        <f>SUM(H1087:I1087)</f>
        <v>302.76</v>
      </c>
    </row>
    <row r="1088" spans="1:10" outlineLevel="2">
      <c r="A1088" s="191" t="s">
        <v>572</v>
      </c>
      <c r="B1088" s="191" t="s">
        <v>557</v>
      </c>
      <c r="C1088" s="191" t="s">
        <v>556</v>
      </c>
      <c r="D1088" s="191" t="s">
        <v>2166</v>
      </c>
      <c r="E1088" s="191" t="s">
        <v>2704</v>
      </c>
      <c r="F1088" s="191" t="s">
        <v>1483</v>
      </c>
      <c r="G1088" s="191">
        <v>21</v>
      </c>
      <c r="H1088" s="192">
        <v>0</v>
      </c>
      <c r="I1088" s="192">
        <v>446.82</v>
      </c>
      <c r="J1088" s="192">
        <f>SUM(H1088:I1088)</f>
        <v>446.82</v>
      </c>
    </row>
    <row r="1089" spans="1:10" outlineLevel="2">
      <c r="A1089" s="191" t="s">
        <v>572</v>
      </c>
      <c r="B1089" s="191" t="s">
        <v>557</v>
      </c>
      <c r="C1089" s="191" t="s">
        <v>556</v>
      </c>
      <c r="D1089" s="191" t="s">
        <v>2163</v>
      </c>
      <c r="E1089" s="191" t="s">
        <v>2606</v>
      </c>
      <c r="F1089" s="191" t="s">
        <v>1487</v>
      </c>
      <c r="G1089" s="191">
        <v>21</v>
      </c>
      <c r="H1089" s="192">
        <v>0</v>
      </c>
      <c r="I1089" s="192">
        <v>446.82</v>
      </c>
      <c r="J1089" s="192">
        <f>SUM(H1089:I1089)</f>
        <v>446.82</v>
      </c>
    </row>
    <row r="1090" spans="1:10" outlineLevel="1">
      <c r="A1090" s="193" t="s">
        <v>3024</v>
      </c>
      <c r="B1090" s="194"/>
      <c r="C1090" s="194"/>
      <c r="D1090" s="194"/>
      <c r="E1090" s="194"/>
      <c r="F1090" s="194"/>
      <c r="G1090" s="194">
        <f>SUBTOTAL(9,G1052:G1089)</f>
        <v>644</v>
      </c>
      <c r="H1090" s="195">
        <f>SUBTOTAL(9,H1052:H1089)</f>
        <v>200</v>
      </c>
      <c r="I1090" s="195">
        <f>SUBTOTAL(9,I1052:I1089)</f>
        <v>12161.879999999997</v>
      </c>
      <c r="J1090" s="195">
        <f>SUBTOTAL(9,J1052:J1089)</f>
        <v>12361.879999999997</v>
      </c>
    </row>
    <row r="1091" spans="1:10" outlineLevel="2">
      <c r="A1091" s="191" t="s">
        <v>574</v>
      </c>
      <c r="B1091" s="191" t="s">
        <v>348</v>
      </c>
      <c r="C1091" s="191" t="s">
        <v>573</v>
      </c>
      <c r="D1091" s="191" t="s">
        <v>1859</v>
      </c>
      <c r="E1091" s="191" t="s">
        <v>2593</v>
      </c>
      <c r="F1091" s="191" t="s">
        <v>1487</v>
      </c>
      <c r="G1091" s="191">
        <v>14</v>
      </c>
      <c r="H1091" s="192">
        <v>0</v>
      </c>
      <c r="I1091" s="192">
        <v>403.24</v>
      </c>
      <c r="J1091" s="192">
        <f>SUM(H1091:I1091)</f>
        <v>403.24</v>
      </c>
    </row>
    <row r="1092" spans="1:10" outlineLevel="1">
      <c r="A1092" s="193" t="s">
        <v>3025</v>
      </c>
      <c r="B1092" s="194"/>
      <c r="C1092" s="194"/>
      <c r="D1092" s="194"/>
      <c r="E1092" s="194"/>
      <c r="F1092" s="194"/>
      <c r="G1092" s="194">
        <f>SUBTOTAL(9,G1091:G1091)</f>
        <v>14</v>
      </c>
      <c r="H1092" s="195">
        <f>SUBTOTAL(9,H1091:H1091)</f>
        <v>0</v>
      </c>
      <c r="I1092" s="195">
        <f>SUBTOTAL(9,I1091:I1091)</f>
        <v>403.24</v>
      </c>
      <c r="J1092" s="195">
        <f>SUBTOTAL(9,J1091:J1091)</f>
        <v>403.24</v>
      </c>
    </row>
    <row r="1093" spans="1:10" outlineLevel="2">
      <c r="A1093" s="191" t="s">
        <v>2907</v>
      </c>
      <c r="B1093" s="191" t="s">
        <v>2908</v>
      </c>
      <c r="C1093" s="191" t="s">
        <v>2763</v>
      </c>
      <c r="D1093" s="191" t="s">
        <v>2167</v>
      </c>
      <c r="E1093" s="191" t="s">
        <v>2653</v>
      </c>
      <c r="F1093" s="191" t="s">
        <v>2646</v>
      </c>
      <c r="G1093" s="191">
        <v>21</v>
      </c>
      <c r="H1093" s="192">
        <v>0</v>
      </c>
      <c r="I1093" s="192">
        <v>328.53</v>
      </c>
      <c r="J1093" s="192">
        <f>SUM(H1093:I1093)</f>
        <v>328.53</v>
      </c>
    </row>
    <row r="1094" spans="1:10" outlineLevel="1">
      <c r="A1094" s="193" t="s">
        <v>3026</v>
      </c>
      <c r="B1094" s="194"/>
      <c r="C1094" s="194"/>
      <c r="D1094" s="194"/>
      <c r="E1094" s="194"/>
      <c r="F1094" s="194"/>
      <c r="G1094" s="194">
        <f>SUBTOTAL(9,G1093:G1093)</f>
        <v>21</v>
      </c>
      <c r="H1094" s="195">
        <f>SUBTOTAL(9,H1093:H1093)</f>
        <v>0</v>
      </c>
      <c r="I1094" s="195">
        <f>SUBTOTAL(9,I1093:I1093)</f>
        <v>328.53</v>
      </c>
      <c r="J1094" s="195">
        <f>SUBTOTAL(9,J1093:J1093)</f>
        <v>328.53</v>
      </c>
    </row>
    <row r="1095" spans="1:10" outlineLevel="2">
      <c r="A1095" s="191" t="s">
        <v>576</v>
      </c>
      <c r="B1095" s="191" t="s">
        <v>147</v>
      </c>
      <c r="C1095" s="191" t="s">
        <v>575</v>
      </c>
      <c r="D1095" s="191" t="s">
        <v>2168</v>
      </c>
      <c r="E1095" s="191" t="s">
        <v>1482</v>
      </c>
      <c r="F1095" s="191" t="s">
        <v>1482</v>
      </c>
      <c r="G1095" s="191">
        <v>7</v>
      </c>
      <c r="H1095" s="192">
        <v>0</v>
      </c>
      <c r="I1095" s="192">
        <v>54.26</v>
      </c>
      <c r="J1095" s="192">
        <f>SUM(H1095:I1095)</f>
        <v>54.26</v>
      </c>
    </row>
    <row r="1096" spans="1:10" outlineLevel="2">
      <c r="A1096" s="191" t="s">
        <v>576</v>
      </c>
      <c r="B1096" s="191" t="s">
        <v>112</v>
      </c>
      <c r="C1096" s="191" t="s">
        <v>575</v>
      </c>
      <c r="D1096" s="191" t="s">
        <v>1729</v>
      </c>
      <c r="E1096" s="191" t="s">
        <v>2593</v>
      </c>
      <c r="F1096" s="191" t="s">
        <v>1487</v>
      </c>
      <c r="G1096" s="191">
        <v>14</v>
      </c>
      <c r="H1096" s="192">
        <v>100</v>
      </c>
      <c r="I1096" s="192">
        <v>108.88</v>
      </c>
      <c r="J1096" s="192">
        <f>SUM(H1096:I1096)</f>
        <v>208.88</v>
      </c>
    </row>
    <row r="1097" spans="1:10" outlineLevel="2">
      <c r="A1097" s="191" t="s">
        <v>576</v>
      </c>
      <c r="B1097" s="191" t="s">
        <v>112</v>
      </c>
      <c r="C1097" s="191" t="s">
        <v>575</v>
      </c>
      <c r="D1097" s="191" t="s">
        <v>2169</v>
      </c>
      <c r="E1097" s="191" t="s">
        <v>1492</v>
      </c>
      <c r="F1097" s="191" t="s">
        <v>2590</v>
      </c>
      <c r="G1097" s="191">
        <v>21</v>
      </c>
      <c r="H1097" s="192">
        <v>0</v>
      </c>
      <c r="I1097" s="192">
        <v>176.91</v>
      </c>
      <c r="J1097" s="192">
        <f>SUM(H1097:I1097)</f>
        <v>176.91</v>
      </c>
    </row>
    <row r="1098" spans="1:10" outlineLevel="2">
      <c r="A1098" s="191" t="s">
        <v>577</v>
      </c>
      <c r="B1098" s="191" t="s">
        <v>100</v>
      </c>
      <c r="C1098" s="191" t="s">
        <v>575</v>
      </c>
      <c r="D1098" s="191" t="s">
        <v>2170</v>
      </c>
      <c r="E1098" s="191" t="s">
        <v>2603</v>
      </c>
      <c r="F1098" s="191" t="s">
        <v>2603</v>
      </c>
      <c r="G1098" s="191">
        <v>7</v>
      </c>
      <c r="H1098" s="192">
        <v>0</v>
      </c>
      <c r="I1098" s="192">
        <v>137.25</v>
      </c>
      <c r="J1098" s="192">
        <f>SUM(H1098:I1098)</f>
        <v>137.25</v>
      </c>
    </row>
    <row r="1099" spans="1:10" outlineLevel="2">
      <c r="A1099" s="191" t="s">
        <v>577</v>
      </c>
      <c r="B1099" s="191" t="s">
        <v>100</v>
      </c>
      <c r="C1099" s="191" t="s">
        <v>575</v>
      </c>
      <c r="D1099" s="191" t="s">
        <v>2171</v>
      </c>
      <c r="E1099" s="191" t="s">
        <v>2689</v>
      </c>
      <c r="F1099" s="191" t="s">
        <v>2661</v>
      </c>
      <c r="G1099" s="191">
        <v>14</v>
      </c>
      <c r="H1099" s="192">
        <v>0</v>
      </c>
      <c r="I1099" s="192">
        <v>273.18</v>
      </c>
      <c r="J1099" s="192">
        <f>SUM(H1099:I1099)</f>
        <v>273.18</v>
      </c>
    </row>
    <row r="1100" spans="1:10" outlineLevel="2">
      <c r="A1100" s="191" t="s">
        <v>577</v>
      </c>
      <c r="B1100" s="191" t="s">
        <v>100</v>
      </c>
      <c r="C1100" s="191" t="s">
        <v>575</v>
      </c>
      <c r="D1100" s="191" t="s">
        <v>2169</v>
      </c>
      <c r="E1100" s="191" t="s">
        <v>1492</v>
      </c>
      <c r="F1100" s="191" t="s">
        <v>2590</v>
      </c>
      <c r="G1100" s="191">
        <v>21</v>
      </c>
      <c r="H1100" s="192">
        <v>0</v>
      </c>
      <c r="I1100" s="192">
        <v>411.75</v>
      </c>
      <c r="J1100" s="192">
        <f>SUM(H1100:I1100)</f>
        <v>411.75</v>
      </c>
    </row>
    <row r="1101" spans="1:10" outlineLevel="2">
      <c r="A1101" s="191" t="s">
        <v>578</v>
      </c>
      <c r="B1101" s="191" t="s">
        <v>100</v>
      </c>
      <c r="C1101" s="191" t="s">
        <v>575</v>
      </c>
      <c r="D1101" s="191" t="s">
        <v>2172</v>
      </c>
      <c r="E1101" s="191" t="s">
        <v>2646</v>
      </c>
      <c r="F1101" s="191" t="s">
        <v>2646</v>
      </c>
      <c r="G1101" s="191">
        <v>7</v>
      </c>
      <c r="H1101" s="192">
        <v>0</v>
      </c>
      <c r="I1101" s="192">
        <v>79.94</v>
      </c>
      <c r="J1101" s="192">
        <f>SUM(H1101:I1101)</f>
        <v>79.94</v>
      </c>
    </row>
    <row r="1102" spans="1:10" outlineLevel="2">
      <c r="A1102" s="191" t="s">
        <v>579</v>
      </c>
      <c r="B1102" s="191" t="s">
        <v>100</v>
      </c>
      <c r="C1102" s="191" t="s">
        <v>575</v>
      </c>
      <c r="D1102" s="191" t="s">
        <v>2173</v>
      </c>
      <c r="E1102" s="191" t="s">
        <v>2723</v>
      </c>
      <c r="F1102" s="191" t="s">
        <v>2640</v>
      </c>
      <c r="G1102" s="191">
        <v>35</v>
      </c>
      <c r="H1102" s="192">
        <v>0</v>
      </c>
      <c r="I1102" s="192">
        <v>677.7</v>
      </c>
      <c r="J1102" s="192">
        <f>SUM(H1102:I1102)</f>
        <v>677.7</v>
      </c>
    </row>
    <row r="1103" spans="1:10" outlineLevel="2">
      <c r="A1103" s="191" t="s">
        <v>580</v>
      </c>
      <c r="B1103" s="191" t="s">
        <v>581</v>
      </c>
      <c r="C1103" s="191" t="s">
        <v>575</v>
      </c>
      <c r="D1103" s="191" t="s">
        <v>2174</v>
      </c>
      <c r="E1103" s="191" t="s">
        <v>2600</v>
      </c>
      <c r="F1103" s="191" t="s">
        <v>2600</v>
      </c>
      <c r="G1103" s="191">
        <v>7</v>
      </c>
      <c r="H1103" s="192">
        <v>0</v>
      </c>
      <c r="I1103" s="192">
        <v>188.81</v>
      </c>
      <c r="J1103" s="192">
        <f>SUM(H1103:I1103)</f>
        <v>188.81</v>
      </c>
    </row>
    <row r="1104" spans="1:10" outlineLevel="2">
      <c r="A1104" s="191" t="s">
        <v>580</v>
      </c>
      <c r="B1104" s="191" t="s">
        <v>581</v>
      </c>
      <c r="C1104" s="191" t="s">
        <v>575</v>
      </c>
      <c r="D1104" s="191" t="s">
        <v>2175</v>
      </c>
      <c r="E1104" s="191" t="s">
        <v>1504</v>
      </c>
      <c r="F1104" s="191" t="s">
        <v>1504</v>
      </c>
      <c r="G1104" s="191">
        <v>7</v>
      </c>
      <c r="H1104" s="192">
        <v>0</v>
      </c>
      <c r="I1104" s="192">
        <v>190.51</v>
      </c>
      <c r="J1104" s="192">
        <f>SUM(H1104:I1104)</f>
        <v>190.51</v>
      </c>
    </row>
    <row r="1105" spans="1:10" outlineLevel="2">
      <c r="A1105" s="191" t="s">
        <v>580</v>
      </c>
      <c r="B1105" s="191" t="s">
        <v>581</v>
      </c>
      <c r="C1105" s="191" t="s">
        <v>575</v>
      </c>
      <c r="D1105" s="191" t="s">
        <v>2176</v>
      </c>
      <c r="E1105" s="191" t="s">
        <v>2732</v>
      </c>
      <c r="F1105" s="191" t="s">
        <v>2732</v>
      </c>
      <c r="G1105" s="191">
        <v>7</v>
      </c>
      <c r="H1105" s="192">
        <v>0</v>
      </c>
      <c r="I1105" s="192">
        <v>190.51</v>
      </c>
      <c r="J1105" s="192">
        <f>SUM(H1105:I1105)</f>
        <v>190.51</v>
      </c>
    </row>
    <row r="1106" spans="1:10" outlineLevel="2">
      <c r="A1106" s="191" t="s">
        <v>580</v>
      </c>
      <c r="B1106" s="191" t="s">
        <v>581</v>
      </c>
      <c r="C1106" s="191" t="s">
        <v>575</v>
      </c>
      <c r="D1106" s="191" t="s">
        <v>2177</v>
      </c>
      <c r="E1106" s="191" t="s">
        <v>2689</v>
      </c>
      <c r="F1106" s="191" t="s">
        <v>2661</v>
      </c>
      <c r="G1106" s="191">
        <v>14</v>
      </c>
      <c r="H1106" s="192">
        <v>0</v>
      </c>
      <c r="I1106" s="192">
        <v>377.62</v>
      </c>
      <c r="J1106" s="192">
        <f>SUM(H1106:I1106)</f>
        <v>377.62</v>
      </c>
    </row>
    <row r="1107" spans="1:10" outlineLevel="2">
      <c r="A1107" s="191" t="s">
        <v>580</v>
      </c>
      <c r="B1107" s="191" t="s">
        <v>581</v>
      </c>
      <c r="C1107" s="191" t="s">
        <v>575</v>
      </c>
      <c r="D1107" s="191" t="s">
        <v>2178</v>
      </c>
      <c r="E1107" s="191" t="s">
        <v>1485</v>
      </c>
      <c r="F1107" s="191" t="s">
        <v>1486</v>
      </c>
      <c r="G1107" s="191">
        <v>21</v>
      </c>
      <c r="H1107" s="192">
        <v>0</v>
      </c>
      <c r="I1107" s="192">
        <v>566.42999999999995</v>
      </c>
      <c r="J1107" s="192">
        <f>SUM(H1107:I1107)</f>
        <v>566.42999999999995</v>
      </c>
    </row>
    <row r="1108" spans="1:10" outlineLevel="2">
      <c r="A1108" s="191" t="s">
        <v>582</v>
      </c>
      <c r="B1108" s="191" t="s">
        <v>100</v>
      </c>
      <c r="C1108" s="191" t="s">
        <v>575</v>
      </c>
      <c r="D1108" s="191" t="s">
        <v>2179</v>
      </c>
      <c r="E1108" s="191" t="s">
        <v>2700</v>
      </c>
      <c r="F1108" s="191" t="s">
        <v>2614</v>
      </c>
      <c r="G1108" s="191">
        <v>14</v>
      </c>
      <c r="H1108" s="192">
        <v>0</v>
      </c>
      <c r="I1108" s="192">
        <v>306.22000000000003</v>
      </c>
      <c r="J1108" s="192">
        <f>SUM(H1108:I1108)</f>
        <v>306.22000000000003</v>
      </c>
    </row>
    <row r="1109" spans="1:10" outlineLevel="2">
      <c r="A1109" s="191" t="s">
        <v>584</v>
      </c>
      <c r="B1109" s="191" t="s">
        <v>100</v>
      </c>
      <c r="C1109" s="191" t="s">
        <v>575</v>
      </c>
      <c r="D1109" s="191" t="s">
        <v>2180</v>
      </c>
      <c r="E1109" s="191" t="s">
        <v>2732</v>
      </c>
      <c r="F1109" s="191" t="s">
        <v>2732</v>
      </c>
      <c r="G1109" s="191">
        <v>7</v>
      </c>
      <c r="H1109" s="192">
        <v>0</v>
      </c>
      <c r="I1109" s="192">
        <v>0</v>
      </c>
      <c r="J1109" s="192">
        <f>SUM(H1109:I1109)</f>
        <v>0</v>
      </c>
    </row>
    <row r="1110" spans="1:10" outlineLevel="2">
      <c r="A1110" s="191" t="s">
        <v>585</v>
      </c>
      <c r="B1110" s="191" t="s">
        <v>100</v>
      </c>
      <c r="C1110" s="191" t="s">
        <v>575</v>
      </c>
      <c r="D1110" s="191" t="s">
        <v>2181</v>
      </c>
      <c r="E1110" s="191" t="s">
        <v>1481</v>
      </c>
      <c r="F1110" s="191" t="s">
        <v>1481</v>
      </c>
      <c r="G1110" s="191">
        <v>7</v>
      </c>
      <c r="H1110" s="192">
        <v>0</v>
      </c>
      <c r="I1110" s="192">
        <v>136.59</v>
      </c>
      <c r="J1110" s="192">
        <f>SUM(H1110:I1110)</f>
        <v>136.59</v>
      </c>
    </row>
    <row r="1111" spans="1:10" outlineLevel="2">
      <c r="A1111" s="191" t="s">
        <v>585</v>
      </c>
      <c r="B1111" s="191" t="s">
        <v>100</v>
      </c>
      <c r="C1111" s="191" t="s">
        <v>575</v>
      </c>
      <c r="D1111" s="191" t="s">
        <v>2182</v>
      </c>
      <c r="E1111" s="191" t="s">
        <v>2614</v>
      </c>
      <c r="F1111" s="191" t="s">
        <v>2614</v>
      </c>
      <c r="G1111" s="191">
        <v>7</v>
      </c>
      <c r="H1111" s="192">
        <v>0</v>
      </c>
      <c r="I1111" s="192">
        <v>136.59</v>
      </c>
      <c r="J1111" s="192">
        <f>SUM(H1111:I1111)</f>
        <v>136.59</v>
      </c>
    </row>
    <row r="1112" spans="1:10" outlineLevel="2">
      <c r="A1112" s="191" t="s">
        <v>586</v>
      </c>
      <c r="B1112" s="191" t="s">
        <v>100</v>
      </c>
      <c r="C1112" s="191" t="s">
        <v>575</v>
      </c>
      <c r="D1112" s="191" t="s">
        <v>2183</v>
      </c>
      <c r="E1112" s="191" t="s">
        <v>1481</v>
      </c>
      <c r="F1112" s="191" t="s">
        <v>1481</v>
      </c>
      <c r="G1112" s="191">
        <v>7</v>
      </c>
      <c r="H1112" s="192">
        <v>0</v>
      </c>
      <c r="I1112" s="192">
        <v>176.99</v>
      </c>
      <c r="J1112" s="192">
        <f>SUM(H1112:I1112)</f>
        <v>176.99</v>
      </c>
    </row>
    <row r="1113" spans="1:10" outlineLevel="2">
      <c r="A1113" s="191" t="s">
        <v>586</v>
      </c>
      <c r="B1113" s="191" t="s">
        <v>100</v>
      </c>
      <c r="C1113" s="191" t="s">
        <v>575</v>
      </c>
      <c r="D1113" s="191" t="s">
        <v>2184</v>
      </c>
      <c r="E1113" s="191" t="s">
        <v>2625</v>
      </c>
      <c r="F1113" s="191" t="s">
        <v>2625</v>
      </c>
      <c r="G1113" s="191">
        <v>7</v>
      </c>
      <c r="H1113" s="192">
        <v>0</v>
      </c>
      <c r="I1113" s="192">
        <v>179.56</v>
      </c>
      <c r="J1113" s="192">
        <f>SUM(H1113:I1113)</f>
        <v>179.56</v>
      </c>
    </row>
    <row r="1114" spans="1:10" outlineLevel="2">
      <c r="A1114" s="191" t="s">
        <v>586</v>
      </c>
      <c r="B1114" s="191" t="s">
        <v>100</v>
      </c>
      <c r="C1114" s="191" t="s">
        <v>575</v>
      </c>
      <c r="D1114" s="191" t="s">
        <v>2182</v>
      </c>
      <c r="E1114" s="191" t="s">
        <v>2700</v>
      </c>
      <c r="F1114" s="191" t="s">
        <v>2614</v>
      </c>
      <c r="G1114" s="191">
        <v>14</v>
      </c>
      <c r="H1114" s="192">
        <v>0</v>
      </c>
      <c r="I1114" s="192">
        <v>357.38</v>
      </c>
      <c r="J1114" s="192">
        <f>SUM(H1114:I1114)</f>
        <v>357.38</v>
      </c>
    </row>
    <row r="1115" spans="1:10" outlineLevel="2">
      <c r="A1115" s="191" t="s">
        <v>586</v>
      </c>
      <c r="B1115" s="191" t="s">
        <v>100</v>
      </c>
      <c r="C1115" s="191" t="s">
        <v>575</v>
      </c>
      <c r="D1115" s="191" t="s">
        <v>1729</v>
      </c>
      <c r="E1115" s="191" t="s">
        <v>2593</v>
      </c>
      <c r="F1115" s="191" t="s">
        <v>1487</v>
      </c>
      <c r="G1115" s="191">
        <v>14</v>
      </c>
      <c r="H1115" s="192">
        <v>0</v>
      </c>
      <c r="I1115" s="192">
        <v>357.38</v>
      </c>
      <c r="J1115" s="192">
        <f>SUM(H1115:I1115)</f>
        <v>357.38</v>
      </c>
    </row>
    <row r="1116" spans="1:10" outlineLevel="2">
      <c r="A1116" s="191" t="s">
        <v>586</v>
      </c>
      <c r="B1116" s="191" t="s">
        <v>100</v>
      </c>
      <c r="C1116" s="191" t="s">
        <v>575</v>
      </c>
      <c r="D1116" s="191" t="s">
        <v>2184</v>
      </c>
      <c r="E1116" s="191" t="s">
        <v>2597</v>
      </c>
      <c r="F1116" s="191" t="s">
        <v>2598</v>
      </c>
      <c r="G1116" s="191">
        <v>14</v>
      </c>
      <c r="H1116" s="192">
        <v>0</v>
      </c>
      <c r="I1116" s="192">
        <v>359.12</v>
      </c>
      <c r="J1116" s="192">
        <f>SUM(H1116:I1116)</f>
        <v>359.12</v>
      </c>
    </row>
    <row r="1117" spans="1:10" outlineLevel="2">
      <c r="A1117" s="191" t="s">
        <v>587</v>
      </c>
      <c r="B1117" s="191" t="s">
        <v>100</v>
      </c>
      <c r="C1117" s="191" t="s">
        <v>575</v>
      </c>
      <c r="D1117" s="191" t="s">
        <v>2179</v>
      </c>
      <c r="E1117" s="191" t="s">
        <v>2700</v>
      </c>
      <c r="F1117" s="191" t="s">
        <v>2614</v>
      </c>
      <c r="G1117" s="191">
        <v>14</v>
      </c>
      <c r="H1117" s="192">
        <v>0</v>
      </c>
      <c r="I1117" s="192">
        <v>337.06</v>
      </c>
      <c r="J1117" s="192">
        <f>SUM(H1117:I1117)</f>
        <v>337.06</v>
      </c>
    </row>
    <row r="1118" spans="1:10" outlineLevel="2">
      <c r="A1118" s="191" t="s">
        <v>587</v>
      </c>
      <c r="B1118" s="191" t="s">
        <v>100</v>
      </c>
      <c r="C1118" s="191" t="s">
        <v>575</v>
      </c>
      <c r="D1118" s="191" t="s">
        <v>2185</v>
      </c>
      <c r="E1118" s="191" t="s">
        <v>2599</v>
      </c>
      <c r="F1118" s="191" t="s">
        <v>2600</v>
      </c>
      <c r="G1118" s="191">
        <v>14</v>
      </c>
      <c r="H1118" s="192">
        <v>0</v>
      </c>
      <c r="I1118" s="192">
        <v>337.06</v>
      </c>
      <c r="J1118" s="192">
        <f>SUM(H1118:I1118)</f>
        <v>337.06</v>
      </c>
    </row>
    <row r="1119" spans="1:10" outlineLevel="2">
      <c r="A1119" s="191" t="s">
        <v>588</v>
      </c>
      <c r="B1119" s="191" t="s">
        <v>100</v>
      </c>
      <c r="C1119" s="191" t="s">
        <v>575</v>
      </c>
      <c r="D1119" s="191" t="s">
        <v>2182</v>
      </c>
      <c r="E1119" s="191" t="s">
        <v>2614</v>
      </c>
      <c r="F1119" s="191" t="s">
        <v>2614</v>
      </c>
      <c r="G1119" s="191">
        <v>7</v>
      </c>
      <c r="H1119" s="192">
        <v>0</v>
      </c>
      <c r="I1119" s="192">
        <v>136.59</v>
      </c>
      <c r="J1119" s="192">
        <f>SUM(H1119:I1119)</f>
        <v>136.59</v>
      </c>
    </row>
    <row r="1120" spans="1:10" outlineLevel="2">
      <c r="A1120" s="191" t="s">
        <v>588</v>
      </c>
      <c r="B1120" s="191" t="s">
        <v>100</v>
      </c>
      <c r="C1120" s="191" t="s">
        <v>575</v>
      </c>
      <c r="D1120" s="191" t="s">
        <v>2168</v>
      </c>
      <c r="E1120" s="191" t="s">
        <v>2658</v>
      </c>
      <c r="F1120" s="191" t="s">
        <v>1482</v>
      </c>
      <c r="G1120" s="191">
        <v>14</v>
      </c>
      <c r="H1120" s="192">
        <v>0</v>
      </c>
      <c r="I1120" s="192">
        <v>273.18</v>
      </c>
      <c r="J1120" s="192">
        <f>SUM(H1120:I1120)</f>
        <v>273.18</v>
      </c>
    </row>
    <row r="1121" spans="1:10" outlineLevel="2">
      <c r="A1121" s="191" t="s">
        <v>2909</v>
      </c>
      <c r="B1121" s="191" t="s">
        <v>141</v>
      </c>
      <c r="C1121" s="191" t="s">
        <v>575</v>
      </c>
      <c r="D1121" s="191" t="s">
        <v>2186</v>
      </c>
      <c r="E1121" s="191" t="s">
        <v>1500</v>
      </c>
      <c r="F1121" s="191" t="s">
        <v>1500</v>
      </c>
      <c r="G1121" s="191">
        <v>7</v>
      </c>
      <c r="H1121" s="192">
        <v>100</v>
      </c>
      <c r="I1121" s="192">
        <v>50.97</v>
      </c>
      <c r="J1121" s="192">
        <f>SUM(H1121:I1121)</f>
        <v>150.97</v>
      </c>
    </row>
    <row r="1122" spans="1:10" outlineLevel="2">
      <c r="A1122" s="191" t="s">
        <v>589</v>
      </c>
      <c r="B1122" s="191" t="s">
        <v>100</v>
      </c>
      <c r="C1122" s="191" t="s">
        <v>575</v>
      </c>
      <c r="D1122" s="191" t="s">
        <v>2187</v>
      </c>
      <c r="E1122" s="191" t="s">
        <v>2690</v>
      </c>
      <c r="F1122" s="191" t="s">
        <v>2690</v>
      </c>
      <c r="G1122" s="191">
        <v>7</v>
      </c>
      <c r="H1122" s="192">
        <v>0</v>
      </c>
      <c r="I1122" s="192">
        <v>134.88</v>
      </c>
      <c r="J1122" s="192">
        <f>SUM(H1122:I1122)</f>
        <v>134.88</v>
      </c>
    </row>
    <row r="1123" spans="1:10" outlineLevel="2">
      <c r="A1123" s="191" t="s">
        <v>589</v>
      </c>
      <c r="B1123" s="191" t="s">
        <v>100</v>
      </c>
      <c r="C1123" s="191" t="s">
        <v>575</v>
      </c>
      <c r="D1123" s="191" t="s">
        <v>1729</v>
      </c>
      <c r="E1123" s="191" t="s">
        <v>2593</v>
      </c>
      <c r="F1123" s="191" t="s">
        <v>1487</v>
      </c>
      <c r="G1123" s="191">
        <v>14</v>
      </c>
      <c r="H1123" s="192">
        <v>0</v>
      </c>
      <c r="I1123" s="192">
        <v>269.76</v>
      </c>
      <c r="J1123" s="192">
        <f>SUM(H1123:I1123)</f>
        <v>269.76</v>
      </c>
    </row>
    <row r="1124" spans="1:10" outlineLevel="2">
      <c r="A1124" s="191" t="s">
        <v>589</v>
      </c>
      <c r="B1124" s="191" t="s">
        <v>100</v>
      </c>
      <c r="C1124" s="191" t="s">
        <v>575</v>
      </c>
      <c r="D1124" s="191" t="s">
        <v>2188</v>
      </c>
      <c r="E1124" s="191" t="s">
        <v>2649</v>
      </c>
      <c r="F1124" s="191" t="s">
        <v>2585</v>
      </c>
      <c r="G1124" s="191">
        <v>14</v>
      </c>
      <c r="H1124" s="192">
        <v>0</v>
      </c>
      <c r="I1124" s="192">
        <v>269.76</v>
      </c>
      <c r="J1124" s="192">
        <f>SUM(H1124:I1124)</f>
        <v>269.76</v>
      </c>
    </row>
    <row r="1125" spans="1:10" outlineLevel="2">
      <c r="A1125" s="191" t="s">
        <v>589</v>
      </c>
      <c r="B1125" s="191" t="s">
        <v>100</v>
      </c>
      <c r="C1125" s="191" t="s">
        <v>575</v>
      </c>
      <c r="D1125" s="191" t="s">
        <v>2187</v>
      </c>
      <c r="E1125" s="191" t="s">
        <v>2704</v>
      </c>
      <c r="F1125" s="191" t="s">
        <v>1483</v>
      </c>
      <c r="G1125" s="191">
        <v>21</v>
      </c>
      <c r="H1125" s="192">
        <v>100</v>
      </c>
      <c r="I1125" s="192">
        <v>404.64</v>
      </c>
      <c r="J1125" s="192">
        <f>SUM(H1125:I1125)</f>
        <v>504.64</v>
      </c>
    </row>
    <row r="1126" spans="1:10" outlineLevel="2">
      <c r="A1126" s="191" t="s">
        <v>590</v>
      </c>
      <c r="B1126" s="191" t="s">
        <v>112</v>
      </c>
      <c r="C1126" s="191" t="s">
        <v>575</v>
      </c>
      <c r="D1126" s="191" t="s">
        <v>2168</v>
      </c>
      <c r="E1126" s="191" t="s">
        <v>1482</v>
      </c>
      <c r="F1126" s="191" t="s">
        <v>1482</v>
      </c>
      <c r="G1126" s="191">
        <v>7</v>
      </c>
      <c r="H1126" s="192">
        <v>0</v>
      </c>
      <c r="I1126" s="192">
        <v>58.69</v>
      </c>
      <c r="J1126" s="192">
        <f>SUM(H1126:I1126)</f>
        <v>58.69</v>
      </c>
    </row>
    <row r="1127" spans="1:10" outlineLevel="2">
      <c r="A1127" s="191" t="s">
        <v>590</v>
      </c>
      <c r="B1127" s="191" t="s">
        <v>116</v>
      </c>
      <c r="C1127" s="191" t="s">
        <v>575</v>
      </c>
      <c r="D1127" s="191" t="s">
        <v>2169</v>
      </c>
      <c r="E1127" s="191" t="s">
        <v>1492</v>
      </c>
      <c r="F1127" s="191" t="s">
        <v>2590</v>
      </c>
      <c r="G1127" s="191">
        <v>21</v>
      </c>
      <c r="H1127" s="192">
        <v>0</v>
      </c>
      <c r="I1127" s="192">
        <v>190.26</v>
      </c>
      <c r="J1127" s="192">
        <f>SUM(H1127:I1127)</f>
        <v>190.26</v>
      </c>
    </row>
    <row r="1128" spans="1:10" outlineLevel="2">
      <c r="A1128" s="191" t="s">
        <v>591</v>
      </c>
      <c r="B1128" s="191" t="s">
        <v>100</v>
      </c>
      <c r="C1128" s="191" t="s">
        <v>575</v>
      </c>
      <c r="D1128" s="191" t="s">
        <v>2183</v>
      </c>
      <c r="E1128" s="191" t="s">
        <v>1481</v>
      </c>
      <c r="F1128" s="191" t="s">
        <v>1481</v>
      </c>
      <c r="G1128" s="191">
        <v>7</v>
      </c>
      <c r="H1128" s="192">
        <v>0</v>
      </c>
      <c r="I1128" s="192">
        <v>100.84</v>
      </c>
      <c r="J1128" s="192">
        <f>SUM(H1128:I1128)</f>
        <v>100.84</v>
      </c>
    </row>
    <row r="1129" spans="1:10" outlineLevel="2">
      <c r="A1129" s="191" t="s">
        <v>591</v>
      </c>
      <c r="B1129" s="191" t="s">
        <v>100</v>
      </c>
      <c r="C1129" s="191" t="s">
        <v>575</v>
      </c>
      <c r="D1129" s="191" t="s">
        <v>2189</v>
      </c>
      <c r="E1129" s="191" t="s">
        <v>2732</v>
      </c>
      <c r="F1129" s="191" t="s">
        <v>2732</v>
      </c>
      <c r="G1129" s="191">
        <v>7</v>
      </c>
      <c r="H1129" s="192">
        <v>0</v>
      </c>
      <c r="I1129" s="192">
        <v>53.27</v>
      </c>
      <c r="J1129" s="192">
        <f>SUM(H1129:I1129)</f>
        <v>53.27</v>
      </c>
    </row>
    <row r="1130" spans="1:10" outlineLevel="2">
      <c r="A1130" s="191" t="s">
        <v>591</v>
      </c>
      <c r="B1130" s="191" t="s">
        <v>100</v>
      </c>
      <c r="C1130" s="191" t="s">
        <v>575</v>
      </c>
      <c r="D1130" s="191" t="s">
        <v>1800</v>
      </c>
      <c r="E1130" s="191" t="s">
        <v>2698</v>
      </c>
      <c r="F1130" s="191" t="s">
        <v>2696</v>
      </c>
      <c r="G1130" s="191">
        <v>21</v>
      </c>
      <c r="H1130" s="192">
        <v>0</v>
      </c>
      <c r="I1130" s="192">
        <v>432.21</v>
      </c>
      <c r="J1130" s="192">
        <f>SUM(H1130:I1130)</f>
        <v>432.21</v>
      </c>
    </row>
    <row r="1131" spans="1:10" outlineLevel="2">
      <c r="A1131" s="191" t="s">
        <v>592</v>
      </c>
      <c r="B1131" s="191" t="s">
        <v>100</v>
      </c>
      <c r="C1131" s="191" t="s">
        <v>575</v>
      </c>
      <c r="D1131" s="191" t="s">
        <v>2190</v>
      </c>
      <c r="E1131" s="191" t="s">
        <v>1481</v>
      </c>
      <c r="F1131" s="191" t="s">
        <v>1481</v>
      </c>
      <c r="G1131" s="191">
        <v>7</v>
      </c>
      <c r="H1131" s="192">
        <v>0</v>
      </c>
      <c r="I1131" s="192">
        <v>137.37</v>
      </c>
      <c r="J1131" s="192">
        <f>SUM(H1131:I1131)</f>
        <v>137.37</v>
      </c>
    </row>
    <row r="1132" spans="1:10" outlineLevel="2">
      <c r="A1132" s="191" t="s">
        <v>592</v>
      </c>
      <c r="B1132" s="191" t="s">
        <v>100</v>
      </c>
      <c r="C1132" s="191" t="s">
        <v>575</v>
      </c>
      <c r="D1132" s="191" t="s">
        <v>1729</v>
      </c>
      <c r="E1132" s="191" t="s">
        <v>2593</v>
      </c>
      <c r="F1132" s="191" t="s">
        <v>1487</v>
      </c>
      <c r="G1132" s="191">
        <v>14</v>
      </c>
      <c r="H1132" s="192">
        <v>0</v>
      </c>
      <c r="I1132" s="192">
        <v>274.74</v>
      </c>
      <c r="J1132" s="192">
        <f>SUM(H1132:I1132)</f>
        <v>274.74</v>
      </c>
    </row>
    <row r="1133" spans="1:10" outlineLevel="2">
      <c r="A1133" s="191" t="s">
        <v>592</v>
      </c>
      <c r="B1133" s="191" t="s">
        <v>100</v>
      </c>
      <c r="C1133" s="191" t="s">
        <v>575</v>
      </c>
      <c r="D1133" s="191" t="s">
        <v>2191</v>
      </c>
      <c r="E1133" s="191" t="s">
        <v>2698</v>
      </c>
      <c r="F1133" s="191" t="s">
        <v>2696</v>
      </c>
      <c r="G1133" s="191">
        <v>21</v>
      </c>
      <c r="H1133" s="192">
        <v>0</v>
      </c>
      <c r="I1133" s="192">
        <v>414.15</v>
      </c>
      <c r="J1133" s="192">
        <f>SUM(H1133:I1133)</f>
        <v>414.15</v>
      </c>
    </row>
    <row r="1134" spans="1:10" outlineLevel="2">
      <c r="A1134" s="191" t="s">
        <v>2910</v>
      </c>
      <c r="B1134" s="191" t="s">
        <v>141</v>
      </c>
      <c r="C1134" s="191" t="s">
        <v>575</v>
      </c>
      <c r="D1134" s="191" t="s">
        <v>2192</v>
      </c>
      <c r="E1134" s="191" t="s">
        <v>1500</v>
      </c>
      <c r="F1134" s="191" t="s">
        <v>1500</v>
      </c>
      <c r="G1134" s="191">
        <v>7</v>
      </c>
      <c r="H1134" s="192">
        <v>100</v>
      </c>
      <c r="I1134" s="192">
        <v>50.97</v>
      </c>
      <c r="J1134" s="192">
        <f>SUM(H1134:I1134)</f>
        <v>150.97</v>
      </c>
    </row>
    <row r="1135" spans="1:10" outlineLevel="2">
      <c r="A1135" s="191" t="s">
        <v>2910</v>
      </c>
      <c r="B1135" s="191" t="s">
        <v>141</v>
      </c>
      <c r="C1135" s="191" t="s">
        <v>575</v>
      </c>
      <c r="D1135" s="191" t="s">
        <v>2193</v>
      </c>
      <c r="E1135" s="191" t="s">
        <v>1492</v>
      </c>
      <c r="F1135" s="191" t="s">
        <v>2590</v>
      </c>
      <c r="G1135" s="191">
        <v>21</v>
      </c>
      <c r="H1135" s="192">
        <v>100</v>
      </c>
      <c r="I1135" s="192">
        <v>152.91</v>
      </c>
      <c r="J1135" s="192">
        <f>SUM(H1135:I1135)</f>
        <v>252.91</v>
      </c>
    </row>
    <row r="1136" spans="1:10" outlineLevel="2">
      <c r="A1136" s="191" t="s">
        <v>593</v>
      </c>
      <c r="B1136" s="191" t="s">
        <v>147</v>
      </c>
      <c r="C1136" s="191" t="s">
        <v>575</v>
      </c>
      <c r="D1136" s="191" t="s">
        <v>2194</v>
      </c>
      <c r="E1136" s="191" t="s">
        <v>2707</v>
      </c>
      <c r="F1136" s="191" t="s">
        <v>2707</v>
      </c>
      <c r="G1136" s="191">
        <v>7</v>
      </c>
      <c r="H1136" s="192">
        <v>100</v>
      </c>
      <c r="I1136" s="192">
        <v>54.26</v>
      </c>
      <c r="J1136" s="192">
        <f>SUM(H1136:I1136)</f>
        <v>154.26</v>
      </c>
    </row>
    <row r="1137" spans="1:10" outlineLevel="2">
      <c r="A1137" s="191" t="s">
        <v>593</v>
      </c>
      <c r="B1137" s="191" t="s">
        <v>147</v>
      </c>
      <c r="C1137" s="191" t="s">
        <v>575</v>
      </c>
      <c r="D1137" s="191" t="s">
        <v>2195</v>
      </c>
      <c r="E1137" s="191" t="s">
        <v>2700</v>
      </c>
      <c r="F1137" s="191" t="s">
        <v>2614</v>
      </c>
      <c r="G1137" s="191" t="s">
        <v>2760</v>
      </c>
      <c r="H1137" s="192">
        <v>0</v>
      </c>
      <c r="I1137" s="192">
        <v>0</v>
      </c>
      <c r="J1137" s="192">
        <f>SUM(H1137:I1137)</f>
        <v>0</v>
      </c>
    </row>
    <row r="1138" spans="1:10" outlineLevel="2">
      <c r="A1138" s="191" t="s">
        <v>593</v>
      </c>
      <c r="B1138" s="191" t="s">
        <v>112</v>
      </c>
      <c r="C1138" s="191" t="s">
        <v>575</v>
      </c>
      <c r="D1138" s="191" t="s">
        <v>2184</v>
      </c>
      <c r="E1138" s="191" t="s">
        <v>2598</v>
      </c>
      <c r="F1138" s="191" t="s">
        <v>2598</v>
      </c>
      <c r="G1138" s="191">
        <v>7</v>
      </c>
      <c r="H1138" s="192">
        <v>100</v>
      </c>
      <c r="I1138" s="192">
        <v>58.97</v>
      </c>
      <c r="J1138" s="192">
        <f>SUM(H1138:I1138)</f>
        <v>158.97</v>
      </c>
    </row>
    <row r="1139" spans="1:10" outlineLevel="2">
      <c r="A1139" s="191" t="s">
        <v>593</v>
      </c>
      <c r="B1139" s="191" t="s">
        <v>112</v>
      </c>
      <c r="C1139" s="191" t="s">
        <v>575</v>
      </c>
      <c r="D1139" s="191" t="s">
        <v>2184</v>
      </c>
      <c r="E1139" s="191" t="s">
        <v>2625</v>
      </c>
      <c r="F1139" s="191" t="s">
        <v>2625</v>
      </c>
      <c r="G1139" s="191">
        <v>7</v>
      </c>
      <c r="H1139" s="192">
        <v>0</v>
      </c>
      <c r="I1139" s="192">
        <v>58.97</v>
      </c>
      <c r="J1139" s="192">
        <f>SUM(H1139:I1139)</f>
        <v>58.97</v>
      </c>
    </row>
    <row r="1140" spans="1:10" outlineLevel="2">
      <c r="A1140" s="191" t="s">
        <v>593</v>
      </c>
      <c r="B1140" s="191" t="s">
        <v>112</v>
      </c>
      <c r="C1140" s="191" t="s">
        <v>575</v>
      </c>
      <c r="D1140" s="191" t="s">
        <v>2196</v>
      </c>
      <c r="E1140" s="191" t="s">
        <v>2745</v>
      </c>
      <c r="F1140" s="191" t="s">
        <v>2696</v>
      </c>
      <c r="G1140" s="191">
        <v>14</v>
      </c>
      <c r="H1140" s="192">
        <v>0</v>
      </c>
      <c r="I1140" s="192">
        <v>117.94</v>
      </c>
      <c r="J1140" s="192">
        <f>SUM(H1140:I1140)</f>
        <v>117.94</v>
      </c>
    </row>
    <row r="1141" spans="1:10" outlineLevel="2">
      <c r="A1141" s="191" t="s">
        <v>594</v>
      </c>
      <c r="B1141" s="191" t="s">
        <v>595</v>
      </c>
      <c r="C1141" s="191" t="s">
        <v>575</v>
      </c>
      <c r="D1141" s="191" t="s">
        <v>2197</v>
      </c>
      <c r="E1141" s="191" t="s">
        <v>1481</v>
      </c>
      <c r="F1141" s="191" t="s">
        <v>1481</v>
      </c>
      <c r="G1141" s="191">
        <v>7</v>
      </c>
      <c r="H1141" s="192">
        <v>0</v>
      </c>
      <c r="I1141" s="192">
        <v>221.01</v>
      </c>
      <c r="J1141" s="192">
        <f>SUM(H1141:I1141)</f>
        <v>221.01</v>
      </c>
    </row>
    <row r="1142" spans="1:10" outlineLevel="2">
      <c r="A1142" s="191" t="s">
        <v>594</v>
      </c>
      <c r="B1142" s="191" t="s">
        <v>595</v>
      </c>
      <c r="C1142" s="191" t="s">
        <v>575</v>
      </c>
      <c r="D1142" s="191" t="s">
        <v>2182</v>
      </c>
      <c r="E1142" s="191" t="s">
        <v>2700</v>
      </c>
      <c r="F1142" s="191" t="s">
        <v>2614</v>
      </c>
      <c r="G1142" s="191">
        <v>14</v>
      </c>
      <c r="H1142" s="192">
        <v>0</v>
      </c>
      <c r="I1142" s="192">
        <v>442.02</v>
      </c>
      <c r="J1142" s="192">
        <f>SUM(H1142:I1142)</f>
        <v>442.02</v>
      </c>
    </row>
    <row r="1143" spans="1:10" outlineLevel="2">
      <c r="A1143" s="191" t="s">
        <v>594</v>
      </c>
      <c r="B1143" s="191" t="s">
        <v>595</v>
      </c>
      <c r="C1143" s="191" t="s">
        <v>575</v>
      </c>
      <c r="D1143" s="191" t="s">
        <v>2176</v>
      </c>
      <c r="E1143" s="191" t="s">
        <v>2732</v>
      </c>
      <c r="F1143" s="191" t="s">
        <v>2664</v>
      </c>
      <c r="G1143" s="191">
        <v>14</v>
      </c>
      <c r="H1143" s="192">
        <v>0</v>
      </c>
      <c r="I1143" s="192">
        <v>442.02</v>
      </c>
      <c r="J1143" s="192">
        <f>SUM(H1143:I1143)</f>
        <v>442.02</v>
      </c>
    </row>
    <row r="1144" spans="1:10" outlineLevel="2">
      <c r="A1144" s="191" t="s">
        <v>596</v>
      </c>
      <c r="B1144" s="191" t="s">
        <v>100</v>
      </c>
      <c r="C1144" s="191" t="s">
        <v>575</v>
      </c>
      <c r="D1144" s="191" t="s">
        <v>2198</v>
      </c>
      <c r="E1144" s="191" t="s">
        <v>2689</v>
      </c>
      <c r="F1144" s="191" t="s">
        <v>2661</v>
      </c>
      <c r="G1144" s="191">
        <v>14</v>
      </c>
      <c r="H1144" s="192">
        <v>0</v>
      </c>
      <c r="I1144" s="192">
        <v>365.58</v>
      </c>
      <c r="J1144" s="192">
        <f>SUM(H1144:I1144)</f>
        <v>365.58</v>
      </c>
    </row>
    <row r="1145" spans="1:10" outlineLevel="2">
      <c r="A1145" s="191" t="s">
        <v>597</v>
      </c>
      <c r="B1145" s="191" t="s">
        <v>147</v>
      </c>
      <c r="C1145" s="191" t="s">
        <v>575</v>
      </c>
      <c r="D1145" s="191" t="s">
        <v>2199</v>
      </c>
      <c r="E1145" s="191" t="s">
        <v>1496</v>
      </c>
      <c r="F1145" s="191" t="s">
        <v>1496</v>
      </c>
      <c r="G1145" s="191">
        <v>7</v>
      </c>
      <c r="H1145" s="192">
        <v>100</v>
      </c>
      <c r="I1145" s="192">
        <v>53.56</v>
      </c>
      <c r="J1145" s="192">
        <f>SUM(H1145:I1145)</f>
        <v>153.56</v>
      </c>
    </row>
    <row r="1146" spans="1:10" outlineLevel="2">
      <c r="A1146" s="191" t="s">
        <v>597</v>
      </c>
      <c r="B1146" s="191" t="s">
        <v>147</v>
      </c>
      <c r="C1146" s="191" t="s">
        <v>575</v>
      </c>
      <c r="D1146" s="191" t="s">
        <v>2200</v>
      </c>
      <c r="E1146" s="191" t="s">
        <v>1488</v>
      </c>
      <c r="F1146" s="191" t="s">
        <v>1488</v>
      </c>
      <c r="G1146" s="191">
        <v>7</v>
      </c>
      <c r="H1146" s="192">
        <v>0</v>
      </c>
      <c r="I1146" s="192">
        <v>54.26</v>
      </c>
      <c r="J1146" s="192">
        <f>SUM(H1146:I1146)</f>
        <v>54.26</v>
      </c>
    </row>
    <row r="1147" spans="1:10" outlineLevel="2">
      <c r="A1147" s="191" t="s">
        <v>597</v>
      </c>
      <c r="B1147" s="191" t="s">
        <v>147</v>
      </c>
      <c r="C1147" s="191" t="s">
        <v>575</v>
      </c>
      <c r="D1147" s="191" t="s">
        <v>2178</v>
      </c>
      <c r="E1147" s="191" t="s">
        <v>1485</v>
      </c>
      <c r="F1147" s="191" t="s">
        <v>1486</v>
      </c>
      <c r="G1147" s="191">
        <v>21</v>
      </c>
      <c r="H1147" s="192">
        <v>0</v>
      </c>
      <c r="I1147" s="192">
        <v>160.68</v>
      </c>
      <c r="J1147" s="192">
        <f>SUM(H1147:I1147)</f>
        <v>160.68</v>
      </c>
    </row>
    <row r="1148" spans="1:10" outlineLevel="2">
      <c r="A1148" s="191" t="s">
        <v>597</v>
      </c>
      <c r="B1148" s="191" t="s">
        <v>147</v>
      </c>
      <c r="C1148" s="191" t="s">
        <v>575</v>
      </c>
      <c r="D1148" s="191" t="s">
        <v>2193</v>
      </c>
      <c r="E1148" s="191" t="s">
        <v>1492</v>
      </c>
      <c r="F1148" s="191" t="s">
        <v>2590</v>
      </c>
      <c r="G1148" s="191">
        <v>21</v>
      </c>
      <c r="H1148" s="192">
        <v>100</v>
      </c>
      <c r="I1148" s="192">
        <v>163.59</v>
      </c>
      <c r="J1148" s="192">
        <f>SUM(H1148:I1148)</f>
        <v>263.59000000000003</v>
      </c>
    </row>
    <row r="1149" spans="1:10" outlineLevel="2">
      <c r="A1149" s="191" t="s">
        <v>598</v>
      </c>
      <c r="B1149" s="191" t="s">
        <v>183</v>
      </c>
      <c r="C1149" s="191" t="s">
        <v>575</v>
      </c>
      <c r="D1149" s="191" t="s">
        <v>2201</v>
      </c>
      <c r="E1149" s="191" t="s">
        <v>2605</v>
      </c>
      <c r="F1149" s="191" t="s">
        <v>1483</v>
      </c>
      <c r="G1149" s="191">
        <v>28</v>
      </c>
      <c r="H1149" s="192">
        <v>100</v>
      </c>
      <c r="I1149" s="192">
        <v>718.76</v>
      </c>
      <c r="J1149" s="192">
        <f>SUM(H1149:I1149)</f>
        <v>818.76</v>
      </c>
    </row>
    <row r="1150" spans="1:10" outlineLevel="2">
      <c r="A1150" s="191" t="s">
        <v>599</v>
      </c>
      <c r="B1150" s="191" t="s">
        <v>100</v>
      </c>
      <c r="C1150" s="191" t="s">
        <v>575</v>
      </c>
      <c r="D1150" s="191" t="s">
        <v>2182</v>
      </c>
      <c r="E1150" s="191" t="s">
        <v>2700</v>
      </c>
      <c r="F1150" s="191" t="s">
        <v>2614</v>
      </c>
      <c r="G1150" s="191">
        <v>14</v>
      </c>
      <c r="H1150" s="192">
        <v>0</v>
      </c>
      <c r="I1150" s="192">
        <v>340.46</v>
      </c>
      <c r="J1150" s="192">
        <f>SUM(H1150:I1150)</f>
        <v>340.46</v>
      </c>
    </row>
    <row r="1151" spans="1:10" outlineLevel="2">
      <c r="A1151" s="191" t="s">
        <v>599</v>
      </c>
      <c r="B1151" s="191" t="s">
        <v>100</v>
      </c>
      <c r="C1151" s="191" t="s">
        <v>575</v>
      </c>
      <c r="D1151" s="191" t="s">
        <v>2202</v>
      </c>
      <c r="E1151" s="191" t="s">
        <v>2585</v>
      </c>
      <c r="F1151" s="191" t="s">
        <v>2586</v>
      </c>
      <c r="G1151" s="191">
        <v>14</v>
      </c>
      <c r="H1151" s="192">
        <v>0</v>
      </c>
      <c r="I1151" s="192">
        <v>340.46</v>
      </c>
      <c r="J1151" s="192">
        <f>SUM(H1151:I1151)</f>
        <v>340.46</v>
      </c>
    </row>
    <row r="1152" spans="1:10" outlineLevel="2">
      <c r="A1152" s="191" t="s">
        <v>2911</v>
      </c>
      <c r="B1152" s="191" t="s">
        <v>100</v>
      </c>
      <c r="C1152" s="191" t="s">
        <v>575</v>
      </c>
      <c r="D1152" s="191" t="s">
        <v>2203</v>
      </c>
      <c r="E1152" s="191" t="s">
        <v>2617</v>
      </c>
      <c r="F1152" s="191" t="s">
        <v>2617</v>
      </c>
      <c r="G1152" s="191">
        <v>7</v>
      </c>
      <c r="H1152" s="192">
        <v>0</v>
      </c>
      <c r="I1152" s="192">
        <v>133.83000000000001</v>
      </c>
      <c r="J1152" s="192">
        <f>SUM(H1152:I1152)</f>
        <v>133.83000000000001</v>
      </c>
    </row>
    <row r="1153" spans="1:10" outlineLevel="2">
      <c r="A1153" s="191" t="s">
        <v>2911</v>
      </c>
      <c r="B1153" s="191" t="s">
        <v>100</v>
      </c>
      <c r="C1153" s="191" t="s">
        <v>575</v>
      </c>
      <c r="D1153" s="191" t="s">
        <v>2204</v>
      </c>
      <c r="E1153" s="191" t="s">
        <v>1490</v>
      </c>
      <c r="F1153" s="191" t="s">
        <v>1490</v>
      </c>
      <c r="G1153" s="191">
        <v>7</v>
      </c>
      <c r="H1153" s="192">
        <v>0</v>
      </c>
      <c r="I1153" s="192">
        <v>133.83000000000001</v>
      </c>
      <c r="J1153" s="192">
        <f>SUM(H1153:I1153)</f>
        <v>133.83000000000001</v>
      </c>
    </row>
    <row r="1154" spans="1:10" outlineLevel="2">
      <c r="A1154" s="191" t="s">
        <v>600</v>
      </c>
      <c r="B1154" s="191" t="s">
        <v>147</v>
      </c>
      <c r="C1154" s="191" t="s">
        <v>575</v>
      </c>
      <c r="D1154" s="191" t="s">
        <v>2205</v>
      </c>
      <c r="E1154" s="191" t="s">
        <v>2672</v>
      </c>
      <c r="F1154" s="191" t="s">
        <v>2672</v>
      </c>
      <c r="G1154" s="191">
        <v>7</v>
      </c>
      <c r="H1154" s="192">
        <v>100</v>
      </c>
      <c r="I1154" s="192">
        <v>54.26</v>
      </c>
      <c r="J1154" s="192">
        <f>SUM(H1154:I1154)</f>
        <v>154.26</v>
      </c>
    </row>
    <row r="1155" spans="1:10" outlineLevel="2">
      <c r="A1155" s="191" t="s">
        <v>600</v>
      </c>
      <c r="B1155" s="191" t="s">
        <v>147</v>
      </c>
      <c r="C1155" s="191" t="s">
        <v>575</v>
      </c>
      <c r="D1155" s="191" t="s">
        <v>2206</v>
      </c>
      <c r="E1155" s="191" t="s">
        <v>2598</v>
      </c>
      <c r="F1155" s="191" t="s">
        <v>2598</v>
      </c>
      <c r="G1155" s="191">
        <v>7</v>
      </c>
      <c r="H1155" s="192">
        <v>0</v>
      </c>
      <c r="I1155" s="192">
        <v>54.53</v>
      </c>
      <c r="J1155" s="192">
        <f>SUM(H1155:I1155)</f>
        <v>54.53</v>
      </c>
    </row>
    <row r="1156" spans="1:10" outlineLevel="2">
      <c r="A1156" s="191" t="s">
        <v>600</v>
      </c>
      <c r="B1156" s="191" t="s">
        <v>147</v>
      </c>
      <c r="C1156" s="191" t="s">
        <v>575</v>
      </c>
      <c r="D1156" s="191" t="s">
        <v>2206</v>
      </c>
      <c r="E1156" s="191" t="s">
        <v>2625</v>
      </c>
      <c r="F1156" s="191" t="s">
        <v>2625</v>
      </c>
      <c r="G1156" s="191">
        <v>7</v>
      </c>
      <c r="H1156" s="192">
        <v>0</v>
      </c>
      <c r="I1156" s="192">
        <v>54.53</v>
      </c>
      <c r="J1156" s="192">
        <f>SUM(H1156:I1156)</f>
        <v>54.53</v>
      </c>
    </row>
    <row r="1157" spans="1:10" outlineLevel="2">
      <c r="A1157" s="191" t="s">
        <v>600</v>
      </c>
      <c r="B1157" s="191" t="s">
        <v>147</v>
      </c>
      <c r="C1157" s="191" t="s">
        <v>575</v>
      </c>
      <c r="D1157" s="191" t="s">
        <v>2207</v>
      </c>
      <c r="E1157" s="191" t="s">
        <v>2593</v>
      </c>
      <c r="F1157" s="191" t="s">
        <v>1487</v>
      </c>
      <c r="G1157" s="191">
        <v>14</v>
      </c>
      <c r="H1157" s="192">
        <v>0</v>
      </c>
      <c r="I1157" s="192">
        <v>108.52</v>
      </c>
      <c r="J1157" s="192">
        <f>SUM(H1157:I1157)</f>
        <v>108.52</v>
      </c>
    </row>
    <row r="1158" spans="1:10" outlineLevel="2">
      <c r="A1158" s="191" t="s">
        <v>601</v>
      </c>
      <c r="B1158" s="191" t="s">
        <v>100</v>
      </c>
      <c r="C1158" s="191" t="s">
        <v>575</v>
      </c>
      <c r="D1158" s="191" t="s">
        <v>2208</v>
      </c>
      <c r="E1158" s="191" t="s">
        <v>1481</v>
      </c>
      <c r="F1158" s="191" t="s">
        <v>1481</v>
      </c>
      <c r="G1158" s="191">
        <v>7</v>
      </c>
      <c r="H1158" s="192">
        <v>0</v>
      </c>
      <c r="I1158" s="192">
        <v>152.35</v>
      </c>
      <c r="J1158" s="192">
        <f>SUM(H1158:I1158)</f>
        <v>152.35</v>
      </c>
    </row>
    <row r="1159" spans="1:10" outlineLevel="2">
      <c r="A1159" s="191" t="s">
        <v>601</v>
      </c>
      <c r="B1159" s="191" t="s">
        <v>100</v>
      </c>
      <c r="C1159" s="191" t="s">
        <v>575</v>
      </c>
      <c r="D1159" s="191" t="s">
        <v>2209</v>
      </c>
      <c r="E1159" s="191" t="s">
        <v>2698</v>
      </c>
      <c r="F1159" s="191" t="s">
        <v>2696</v>
      </c>
      <c r="G1159" s="191">
        <v>21</v>
      </c>
      <c r="H1159" s="192">
        <v>0</v>
      </c>
      <c r="I1159" s="192">
        <v>459.27</v>
      </c>
      <c r="J1159" s="192">
        <f>SUM(H1159:I1159)</f>
        <v>459.27</v>
      </c>
    </row>
    <row r="1160" spans="1:10" outlineLevel="2">
      <c r="A1160" s="191" t="s">
        <v>601</v>
      </c>
      <c r="B1160" s="191" t="s">
        <v>100</v>
      </c>
      <c r="C1160" s="191" t="s">
        <v>575</v>
      </c>
      <c r="D1160" s="191" t="s">
        <v>2210</v>
      </c>
      <c r="E1160" s="191" t="s">
        <v>2706</v>
      </c>
      <c r="F1160" s="191" t="s">
        <v>2663</v>
      </c>
      <c r="G1160" s="191">
        <v>21</v>
      </c>
      <c r="H1160" s="192">
        <v>0</v>
      </c>
      <c r="I1160" s="192">
        <v>597.09</v>
      </c>
      <c r="J1160" s="192">
        <f>SUM(H1160:I1160)</f>
        <v>597.09</v>
      </c>
    </row>
    <row r="1161" spans="1:10" outlineLevel="2">
      <c r="A1161" s="191" t="s">
        <v>602</v>
      </c>
      <c r="B1161" s="191" t="s">
        <v>116</v>
      </c>
      <c r="C1161" s="191" t="s">
        <v>575</v>
      </c>
      <c r="D1161" s="191" t="s">
        <v>1729</v>
      </c>
      <c r="E1161" s="191" t="s">
        <v>2593</v>
      </c>
      <c r="F1161" s="191" t="s">
        <v>1487</v>
      </c>
      <c r="G1161" s="191" t="s">
        <v>2760</v>
      </c>
      <c r="H1161" s="192">
        <v>0</v>
      </c>
      <c r="I1161" s="192">
        <v>0</v>
      </c>
      <c r="J1161" s="192">
        <f>SUM(H1161:I1161)</f>
        <v>0</v>
      </c>
    </row>
    <row r="1162" spans="1:10" outlineLevel="2">
      <c r="A1162" s="191" t="s">
        <v>602</v>
      </c>
      <c r="B1162" s="191" t="s">
        <v>116</v>
      </c>
      <c r="C1162" s="191" t="s">
        <v>575</v>
      </c>
      <c r="D1162" s="191" t="s">
        <v>2211</v>
      </c>
      <c r="E1162" s="191" t="s">
        <v>2723</v>
      </c>
      <c r="F1162" s="191" t="s">
        <v>2724</v>
      </c>
      <c r="G1162" s="191" t="s">
        <v>2760</v>
      </c>
      <c r="H1162" s="192">
        <v>0</v>
      </c>
      <c r="I1162" s="192">
        <v>0</v>
      </c>
      <c r="J1162" s="192">
        <f>SUM(H1162:I1162)</f>
        <v>0</v>
      </c>
    </row>
    <row r="1163" spans="1:10" outlineLevel="2">
      <c r="A1163" s="191" t="s">
        <v>603</v>
      </c>
      <c r="B1163" s="191" t="s">
        <v>116</v>
      </c>
      <c r="C1163" s="191" t="s">
        <v>575</v>
      </c>
      <c r="D1163" s="191" t="s">
        <v>2168</v>
      </c>
      <c r="E1163" s="191" t="s">
        <v>1482</v>
      </c>
      <c r="F1163" s="191" t="s">
        <v>1482</v>
      </c>
      <c r="G1163" s="191">
        <v>7</v>
      </c>
      <c r="H1163" s="192">
        <v>0</v>
      </c>
      <c r="I1163" s="192">
        <v>63.11</v>
      </c>
      <c r="J1163" s="192">
        <f>SUM(H1163:I1163)</f>
        <v>63.11</v>
      </c>
    </row>
    <row r="1164" spans="1:10" outlineLevel="2">
      <c r="A1164" s="191" t="s">
        <v>603</v>
      </c>
      <c r="B1164" s="191" t="s">
        <v>116</v>
      </c>
      <c r="C1164" s="191" t="s">
        <v>575</v>
      </c>
      <c r="D1164" s="191" t="s">
        <v>1729</v>
      </c>
      <c r="E1164" s="191" t="s">
        <v>2593</v>
      </c>
      <c r="F1164" s="191" t="s">
        <v>1487</v>
      </c>
      <c r="G1164" s="191">
        <v>14</v>
      </c>
      <c r="H1164" s="192">
        <v>100</v>
      </c>
      <c r="I1164" s="192">
        <v>122.14</v>
      </c>
      <c r="J1164" s="192">
        <f>SUM(H1164:I1164)</f>
        <v>222.14</v>
      </c>
    </row>
    <row r="1165" spans="1:10" outlineLevel="2">
      <c r="A1165" s="191" t="s">
        <v>604</v>
      </c>
      <c r="B1165" s="191" t="s">
        <v>100</v>
      </c>
      <c r="C1165" s="191" t="s">
        <v>575</v>
      </c>
      <c r="D1165" s="191" t="s">
        <v>2212</v>
      </c>
      <c r="E1165" s="191" t="s">
        <v>2745</v>
      </c>
      <c r="F1165" s="191" t="s">
        <v>2696</v>
      </c>
      <c r="G1165" s="191">
        <v>14</v>
      </c>
      <c r="H1165" s="192">
        <v>0</v>
      </c>
      <c r="I1165" s="192">
        <v>274.5</v>
      </c>
      <c r="J1165" s="192">
        <f>SUM(H1165:I1165)</f>
        <v>274.5</v>
      </c>
    </row>
    <row r="1166" spans="1:10" outlineLevel="2">
      <c r="A1166" s="191" t="s">
        <v>604</v>
      </c>
      <c r="B1166" s="191" t="s">
        <v>100</v>
      </c>
      <c r="C1166" s="191" t="s">
        <v>575</v>
      </c>
      <c r="D1166" s="191" t="s">
        <v>2182</v>
      </c>
      <c r="E1166" s="191" t="s">
        <v>2700</v>
      </c>
      <c r="F1166" s="191" t="s">
        <v>2614</v>
      </c>
      <c r="G1166" s="191" t="s">
        <v>2760</v>
      </c>
      <c r="H1166" s="192">
        <v>0</v>
      </c>
      <c r="I1166" s="192">
        <v>0</v>
      </c>
      <c r="J1166" s="192">
        <f>SUM(H1166:I1166)</f>
        <v>0</v>
      </c>
    </row>
    <row r="1167" spans="1:10" outlineLevel="2">
      <c r="A1167" s="191" t="s">
        <v>605</v>
      </c>
      <c r="B1167" s="191" t="s">
        <v>100</v>
      </c>
      <c r="C1167" s="191" t="s">
        <v>575</v>
      </c>
      <c r="D1167" s="191" t="s">
        <v>2169</v>
      </c>
      <c r="E1167" s="191" t="s">
        <v>1492</v>
      </c>
      <c r="F1167" s="191" t="s">
        <v>2590</v>
      </c>
      <c r="G1167" s="191">
        <v>21</v>
      </c>
      <c r="H1167" s="192">
        <v>0</v>
      </c>
      <c r="I1167" s="192">
        <v>204.09</v>
      </c>
      <c r="J1167" s="192">
        <f>SUM(H1167:I1167)</f>
        <v>204.09</v>
      </c>
    </row>
    <row r="1168" spans="1:10" outlineLevel="2">
      <c r="A1168" s="191" t="s">
        <v>606</v>
      </c>
      <c r="B1168" s="191" t="s">
        <v>100</v>
      </c>
      <c r="C1168" s="191" t="s">
        <v>575</v>
      </c>
      <c r="D1168" s="191" t="s">
        <v>2213</v>
      </c>
      <c r="E1168" s="191" t="s">
        <v>2746</v>
      </c>
      <c r="F1168" s="191" t="s">
        <v>2648</v>
      </c>
      <c r="G1168" s="191">
        <v>14</v>
      </c>
      <c r="H1168" s="192">
        <v>0</v>
      </c>
      <c r="I1168" s="192">
        <v>304.7</v>
      </c>
      <c r="J1168" s="192">
        <f>SUM(H1168:I1168)</f>
        <v>304.7</v>
      </c>
    </row>
    <row r="1169" spans="1:10" outlineLevel="2">
      <c r="A1169" s="191" t="s">
        <v>606</v>
      </c>
      <c r="B1169" s="191" t="s">
        <v>100</v>
      </c>
      <c r="C1169" s="191" t="s">
        <v>575</v>
      </c>
      <c r="D1169" s="191" t="s">
        <v>2214</v>
      </c>
      <c r="E1169" s="191" t="s">
        <v>2698</v>
      </c>
      <c r="F1169" s="191" t="s">
        <v>2745</v>
      </c>
      <c r="G1169" s="191">
        <v>14</v>
      </c>
      <c r="H1169" s="192">
        <v>0</v>
      </c>
      <c r="I1169" s="192">
        <v>306.18</v>
      </c>
      <c r="J1169" s="192">
        <f>SUM(H1169:I1169)</f>
        <v>306.18</v>
      </c>
    </row>
    <row r="1170" spans="1:10" outlineLevel="2">
      <c r="A1170" s="191" t="s">
        <v>606</v>
      </c>
      <c r="B1170" s="191" t="s">
        <v>100</v>
      </c>
      <c r="C1170" s="191" t="s">
        <v>575</v>
      </c>
      <c r="D1170" s="191" t="s">
        <v>2215</v>
      </c>
      <c r="E1170" s="191" t="s">
        <v>1492</v>
      </c>
      <c r="F1170" s="191" t="s">
        <v>2601</v>
      </c>
      <c r="G1170" s="191">
        <v>14</v>
      </c>
      <c r="H1170" s="192">
        <v>0</v>
      </c>
      <c r="I1170" s="192">
        <v>306.18</v>
      </c>
      <c r="J1170" s="192">
        <f>SUM(H1170:I1170)</f>
        <v>306.18</v>
      </c>
    </row>
    <row r="1171" spans="1:10" outlineLevel="1">
      <c r="A1171" s="193" t="s">
        <v>3027</v>
      </c>
      <c r="B1171" s="194"/>
      <c r="C1171" s="194"/>
      <c r="D1171" s="194"/>
      <c r="E1171" s="194"/>
      <c r="F1171" s="194"/>
      <c r="G1171" s="194">
        <f>SUBTOTAL(9,G1095:G1170)</f>
        <v>910</v>
      </c>
      <c r="H1171" s="195">
        <f>SUBTOTAL(9,H1095:H1170)</f>
        <v>1200</v>
      </c>
      <c r="I1171" s="195">
        <f>SUBTOTAL(9,I1095:I1170)</f>
        <v>16444.540000000005</v>
      </c>
      <c r="J1171" s="195">
        <f>SUBTOTAL(9,J1095:J1170)</f>
        <v>17644.540000000005</v>
      </c>
    </row>
    <row r="1172" spans="1:10" outlineLevel="2">
      <c r="A1172" s="191" t="s">
        <v>609</v>
      </c>
      <c r="B1172" s="191" t="s">
        <v>607</v>
      </c>
      <c r="C1172" s="191" t="s">
        <v>608</v>
      </c>
      <c r="D1172" s="191" t="s">
        <v>2216</v>
      </c>
      <c r="E1172" s="191" t="s">
        <v>2627</v>
      </c>
      <c r="F1172" s="191" t="s">
        <v>2627</v>
      </c>
      <c r="G1172" s="191">
        <v>7</v>
      </c>
      <c r="H1172" s="192">
        <v>0</v>
      </c>
      <c r="I1172" s="192">
        <v>170.23</v>
      </c>
      <c r="J1172" s="192">
        <f>SUM(H1172:I1172)</f>
        <v>170.23</v>
      </c>
    </row>
    <row r="1173" spans="1:10" outlineLevel="2">
      <c r="A1173" s="191" t="s">
        <v>609</v>
      </c>
      <c r="B1173" s="191" t="s">
        <v>607</v>
      </c>
      <c r="C1173" s="191" t="s">
        <v>608</v>
      </c>
      <c r="D1173" s="191" t="s">
        <v>2217</v>
      </c>
      <c r="E1173" s="191" t="s">
        <v>2674</v>
      </c>
      <c r="F1173" s="191" t="s">
        <v>2587</v>
      </c>
      <c r="G1173" s="191">
        <v>14</v>
      </c>
      <c r="H1173" s="192">
        <v>0</v>
      </c>
      <c r="I1173" s="192">
        <v>340.46</v>
      </c>
      <c r="J1173" s="192">
        <f>SUM(H1173:I1173)</f>
        <v>340.46</v>
      </c>
    </row>
    <row r="1174" spans="1:10" outlineLevel="2">
      <c r="A1174" s="191" t="s">
        <v>609</v>
      </c>
      <c r="B1174" s="191" t="s">
        <v>607</v>
      </c>
      <c r="C1174" s="191" t="s">
        <v>608</v>
      </c>
      <c r="D1174" s="191" t="s">
        <v>2218</v>
      </c>
      <c r="E1174" s="191" t="s">
        <v>2747</v>
      </c>
      <c r="F1174" s="191" t="s">
        <v>2643</v>
      </c>
      <c r="G1174" s="191">
        <v>14</v>
      </c>
      <c r="H1174" s="192">
        <v>0</v>
      </c>
      <c r="I1174" s="192">
        <v>444.78</v>
      </c>
      <c r="J1174" s="192">
        <f>SUM(H1174:I1174)</f>
        <v>444.78</v>
      </c>
    </row>
    <row r="1175" spans="1:10" outlineLevel="2">
      <c r="A1175" s="191" t="s">
        <v>609</v>
      </c>
      <c r="B1175" s="191" t="s">
        <v>607</v>
      </c>
      <c r="C1175" s="191" t="s">
        <v>608</v>
      </c>
      <c r="D1175" s="191" t="s">
        <v>610</v>
      </c>
      <c r="E1175" s="191" t="s">
        <v>2716</v>
      </c>
      <c r="F1175" s="191" t="s">
        <v>1488</v>
      </c>
      <c r="G1175" s="191">
        <v>21</v>
      </c>
      <c r="H1175" s="192">
        <v>0</v>
      </c>
      <c r="I1175" s="192">
        <v>510.69</v>
      </c>
      <c r="J1175" s="192">
        <f>SUM(H1175:I1175)</f>
        <v>510.69</v>
      </c>
    </row>
    <row r="1176" spans="1:10" outlineLevel="2">
      <c r="A1176" s="191" t="s">
        <v>2912</v>
      </c>
      <c r="B1176" s="191" t="s">
        <v>607</v>
      </c>
      <c r="C1176" s="191" t="s">
        <v>608</v>
      </c>
      <c r="D1176" s="191" t="s">
        <v>2218</v>
      </c>
      <c r="E1176" s="191" t="s">
        <v>2747</v>
      </c>
      <c r="F1176" s="191" t="s">
        <v>2643</v>
      </c>
      <c r="G1176" s="191">
        <v>14</v>
      </c>
      <c r="H1176" s="192">
        <v>0</v>
      </c>
      <c r="I1176" s="192">
        <v>314.8</v>
      </c>
      <c r="J1176" s="192">
        <f>SUM(H1176:I1176)</f>
        <v>314.8</v>
      </c>
    </row>
    <row r="1177" spans="1:10" outlineLevel="2">
      <c r="A1177" s="191" t="s">
        <v>611</v>
      </c>
      <c r="B1177" s="191" t="s">
        <v>116</v>
      </c>
      <c r="C1177" s="191" t="s">
        <v>608</v>
      </c>
      <c r="D1177" s="191" t="s">
        <v>2219</v>
      </c>
      <c r="E1177" s="191" t="s">
        <v>2744</v>
      </c>
      <c r="F1177" s="191" t="s">
        <v>2732</v>
      </c>
      <c r="G1177" s="191">
        <v>14</v>
      </c>
      <c r="H1177" s="192">
        <v>0</v>
      </c>
      <c r="I1177" s="192">
        <v>126.22</v>
      </c>
      <c r="J1177" s="192">
        <f>SUM(H1177:I1177)</f>
        <v>126.22</v>
      </c>
    </row>
    <row r="1178" spans="1:10" outlineLevel="2">
      <c r="A1178" s="191" t="s">
        <v>611</v>
      </c>
      <c r="B1178" s="191" t="s">
        <v>189</v>
      </c>
      <c r="C1178" s="191" t="s">
        <v>608</v>
      </c>
      <c r="D1178" s="191" t="s">
        <v>2046</v>
      </c>
      <c r="E1178" s="191" t="s">
        <v>1499</v>
      </c>
      <c r="F1178" s="191" t="s">
        <v>1499</v>
      </c>
      <c r="G1178" s="191">
        <v>7</v>
      </c>
      <c r="H1178" s="192">
        <v>0</v>
      </c>
      <c r="I1178" s="192">
        <v>67.86</v>
      </c>
      <c r="J1178" s="192">
        <f>SUM(H1178:I1178)</f>
        <v>67.86</v>
      </c>
    </row>
    <row r="1179" spans="1:10" outlineLevel="2">
      <c r="A1179" s="191" t="s">
        <v>611</v>
      </c>
      <c r="B1179" s="191" t="s">
        <v>189</v>
      </c>
      <c r="C1179" s="191" t="s">
        <v>608</v>
      </c>
      <c r="D1179" s="191" t="s">
        <v>2220</v>
      </c>
      <c r="E1179" s="191" t="s">
        <v>2642</v>
      </c>
      <c r="F1179" s="191" t="s">
        <v>2642</v>
      </c>
      <c r="G1179" s="191">
        <v>7</v>
      </c>
      <c r="H1179" s="192">
        <v>0</v>
      </c>
      <c r="I1179" s="192">
        <v>87.49</v>
      </c>
      <c r="J1179" s="192">
        <f>SUM(H1179:I1179)</f>
        <v>87.49</v>
      </c>
    </row>
    <row r="1180" spans="1:10" outlineLevel="2">
      <c r="A1180" s="191" t="s">
        <v>611</v>
      </c>
      <c r="B1180" s="191" t="s">
        <v>189</v>
      </c>
      <c r="C1180" s="191" t="s">
        <v>608</v>
      </c>
      <c r="D1180" s="191" t="s">
        <v>2221</v>
      </c>
      <c r="E1180" s="191" t="s">
        <v>2630</v>
      </c>
      <c r="F1180" s="191" t="s">
        <v>2617</v>
      </c>
      <c r="G1180" s="191">
        <v>14</v>
      </c>
      <c r="H1180" s="192">
        <v>0</v>
      </c>
      <c r="I1180" s="192">
        <v>135.72</v>
      </c>
      <c r="J1180" s="192">
        <f>SUM(H1180:I1180)</f>
        <v>135.72</v>
      </c>
    </row>
    <row r="1181" spans="1:10" outlineLevel="2">
      <c r="A1181" s="191" t="s">
        <v>611</v>
      </c>
      <c r="B1181" s="191" t="s">
        <v>189</v>
      </c>
      <c r="C1181" s="191" t="s">
        <v>608</v>
      </c>
      <c r="D1181" s="191" t="s">
        <v>2222</v>
      </c>
      <c r="E1181" s="191" t="s">
        <v>2718</v>
      </c>
      <c r="F1181" s="191" t="s">
        <v>1494</v>
      </c>
      <c r="G1181" s="191">
        <v>14</v>
      </c>
      <c r="H1181" s="192">
        <v>0</v>
      </c>
      <c r="I1181" s="192">
        <v>135.72</v>
      </c>
      <c r="J1181" s="192">
        <f>SUM(H1181:I1181)</f>
        <v>135.72</v>
      </c>
    </row>
    <row r="1182" spans="1:10" outlineLevel="2">
      <c r="A1182" s="191" t="s">
        <v>612</v>
      </c>
      <c r="B1182" s="191" t="s">
        <v>607</v>
      </c>
      <c r="C1182" s="191" t="s">
        <v>608</v>
      </c>
      <c r="D1182" s="191" t="s">
        <v>2223</v>
      </c>
      <c r="E1182" s="191" t="s">
        <v>1480</v>
      </c>
      <c r="F1182" s="191" t="s">
        <v>1480</v>
      </c>
      <c r="G1182" s="191">
        <v>7</v>
      </c>
      <c r="H1182" s="192">
        <v>0</v>
      </c>
      <c r="I1182" s="192">
        <v>156.02000000000001</v>
      </c>
      <c r="J1182" s="192">
        <f>SUM(H1182:I1182)</f>
        <v>156.02000000000001</v>
      </c>
    </row>
    <row r="1183" spans="1:10" outlineLevel="2">
      <c r="A1183" s="191" t="s">
        <v>612</v>
      </c>
      <c r="B1183" s="191" t="s">
        <v>607</v>
      </c>
      <c r="C1183" s="191" t="s">
        <v>608</v>
      </c>
      <c r="D1183" s="191" t="s">
        <v>2224</v>
      </c>
      <c r="E1183" s="191" t="s">
        <v>2711</v>
      </c>
      <c r="F1183" s="191" t="s">
        <v>2589</v>
      </c>
      <c r="G1183" s="191">
        <v>14</v>
      </c>
      <c r="H1183" s="192">
        <v>0</v>
      </c>
      <c r="I1183" s="192">
        <v>317.48</v>
      </c>
      <c r="J1183" s="192">
        <f>SUM(H1183:I1183)</f>
        <v>317.48</v>
      </c>
    </row>
    <row r="1184" spans="1:10" outlineLevel="2">
      <c r="A1184" s="191" t="s">
        <v>612</v>
      </c>
      <c r="B1184" s="191" t="s">
        <v>607</v>
      </c>
      <c r="C1184" s="191" t="s">
        <v>608</v>
      </c>
      <c r="D1184" s="191" t="s">
        <v>2225</v>
      </c>
      <c r="E1184" s="191" t="s">
        <v>2644</v>
      </c>
      <c r="F1184" s="191" t="s">
        <v>2643</v>
      </c>
      <c r="G1184" s="191">
        <v>28</v>
      </c>
      <c r="H1184" s="192">
        <v>0</v>
      </c>
      <c r="I1184" s="192">
        <v>834.4</v>
      </c>
      <c r="J1184" s="192">
        <f>SUM(H1184:I1184)</f>
        <v>834.4</v>
      </c>
    </row>
    <row r="1185" spans="1:10" outlineLevel="2">
      <c r="A1185" s="191" t="s">
        <v>614</v>
      </c>
      <c r="B1185" s="191" t="s">
        <v>607</v>
      </c>
      <c r="C1185" s="191" t="s">
        <v>608</v>
      </c>
      <c r="D1185" s="191" t="s">
        <v>2226</v>
      </c>
      <c r="E1185" s="191" t="s">
        <v>1496</v>
      </c>
      <c r="F1185" s="191" t="s">
        <v>1496</v>
      </c>
      <c r="G1185" s="191">
        <v>7</v>
      </c>
      <c r="H1185" s="192">
        <v>0</v>
      </c>
      <c r="I1185" s="192">
        <v>175.28</v>
      </c>
      <c r="J1185" s="192">
        <f>SUM(H1185:I1185)</f>
        <v>175.28</v>
      </c>
    </row>
    <row r="1186" spans="1:10" outlineLevel="2">
      <c r="A1186" s="191" t="s">
        <v>614</v>
      </c>
      <c r="B1186" s="191" t="s">
        <v>607</v>
      </c>
      <c r="C1186" s="191" t="s">
        <v>608</v>
      </c>
      <c r="D1186" s="191" t="s">
        <v>2226</v>
      </c>
      <c r="E1186" s="191" t="s">
        <v>2731</v>
      </c>
      <c r="F1186" s="191" t="s">
        <v>2606</v>
      </c>
      <c r="G1186" s="191">
        <v>21</v>
      </c>
      <c r="H1186" s="192">
        <v>0</v>
      </c>
      <c r="I1186" s="192">
        <v>525.84</v>
      </c>
      <c r="J1186" s="192">
        <f>SUM(H1186:I1186)</f>
        <v>525.84</v>
      </c>
    </row>
    <row r="1187" spans="1:10" outlineLevel="2">
      <c r="A1187" s="191" t="s">
        <v>614</v>
      </c>
      <c r="B1187" s="191" t="s">
        <v>607</v>
      </c>
      <c r="C1187" s="191" t="s">
        <v>608</v>
      </c>
      <c r="D1187" s="191" t="s">
        <v>613</v>
      </c>
      <c r="E1187" s="191" t="s">
        <v>2644</v>
      </c>
      <c r="F1187" s="191" t="s">
        <v>2643</v>
      </c>
      <c r="G1187" s="191">
        <v>28</v>
      </c>
      <c r="H1187" s="192">
        <v>0</v>
      </c>
      <c r="I1187" s="192">
        <v>915.96</v>
      </c>
      <c r="J1187" s="192">
        <f>SUM(H1187:I1187)</f>
        <v>915.96</v>
      </c>
    </row>
    <row r="1188" spans="1:10" outlineLevel="2">
      <c r="A1188" s="191" t="s">
        <v>615</v>
      </c>
      <c r="B1188" s="191" t="s">
        <v>189</v>
      </c>
      <c r="C1188" s="191" t="s">
        <v>608</v>
      </c>
      <c r="D1188" s="191" t="s">
        <v>2227</v>
      </c>
      <c r="E1188" s="191" t="s">
        <v>2640</v>
      </c>
      <c r="F1188" s="191" t="s">
        <v>2640</v>
      </c>
      <c r="G1188" s="191">
        <v>7</v>
      </c>
      <c r="H1188" s="192">
        <v>0</v>
      </c>
      <c r="I1188" s="192">
        <v>67.790000000000006</v>
      </c>
      <c r="J1188" s="192">
        <f>SUM(H1188:I1188)</f>
        <v>67.790000000000006</v>
      </c>
    </row>
    <row r="1189" spans="1:10" outlineLevel="2">
      <c r="A1189" s="191" t="s">
        <v>615</v>
      </c>
      <c r="B1189" s="191" t="s">
        <v>189</v>
      </c>
      <c r="C1189" s="191" t="s">
        <v>608</v>
      </c>
      <c r="D1189" s="191" t="s">
        <v>2228</v>
      </c>
      <c r="E1189" s="191" t="s">
        <v>2630</v>
      </c>
      <c r="F1189" s="191" t="s">
        <v>2617</v>
      </c>
      <c r="G1189" s="191">
        <v>14</v>
      </c>
      <c r="H1189" s="192">
        <v>0</v>
      </c>
      <c r="I1189" s="192">
        <v>130.19999999999999</v>
      </c>
      <c r="J1189" s="192">
        <f>SUM(H1189:I1189)</f>
        <v>130.19999999999999</v>
      </c>
    </row>
    <row r="1190" spans="1:10" outlineLevel="2">
      <c r="A1190" s="191" t="s">
        <v>615</v>
      </c>
      <c r="B1190" s="191" t="s">
        <v>189</v>
      </c>
      <c r="C1190" s="191" t="s">
        <v>608</v>
      </c>
      <c r="D1190" s="191" t="s">
        <v>2218</v>
      </c>
      <c r="E1190" s="191" t="s">
        <v>2642</v>
      </c>
      <c r="F1190" s="191" t="s">
        <v>2643</v>
      </c>
      <c r="G1190" s="191">
        <v>21</v>
      </c>
      <c r="H1190" s="192">
        <v>0</v>
      </c>
      <c r="I1190" s="192">
        <v>245.73</v>
      </c>
      <c r="J1190" s="192">
        <f>SUM(H1190:I1190)</f>
        <v>245.73</v>
      </c>
    </row>
    <row r="1191" spans="1:10" outlineLevel="2">
      <c r="A1191" s="191" t="s">
        <v>2913</v>
      </c>
      <c r="B1191" s="191" t="s">
        <v>141</v>
      </c>
      <c r="C1191" s="191" t="s">
        <v>608</v>
      </c>
      <c r="D1191" s="191" t="s">
        <v>2229</v>
      </c>
      <c r="E1191" s="191" t="s">
        <v>2700</v>
      </c>
      <c r="F1191" s="191" t="s">
        <v>2614</v>
      </c>
      <c r="G1191" s="191">
        <v>14</v>
      </c>
      <c r="H1191" s="192">
        <v>0</v>
      </c>
      <c r="I1191" s="192">
        <v>101.44</v>
      </c>
      <c r="J1191" s="192">
        <f>SUM(H1191:I1191)</f>
        <v>101.44</v>
      </c>
    </row>
    <row r="1192" spans="1:10" outlineLevel="2">
      <c r="A1192" s="191" t="s">
        <v>616</v>
      </c>
      <c r="B1192" s="191" t="s">
        <v>607</v>
      </c>
      <c r="C1192" s="191" t="s">
        <v>608</v>
      </c>
      <c r="D1192" s="191" t="s">
        <v>2230</v>
      </c>
      <c r="E1192" s="191" t="s">
        <v>1500</v>
      </c>
      <c r="F1192" s="191" t="s">
        <v>1500</v>
      </c>
      <c r="G1192" s="191">
        <v>7</v>
      </c>
      <c r="H1192" s="192">
        <v>0</v>
      </c>
      <c r="I1192" s="192">
        <v>176.97</v>
      </c>
      <c r="J1192" s="192">
        <f>SUM(H1192:I1192)</f>
        <v>176.97</v>
      </c>
    </row>
    <row r="1193" spans="1:10" outlineLevel="2">
      <c r="A1193" s="191" t="s">
        <v>616</v>
      </c>
      <c r="B1193" s="191" t="s">
        <v>607</v>
      </c>
      <c r="C1193" s="191" t="s">
        <v>608</v>
      </c>
      <c r="D1193" s="191" t="s">
        <v>2230</v>
      </c>
      <c r="E1193" s="191" t="s">
        <v>2725</v>
      </c>
      <c r="F1193" s="191" t="s">
        <v>2725</v>
      </c>
      <c r="G1193" s="191">
        <v>7</v>
      </c>
      <c r="H1193" s="192">
        <v>0</v>
      </c>
      <c r="I1193" s="192">
        <v>176.97</v>
      </c>
      <c r="J1193" s="192">
        <f>SUM(H1193:I1193)</f>
        <v>176.97</v>
      </c>
    </row>
    <row r="1194" spans="1:10" outlineLevel="2">
      <c r="A1194" s="191" t="s">
        <v>616</v>
      </c>
      <c r="B1194" s="191" t="s">
        <v>607</v>
      </c>
      <c r="C1194" s="191" t="s">
        <v>608</v>
      </c>
      <c r="D1194" s="191" t="s">
        <v>2231</v>
      </c>
      <c r="E1194" s="191" t="s">
        <v>2718</v>
      </c>
      <c r="F1194" s="191" t="s">
        <v>1494</v>
      </c>
      <c r="G1194" s="191">
        <v>14</v>
      </c>
      <c r="H1194" s="192">
        <v>0</v>
      </c>
      <c r="I1194" s="192">
        <v>342.14</v>
      </c>
      <c r="J1194" s="192">
        <f>SUM(H1194:I1194)</f>
        <v>342.14</v>
      </c>
    </row>
    <row r="1195" spans="1:10" outlineLevel="2">
      <c r="A1195" s="191" t="s">
        <v>616</v>
      </c>
      <c r="B1195" s="191" t="s">
        <v>607</v>
      </c>
      <c r="C1195" s="191" t="s">
        <v>608</v>
      </c>
      <c r="D1195" s="191" t="s">
        <v>622</v>
      </c>
      <c r="E1195" s="191" t="s">
        <v>2687</v>
      </c>
      <c r="F1195" s="191" t="s">
        <v>2661</v>
      </c>
      <c r="G1195" s="191">
        <v>21</v>
      </c>
      <c r="H1195" s="192">
        <v>0</v>
      </c>
      <c r="I1195" s="192">
        <v>510.69</v>
      </c>
      <c r="J1195" s="192">
        <f>SUM(H1195:I1195)</f>
        <v>510.69</v>
      </c>
    </row>
    <row r="1196" spans="1:10" outlineLevel="2">
      <c r="A1196" s="191" t="s">
        <v>2914</v>
      </c>
      <c r="B1196" s="191" t="s">
        <v>112</v>
      </c>
      <c r="C1196" s="191" t="s">
        <v>608</v>
      </c>
      <c r="D1196" s="191" t="s">
        <v>2232</v>
      </c>
      <c r="E1196" s="191" t="s">
        <v>2594</v>
      </c>
      <c r="F1196" s="191" t="s">
        <v>2588</v>
      </c>
      <c r="G1196" s="191" t="s">
        <v>2760</v>
      </c>
      <c r="H1196" s="192">
        <v>0</v>
      </c>
      <c r="I1196" s="192">
        <v>0</v>
      </c>
      <c r="J1196" s="192">
        <f>SUM(H1196:I1196)</f>
        <v>0</v>
      </c>
    </row>
    <row r="1197" spans="1:10" outlineLevel="2">
      <c r="A1197" s="191" t="s">
        <v>2914</v>
      </c>
      <c r="B1197" s="191" t="s">
        <v>116</v>
      </c>
      <c r="C1197" s="191" t="s">
        <v>608</v>
      </c>
      <c r="D1197" s="191" t="s">
        <v>2233</v>
      </c>
      <c r="E1197" s="191" t="s">
        <v>1503</v>
      </c>
      <c r="F1197" s="191" t="s">
        <v>1504</v>
      </c>
      <c r="G1197" s="191">
        <v>21</v>
      </c>
      <c r="H1197" s="192">
        <v>0</v>
      </c>
      <c r="I1197" s="192">
        <v>202.86</v>
      </c>
      <c r="J1197" s="192">
        <f>SUM(H1197:I1197)</f>
        <v>202.86</v>
      </c>
    </row>
    <row r="1198" spans="1:10" outlineLevel="2">
      <c r="A1198" s="191" t="s">
        <v>2914</v>
      </c>
      <c r="B1198" s="191" t="s">
        <v>116</v>
      </c>
      <c r="C1198" s="191" t="s">
        <v>608</v>
      </c>
      <c r="D1198" s="191" t="s">
        <v>2234</v>
      </c>
      <c r="E1198" s="191" t="s">
        <v>2638</v>
      </c>
      <c r="F1198" s="191" t="s">
        <v>2630</v>
      </c>
      <c r="G1198" s="191">
        <v>21</v>
      </c>
      <c r="H1198" s="192">
        <v>0</v>
      </c>
      <c r="I1198" s="192">
        <v>190.26</v>
      </c>
      <c r="J1198" s="192">
        <f>SUM(H1198:I1198)</f>
        <v>190.26</v>
      </c>
    </row>
    <row r="1199" spans="1:10" outlineLevel="2">
      <c r="A1199" s="191" t="s">
        <v>2915</v>
      </c>
      <c r="B1199" s="191" t="s">
        <v>607</v>
      </c>
      <c r="C1199" s="191" t="s">
        <v>608</v>
      </c>
      <c r="D1199" s="191" t="s">
        <v>2235</v>
      </c>
      <c r="E1199" s="191" t="s">
        <v>2679</v>
      </c>
      <c r="F1199" s="191" t="s">
        <v>2679</v>
      </c>
      <c r="G1199" s="191">
        <v>7</v>
      </c>
      <c r="H1199" s="192">
        <v>0</v>
      </c>
      <c r="I1199" s="192">
        <v>160.44</v>
      </c>
      <c r="J1199" s="192">
        <f>SUM(H1199:I1199)</f>
        <v>160.44</v>
      </c>
    </row>
    <row r="1200" spans="1:10" outlineLevel="2">
      <c r="A1200" s="191" t="s">
        <v>2915</v>
      </c>
      <c r="B1200" s="191" t="s">
        <v>607</v>
      </c>
      <c r="C1200" s="191" t="s">
        <v>608</v>
      </c>
      <c r="D1200" s="191" t="s">
        <v>2233</v>
      </c>
      <c r="E1200" s="191" t="s">
        <v>1504</v>
      </c>
      <c r="F1200" s="191" t="s">
        <v>1504</v>
      </c>
      <c r="G1200" s="191">
        <v>7</v>
      </c>
      <c r="H1200" s="192">
        <v>0</v>
      </c>
      <c r="I1200" s="192">
        <v>160.44</v>
      </c>
      <c r="J1200" s="192">
        <f>SUM(H1200:I1200)</f>
        <v>160.44</v>
      </c>
    </row>
    <row r="1201" spans="1:10" outlineLevel="2">
      <c r="A1201" s="191" t="s">
        <v>2916</v>
      </c>
      <c r="B1201" s="191" t="s">
        <v>607</v>
      </c>
      <c r="C1201" s="191" t="s">
        <v>608</v>
      </c>
      <c r="D1201" s="191" t="s">
        <v>1556</v>
      </c>
      <c r="E1201" s="191" t="s">
        <v>2633</v>
      </c>
      <c r="F1201" s="191" t="s">
        <v>2633</v>
      </c>
      <c r="G1201" s="191">
        <v>7</v>
      </c>
      <c r="H1201" s="192">
        <v>0</v>
      </c>
      <c r="I1201" s="192">
        <v>132.83000000000001</v>
      </c>
      <c r="J1201" s="192">
        <f>SUM(H1201:I1201)</f>
        <v>132.83000000000001</v>
      </c>
    </row>
    <row r="1202" spans="1:10" outlineLevel="2">
      <c r="A1202" s="191" t="s">
        <v>617</v>
      </c>
      <c r="B1202" s="191" t="s">
        <v>607</v>
      </c>
      <c r="C1202" s="191" t="s">
        <v>608</v>
      </c>
      <c r="D1202" s="191" t="s">
        <v>2232</v>
      </c>
      <c r="E1202" s="191" t="s">
        <v>2594</v>
      </c>
      <c r="F1202" s="191" t="s">
        <v>2588</v>
      </c>
      <c r="G1202" s="191">
        <v>14</v>
      </c>
      <c r="H1202" s="192">
        <v>0</v>
      </c>
      <c r="I1202" s="192">
        <v>355.8</v>
      </c>
      <c r="J1202" s="192">
        <f>SUM(H1202:I1202)</f>
        <v>355.8</v>
      </c>
    </row>
    <row r="1203" spans="1:10" outlineLevel="2">
      <c r="A1203" s="191" t="s">
        <v>617</v>
      </c>
      <c r="B1203" s="191" t="s">
        <v>607</v>
      </c>
      <c r="C1203" s="191" t="s">
        <v>608</v>
      </c>
      <c r="D1203" s="191" t="s">
        <v>1915</v>
      </c>
      <c r="E1203" s="191" t="s">
        <v>1503</v>
      </c>
      <c r="F1203" s="191" t="s">
        <v>1504</v>
      </c>
      <c r="G1203" s="191">
        <v>21</v>
      </c>
      <c r="H1203" s="192">
        <v>0</v>
      </c>
      <c r="I1203" s="192">
        <v>533.70000000000005</v>
      </c>
      <c r="J1203" s="192">
        <f>SUM(H1203:I1203)</f>
        <v>533.70000000000005</v>
      </c>
    </row>
    <row r="1204" spans="1:10" outlineLevel="2">
      <c r="A1204" s="191" t="s">
        <v>617</v>
      </c>
      <c r="B1204" s="191" t="s">
        <v>607</v>
      </c>
      <c r="C1204" s="191" t="s">
        <v>608</v>
      </c>
      <c r="D1204" s="191" t="s">
        <v>610</v>
      </c>
      <c r="E1204" s="191" t="s">
        <v>2716</v>
      </c>
      <c r="F1204" s="191" t="s">
        <v>1488</v>
      </c>
      <c r="G1204" s="191">
        <v>21</v>
      </c>
      <c r="H1204" s="192">
        <v>0</v>
      </c>
      <c r="I1204" s="192">
        <v>533.70000000000005</v>
      </c>
      <c r="J1204" s="192">
        <f>SUM(H1204:I1204)</f>
        <v>533.70000000000005</v>
      </c>
    </row>
    <row r="1205" spans="1:10" outlineLevel="2">
      <c r="A1205" s="191" t="s">
        <v>2917</v>
      </c>
      <c r="B1205" s="191" t="s">
        <v>141</v>
      </c>
      <c r="C1205" s="191" t="s">
        <v>608</v>
      </c>
      <c r="D1205" s="191" t="s">
        <v>2229</v>
      </c>
      <c r="E1205" s="191" t="s">
        <v>2700</v>
      </c>
      <c r="F1205" s="191" t="s">
        <v>2614</v>
      </c>
      <c r="G1205" s="191">
        <v>14</v>
      </c>
      <c r="H1205" s="192">
        <v>0</v>
      </c>
      <c r="I1205" s="192">
        <v>98.18</v>
      </c>
      <c r="J1205" s="192">
        <f>SUM(H1205:I1205)</f>
        <v>98.18</v>
      </c>
    </row>
    <row r="1206" spans="1:10" outlineLevel="2">
      <c r="A1206" s="191" t="s">
        <v>618</v>
      </c>
      <c r="B1206" s="191" t="s">
        <v>607</v>
      </c>
      <c r="C1206" s="191" t="s">
        <v>608</v>
      </c>
      <c r="D1206" s="191" t="s">
        <v>2231</v>
      </c>
      <c r="E1206" s="191" t="s">
        <v>2721</v>
      </c>
      <c r="F1206" s="191" t="s">
        <v>2718</v>
      </c>
      <c r="G1206" s="191">
        <v>14</v>
      </c>
      <c r="H1206" s="192">
        <v>0</v>
      </c>
      <c r="I1206" s="192">
        <v>274.5</v>
      </c>
      <c r="J1206" s="192">
        <f>SUM(H1206:I1206)</f>
        <v>274.5</v>
      </c>
    </row>
    <row r="1207" spans="1:10" outlineLevel="2">
      <c r="A1207" s="191" t="s">
        <v>619</v>
      </c>
      <c r="B1207" s="191" t="s">
        <v>607</v>
      </c>
      <c r="C1207" s="191" t="s">
        <v>608</v>
      </c>
      <c r="D1207" s="191" t="s">
        <v>2230</v>
      </c>
      <c r="E1207" s="191" t="s">
        <v>1500</v>
      </c>
      <c r="F1207" s="191" t="s">
        <v>1500</v>
      </c>
      <c r="G1207" s="191">
        <v>7</v>
      </c>
      <c r="H1207" s="192">
        <v>0</v>
      </c>
      <c r="I1207" s="192">
        <v>140.68</v>
      </c>
      <c r="J1207" s="192">
        <f>SUM(H1207:I1207)</f>
        <v>140.68</v>
      </c>
    </row>
    <row r="1208" spans="1:10" outlineLevel="2">
      <c r="A1208" s="191" t="s">
        <v>619</v>
      </c>
      <c r="B1208" s="191" t="s">
        <v>607</v>
      </c>
      <c r="C1208" s="191" t="s">
        <v>608</v>
      </c>
      <c r="D1208" s="191" t="s">
        <v>2230</v>
      </c>
      <c r="E1208" s="191" t="s">
        <v>2725</v>
      </c>
      <c r="F1208" s="191" t="s">
        <v>2725</v>
      </c>
      <c r="G1208" s="191">
        <v>7</v>
      </c>
      <c r="H1208" s="192">
        <v>0</v>
      </c>
      <c r="I1208" s="192">
        <v>140.68</v>
      </c>
      <c r="J1208" s="192">
        <f>SUM(H1208:I1208)</f>
        <v>140.68</v>
      </c>
    </row>
    <row r="1209" spans="1:10" outlineLevel="2">
      <c r="A1209" s="191" t="s">
        <v>619</v>
      </c>
      <c r="B1209" s="191" t="s">
        <v>607</v>
      </c>
      <c r="C1209" s="191" t="s">
        <v>608</v>
      </c>
      <c r="D1209" s="191" t="s">
        <v>2236</v>
      </c>
      <c r="E1209" s="191" t="s">
        <v>2594</v>
      </c>
      <c r="F1209" s="191" t="s">
        <v>2588</v>
      </c>
      <c r="G1209" s="191" t="s">
        <v>2760</v>
      </c>
      <c r="H1209" s="192">
        <v>0</v>
      </c>
      <c r="I1209" s="192">
        <v>0</v>
      </c>
      <c r="J1209" s="192">
        <f>SUM(H1209:I1209)</f>
        <v>0</v>
      </c>
    </row>
    <row r="1210" spans="1:10" outlineLevel="2">
      <c r="A1210" s="191" t="s">
        <v>2918</v>
      </c>
      <c r="B1210" s="191" t="s">
        <v>112</v>
      </c>
      <c r="C1210" s="191" t="s">
        <v>608</v>
      </c>
      <c r="D1210" s="191" t="s">
        <v>2231</v>
      </c>
      <c r="E1210" s="191" t="s">
        <v>2721</v>
      </c>
      <c r="F1210" s="191" t="s">
        <v>1480</v>
      </c>
      <c r="G1210" s="191">
        <v>28</v>
      </c>
      <c r="H1210" s="192">
        <v>0</v>
      </c>
      <c r="I1210" s="192">
        <v>235.88</v>
      </c>
      <c r="J1210" s="192">
        <f>SUM(H1210:I1210)</f>
        <v>235.88</v>
      </c>
    </row>
    <row r="1211" spans="1:10" outlineLevel="2">
      <c r="A1211" s="191" t="s">
        <v>620</v>
      </c>
      <c r="B1211" s="191" t="s">
        <v>621</v>
      </c>
      <c r="C1211" s="191" t="s">
        <v>608</v>
      </c>
      <c r="D1211" s="191" t="s">
        <v>2226</v>
      </c>
      <c r="E1211" s="191" t="s">
        <v>1496</v>
      </c>
      <c r="F1211" s="191" t="s">
        <v>1496</v>
      </c>
      <c r="G1211" s="191">
        <v>7</v>
      </c>
      <c r="H1211" s="192">
        <v>0</v>
      </c>
      <c r="I1211" s="192">
        <v>218.25</v>
      </c>
      <c r="J1211" s="192">
        <f>SUM(H1211:I1211)</f>
        <v>218.25</v>
      </c>
    </row>
    <row r="1212" spans="1:10" outlineLevel="2">
      <c r="A1212" s="191" t="s">
        <v>620</v>
      </c>
      <c r="B1212" s="191" t="s">
        <v>621</v>
      </c>
      <c r="C1212" s="191" t="s">
        <v>608</v>
      </c>
      <c r="D1212" s="191" t="s">
        <v>2237</v>
      </c>
      <c r="E1212" s="191" t="s">
        <v>1500</v>
      </c>
      <c r="F1212" s="191" t="s">
        <v>1500</v>
      </c>
      <c r="G1212" s="191">
        <v>7</v>
      </c>
      <c r="H1212" s="192">
        <v>0</v>
      </c>
      <c r="I1212" s="192">
        <v>226.88</v>
      </c>
      <c r="J1212" s="192">
        <f>SUM(H1212:I1212)</f>
        <v>226.88</v>
      </c>
    </row>
    <row r="1213" spans="1:10" outlineLevel="2">
      <c r="A1213" s="191" t="s">
        <v>620</v>
      </c>
      <c r="B1213" s="191" t="s">
        <v>621</v>
      </c>
      <c r="C1213" s="191" t="s">
        <v>608</v>
      </c>
      <c r="D1213" s="191" t="s">
        <v>2237</v>
      </c>
      <c r="E1213" s="191" t="s">
        <v>2725</v>
      </c>
      <c r="F1213" s="191" t="s">
        <v>2725</v>
      </c>
      <c r="G1213" s="191">
        <v>7</v>
      </c>
      <c r="H1213" s="192">
        <v>0</v>
      </c>
      <c r="I1213" s="192">
        <v>226.88</v>
      </c>
      <c r="J1213" s="192">
        <f>SUM(H1213:I1213)</f>
        <v>226.88</v>
      </c>
    </row>
    <row r="1214" spans="1:10" outlineLevel="2">
      <c r="A1214" s="191" t="s">
        <v>620</v>
      </c>
      <c r="B1214" s="191" t="s">
        <v>621</v>
      </c>
      <c r="C1214" s="191" t="s">
        <v>608</v>
      </c>
      <c r="D1214" s="191" t="s">
        <v>622</v>
      </c>
      <c r="E1214" s="191" t="s">
        <v>2687</v>
      </c>
      <c r="F1214" s="191" t="s">
        <v>2661</v>
      </c>
      <c r="G1214" s="191">
        <v>21</v>
      </c>
      <c r="H1214" s="192">
        <v>0</v>
      </c>
      <c r="I1214" s="192">
        <v>654.75</v>
      </c>
      <c r="J1214" s="192">
        <f>SUM(H1214:I1214)</f>
        <v>654.75</v>
      </c>
    </row>
    <row r="1215" spans="1:10" outlineLevel="2">
      <c r="A1215" s="191" t="s">
        <v>620</v>
      </c>
      <c r="B1215" s="191" t="s">
        <v>621</v>
      </c>
      <c r="C1215" s="191" t="s">
        <v>608</v>
      </c>
      <c r="D1215" s="191" t="s">
        <v>2226</v>
      </c>
      <c r="E1215" s="191" t="s">
        <v>2731</v>
      </c>
      <c r="F1215" s="191" t="s">
        <v>2606</v>
      </c>
      <c r="G1215" s="191">
        <v>21</v>
      </c>
      <c r="H1215" s="192">
        <v>0</v>
      </c>
      <c r="I1215" s="192">
        <v>633.63</v>
      </c>
      <c r="J1215" s="192">
        <f>SUM(H1215:I1215)</f>
        <v>633.63</v>
      </c>
    </row>
    <row r="1216" spans="1:10" outlineLevel="2">
      <c r="A1216" s="191" t="s">
        <v>623</v>
      </c>
      <c r="B1216" s="191" t="s">
        <v>189</v>
      </c>
      <c r="C1216" s="191" t="s">
        <v>608</v>
      </c>
      <c r="D1216" s="191" t="s">
        <v>2238</v>
      </c>
      <c r="E1216" s="191" t="s">
        <v>2748</v>
      </c>
      <c r="F1216" s="191" t="s">
        <v>2748</v>
      </c>
      <c r="G1216" s="191">
        <v>7</v>
      </c>
      <c r="H1216" s="192">
        <v>0</v>
      </c>
      <c r="I1216" s="192">
        <v>73.959999999999994</v>
      </c>
      <c r="J1216" s="192">
        <f>SUM(H1216:I1216)</f>
        <v>73.959999999999994</v>
      </c>
    </row>
    <row r="1217" spans="1:10" outlineLevel="2">
      <c r="A1217" s="191" t="s">
        <v>2919</v>
      </c>
      <c r="B1217" s="191" t="s">
        <v>112</v>
      </c>
      <c r="C1217" s="191" t="s">
        <v>608</v>
      </c>
      <c r="D1217" s="191" t="s">
        <v>2232</v>
      </c>
      <c r="E1217" s="191" t="s">
        <v>2594</v>
      </c>
      <c r="F1217" s="191" t="s">
        <v>2588</v>
      </c>
      <c r="G1217" s="191">
        <v>14</v>
      </c>
      <c r="H1217" s="192">
        <v>0</v>
      </c>
      <c r="I1217" s="192">
        <v>117.38</v>
      </c>
      <c r="J1217" s="192">
        <f>SUM(H1217:I1217)</f>
        <v>117.38</v>
      </c>
    </row>
    <row r="1218" spans="1:10" outlineLevel="2">
      <c r="A1218" s="191" t="s">
        <v>624</v>
      </c>
      <c r="B1218" s="191" t="s">
        <v>189</v>
      </c>
      <c r="C1218" s="191" t="s">
        <v>608</v>
      </c>
      <c r="D1218" s="191" t="s">
        <v>2239</v>
      </c>
      <c r="E1218" s="191" t="s">
        <v>2748</v>
      </c>
      <c r="F1218" s="191" t="s">
        <v>2748</v>
      </c>
      <c r="G1218" s="191" t="s">
        <v>2760</v>
      </c>
      <c r="H1218" s="192">
        <v>0</v>
      </c>
      <c r="I1218" s="192">
        <v>0</v>
      </c>
      <c r="J1218" s="192">
        <f>SUM(H1218:I1218)</f>
        <v>0</v>
      </c>
    </row>
    <row r="1219" spans="1:10" outlineLevel="2">
      <c r="A1219" s="191" t="s">
        <v>624</v>
      </c>
      <c r="B1219" s="191" t="s">
        <v>189</v>
      </c>
      <c r="C1219" s="191" t="s">
        <v>608</v>
      </c>
      <c r="D1219" s="191" t="s">
        <v>2240</v>
      </c>
      <c r="E1219" s="191" t="s">
        <v>2591</v>
      </c>
      <c r="F1219" s="191" t="s">
        <v>1486</v>
      </c>
      <c r="G1219" s="191" t="s">
        <v>2760</v>
      </c>
      <c r="H1219" s="192">
        <v>0</v>
      </c>
      <c r="I1219" s="192">
        <v>0</v>
      </c>
      <c r="J1219" s="192">
        <f>SUM(H1219:I1219)</f>
        <v>0</v>
      </c>
    </row>
    <row r="1220" spans="1:10" outlineLevel="2">
      <c r="A1220" s="191" t="s">
        <v>625</v>
      </c>
      <c r="B1220" s="191" t="s">
        <v>607</v>
      </c>
      <c r="C1220" s="191" t="s">
        <v>608</v>
      </c>
      <c r="D1220" s="191" t="s">
        <v>2241</v>
      </c>
      <c r="E1220" s="191" t="s">
        <v>2645</v>
      </c>
      <c r="F1220" s="191" t="s">
        <v>2640</v>
      </c>
      <c r="G1220" s="191">
        <v>14</v>
      </c>
      <c r="H1220" s="192">
        <v>0</v>
      </c>
      <c r="I1220" s="192">
        <v>277.94</v>
      </c>
      <c r="J1220" s="192">
        <f>SUM(H1220:I1220)</f>
        <v>277.94</v>
      </c>
    </row>
    <row r="1221" spans="1:10" outlineLevel="1">
      <c r="A1221" s="193" t="s">
        <v>3028</v>
      </c>
      <c r="B1221" s="194"/>
      <c r="C1221" s="194"/>
      <c r="D1221" s="194"/>
      <c r="E1221" s="194"/>
      <c r="F1221" s="194"/>
      <c r="G1221" s="194">
        <f>SUBTOTAL(9,G1172:G1220)</f>
        <v>623</v>
      </c>
      <c r="H1221" s="195">
        <f>SUBTOTAL(9,H1172:H1220)</f>
        <v>0</v>
      </c>
      <c r="I1221" s="195">
        <f>SUBTOTAL(9,I1172:I1220)</f>
        <v>12600.499999999996</v>
      </c>
      <c r="J1221" s="195">
        <f>SUBTOTAL(9,J1172:J1220)</f>
        <v>12600.499999999996</v>
      </c>
    </row>
    <row r="1222" spans="1:10" outlineLevel="2">
      <c r="A1222" s="191" t="s">
        <v>2920</v>
      </c>
      <c r="B1222" s="191" t="s">
        <v>626</v>
      </c>
      <c r="C1222" s="191" t="s">
        <v>627</v>
      </c>
      <c r="D1222" s="191" t="s">
        <v>2242</v>
      </c>
      <c r="E1222" s="191" t="s">
        <v>2639</v>
      </c>
      <c r="F1222" s="191" t="s">
        <v>2608</v>
      </c>
      <c r="G1222" s="191">
        <v>14</v>
      </c>
      <c r="H1222" s="192">
        <v>0</v>
      </c>
      <c r="I1222" s="192">
        <v>297.88</v>
      </c>
      <c r="J1222" s="192">
        <f>SUM(H1222:I1222)</f>
        <v>297.88</v>
      </c>
    </row>
    <row r="1223" spans="1:10" outlineLevel="2">
      <c r="A1223" s="191" t="s">
        <v>628</v>
      </c>
      <c r="B1223" s="191" t="s">
        <v>147</v>
      </c>
      <c r="C1223" s="191" t="s">
        <v>627</v>
      </c>
      <c r="D1223" s="191" t="s">
        <v>2243</v>
      </c>
      <c r="E1223" s="191" t="s">
        <v>2711</v>
      </c>
      <c r="F1223" s="191" t="s">
        <v>2711</v>
      </c>
      <c r="G1223" s="191">
        <v>7</v>
      </c>
      <c r="H1223" s="192">
        <v>0</v>
      </c>
      <c r="I1223" s="192">
        <v>54.26</v>
      </c>
      <c r="J1223" s="192">
        <f>SUM(H1223:I1223)</f>
        <v>54.26</v>
      </c>
    </row>
    <row r="1224" spans="1:10" outlineLevel="2">
      <c r="A1224" s="191" t="s">
        <v>628</v>
      </c>
      <c r="B1224" s="191" t="s">
        <v>147</v>
      </c>
      <c r="C1224" s="191" t="s">
        <v>627</v>
      </c>
      <c r="D1224" s="191" t="s">
        <v>2244</v>
      </c>
      <c r="E1224" s="191" t="s">
        <v>2652</v>
      </c>
      <c r="F1224" s="191" t="s">
        <v>1481</v>
      </c>
      <c r="G1224" s="191">
        <v>14</v>
      </c>
      <c r="H1224" s="192">
        <v>0</v>
      </c>
      <c r="I1224" s="192">
        <v>108.52</v>
      </c>
      <c r="J1224" s="192">
        <f>SUM(H1224:I1224)</f>
        <v>108.52</v>
      </c>
    </row>
    <row r="1225" spans="1:10" outlineLevel="2">
      <c r="A1225" s="191" t="s">
        <v>628</v>
      </c>
      <c r="B1225" s="191" t="s">
        <v>112</v>
      </c>
      <c r="C1225" s="191" t="s">
        <v>627</v>
      </c>
      <c r="D1225" s="191" t="s">
        <v>2245</v>
      </c>
      <c r="E1225" s="191" t="s">
        <v>1499</v>
      </c>
      <c r="F1225" s="191" t="s">
        <v>1500</v>
      </c>
      <c r="G1225" s="191">
        <v>14</v>
      </c>
      <c r="H1225" s="192">
        <v>100</v>
      </c>
      <c r="I1225" s="192">
        <v>114.14</v>
      </c>
      <c r="J1225" s="192">
        <f>SUM(H1225:I1225)</f>
        <v>214.14</v>
      </c>
    </row>
    <row r="1226" spans="1:10" outlineLevel="2">
      <c r="A1226" s="191" t="s">
        <v>628</v>
      </c>
      <c r="B1226" s="191" t="s">
        <v>112</v>
      </c>
      <c r="C1226" s="191" t="s">
        <v>627</v>
      </c>
      <c r="D1226" s="191" t="s">
        <v>2246</v>
      </c>
      <c r="E1226" s="191" t="s">
        <v>2606</v>
      </c>
      <c r="F1226" s="191" t="s">
        <v>1487</v>
      </c>
      <c r="G1226" s="191">
        <v>21</v>
      </c>
      <c r="H1226" s="192">
        <v>0</v>
      </c>
      <c r="I1226" s="192">
        <v>176.07</v>
      </c>
      <c r="J1226" s="192">
        <f>SUM(H1226:I1226)</f>
        <v>176.07</v>
      </c>
    </row>
    <row r="1227" spans="1:10" outlineLevel="2">
      <c r="A1227" s="191" t="s">
        <v>629</v>
      </c>
      <c r="B1227" s="191" t="s">
        <v>626</v>
      </c>
      <c r="C1227" s="191" t="s">
        <v>627</v>
      </c>
      <c r="D1227" s="191" t="s">
        <v>2247</v>
      </c>
      <c r="E1227" s="191" t="s">
        <v>1478</v>
      </c>
      <c r="F1227" s="191" t="s">
        <v>2594</v>
      </c>
      <c r="G1227" s="191">
        <v>21</v>
      </c>
      <c r="H1227" s="192">
        <v>0</v>
      </c>
      <c r="I1227" s="192">
        <v>409.77</v>
      </c>
      <c r="J1227" s="192">
        <f>SUM(H1227:I1227)</f>
        <v>409.77</v>
      </c>
    </row>
    <row r="1228" spans="1:10" outlineLevel="2">
      <c r="A1228" s="191" t="s">
        <v>629</v>
      </c>
      <c r="B1228" s="191" t="s">
        <v>626</v>
      </c>
      <c r="C1228" s="191" t="s">
        <v>627</v>
      </c>
      <c r="D1228" s="191" t="s">
        <v>2248</v>
      </c>
      <c r="E1228" s="191" t="s">
        <v>1482</v>
      </c>
      <c r="F1228" s="191" t="s">
        <v>1482</v>
      </c>
      <c r="G1228" s="191" t="s">
        <v>2760</v>
      </c>
      <c r="H1228" s="192">
        <v>0</v>
      </c>
      <c r="I1228" s="192">
        <v>0</v>
      </c>
      <c r="J1228" s="192">
        <f>SUM(H1228:I1228)</f>
        <v>0</v>
      </c>
    </row>
    <row r="1229" spans="1:10" outlineLevel="2">
      <c r="A1229" s="191" t="s">
        <v>630</v>
      </c>
      <c r="B1229" s="191" t="s">
        <v>626</v>
      </c>
      <c r="C1229" s="191" t="s">
        <v>627</v>
      </c>
      <c r="D1229" s="191" t="s">
        <v>2249</v>
      </c>
      <c r="E1229" s="191" t="s">
        <v>2645</v>
      </c>
      <c r="F1229" s="191" t="s">
        <v>2645</v>
      </c>
      <c r="G1229" s="191">
        <v>7</v>
      </c>
      <c r="H1229" s="192">
        <v>0</v>
      </c>
      <c r="I1229" s="192">
        <v>120.83</v>
      </c>
      <c r="J1229" s="192">
        <f>SUM(H1229:I1229)</f>
        <v>120.83</v>
      </c>
    </row>
    <row r="1230" spans="1:10" outlineLevel="2">
      <c r="A1230" s="191" t="s">
        <v>630</v>
      </c>
      <c r="B1230" s="191" t="s">
        <v>626</v>
      </c>
      <c r="C1230" s="191" t="s">
        <v>627</v>
      </c>
      <c r="D1230" s="191" t="s">
        <v>2250</v>
      </c>
      <c r="E1230" s="191" t="s">
        <v>1485</v>
      </c>
      <c r="F1230" s="191" t="s">
        <v>2591</v>
      </c>
      <c r="G1230" s="191">
        <v>14</v>
      </c>
      <c r="H1230" s="192">
        <v>0</v>
      </c>
      <c r="I1230" s="192">
        <v>240.48</v>
      </c>
      <c r="J1230" s="192">
        <f>SUM(H1230:I1230)</f>
        <v>240.48</v>
      </c>
    </row>
    <row r="1231" spans="1:10" outlineLevel="2">
      <c r="A1231" s="191" t="s">
        <v>630</v>
      </c>
      <c r="B1231" s="191" t="s">
        <v>626</v>
      </c>
      <c r="C1231" s="191" t="s">
        <v>627</v>
      </c>
      <c r="D1231" s="191" t="s">
        <v>2251</v>
      </c>
      <c r="E1231" s="191" t="s">
        <v>2722</v>
      </c>
      <c r="F1231" s="191" t="s">
        <v>2650</v>
      </c>
      <c r="G1231" s="191">
        <v>21</v>
      </c>
      <c r="H1231" s="192">
        <v>0</v>
      </c>
      <c r="I1231" s="192">
        <v>362.49</v>
      </c>
      <c r="J1231" s="192">
        <f>SUM(H1231:I1231)</f>
        <v>362.49</v>
      </c>
    </row>
    <row r="1232" spans="1:10" outlineLevel="2">
      <c r="A1232" s="191" t="s">
        <v>631</v>
      </c>
      <c r="B1232" s="191" t="s">
        <v>112</v>
      </c>
      <c r="C1232" s="191" t="s">
        <v>627</v>
      </c>
      <c r="D1232" s="191" t="s">
        <v>2252</v>
      </c>
      <c r="E1232" s="191" t="s">
        <v>2658</v>
      </c>
      <c r="F1232" s="191" t="s">
        <v>1482</v>
      </c>
      <c r="G1232" s="191">
        <v>14</v>
      </c>
      <c r="H1232" s="192">
        <v>100</v>
      </c>
      <c r="I1232" s="192">
        <v>117.38</v>
      </c>
      <c r="J1232" s="192">
        <f>SUM(H1232:I1232)</f>
        <v>217.38</v>
      </c>
    </row>
    <row r="1233" spans="1:10" outlineLevel="2">
      <c r="A1233" s="191" t="s">
        <v>631</v>
      </c>
      <c r="B1233" s="191" t="s">
        <v>116</v>
      </c>
      <c r="C1233" s="191" t="s">
        <v>627</v>
      </c>
      <c r="D1233" s="191" t="s">
        <v>2253</v>
      </c>
      <c r="E1233" s="191" t="s">
        <v>2664</v>
      </c>
      <c r="F1233" s="191" t="s">
        <v>2664</v>
      </c>
      <c r="G1233" s="191">
        <v>7</v>
      </c>
      <c r="H1233" s="192">
        <v>0</v>
      </c>
      <c r="I1233" s="192">
        <v>63.11</v>
      </c>
      <c r="J1233" s="192">
        <f>SUM(H1233:I1233)</f>
        <v>63.11</v>
      </c>
    </row>
    <row r="1234" spans="1:10" outlineLevel="2">
      <c r="A1234" s="191" t="s">
        <v>632</v>
      </c>
      <c r="B1234" s="191" t="s">
        <v>626</v>
      </c>
      <c r="C1234" s="191" t="s">
        <v>627</v>
      </c>
      <c r="D1234" s="191" t="s">
        <v>2254</v>
      </c>
      <c r="E1234" s="191" t="s">
        <v>2658</v>
      </c>
      <c r="F1234" s="191" t="s">
        <v>2658</v>
      </c>
      <c r="G1234" s="191">
        <v>7</v>
      </c>
      <c r="H1234" s="192">
        <v>0</v>
      </c>
      <c r="I1234" s="192">
        <v>148.94</v>
      </c>
      <c r="J1234" s="192">
        <f>SUM(H1234:I1234)</f>
        <v>148.94</v>
      </c>
    </row>
    <row r="1235" spans="1:10" outlineLevel="2">
      <c r="A1235" s="191" t="s">
        <v>632</v>
      </c>
      <c r="B1235" s="191" t="s">
        <v>626</v>
      </c>
      <c r="C1235" s="191" t="s">
        <v>627</v>
      </c>
      <c r="D1235" s="191" t="s">
        <v>2243</v>
      </c>
      <c r="E1235" s="191" t="s">
        <v>2669</v>
      </c>
      <c r="F1235" s="191" t="s">
        <v>2589</v>
      </c>
      <c r="G1235" s="191">
        <v>21</v>
      </c>
      <c r="H1235" s="192">
        <v>0</v>
      </c>
      <c r="I1235" s="192">
        <v>446.82</v>
      </c>
      <c r="J1235" s="192">
        <f>SUM(H1235:I1235)</f>
        <v>446.82</v>
      </c>
    </row>
    <row r="1236" spans="1:10" outlineLevel="2">
      <c r="A1236" s="191" t="s">
        <v>2921</v>
      </c>
      <c r="B1236" s="191" t="s">
        <v>141</v>
      </c>
      <c r="C1236" s="191" t="s">
        <v>627</v>
      </c>
      <c r="D1236" s="191" t="s">
        <v>2255</v>
      </c>
      <c r="E1236" s="191" t="s">
        <v>2594</v>
      </c>
      <c r="F1236" s="191" t="s">
        <v>2588</v>
      </c>
      <c r="G1236" s="191">
        <v>14</v>
      </c>
      <c r="H1236" s="192">
        <v>0</v>
      </c>
      <c r="I1236" s="192">
        <v>101.44</v>
      </c>
      <c r="J1236" s="192">
        <f>SUM(H1236:I1236)</f>
        <v>101.44</v>
      </c>
    </row>
    <row r="1237" spans="1:10" outlineLevel="2">
      <c r="A1237" s="191" t="s">
        <v>2921</v>
      </c>
      <c r="B1237" s="191" t="s">
        <v>147</v>
      </c>
      <c r="C1237" s="191" t="s">
        <v>627</v>
      </c>
      <c r="D1237" s="191" t="s">
        <v>2256</v>
      </c>
      <c r="E1237" s="191" t="s">
        <v>1503</v>
      </c>
      <c r="F1237" s="191" t="s">
        <v>1503</v>
      </c>
      <c r="G1237" s="191">
        <v>7</v>
      </c>
      <c r="H1237" s="192">
        <v>0</v>
      </c>
      <c r="I1237" s="192">
        <v>54.26</v>
      </c>
      <c r="J1237" s="192">
        <f>SUM(H1237:I1237)</f>
        <v>54.26</v>
      </c>
    </row>
    <row r="1238" spans="1:10" outlineLevel="2">
      <c r="A1238" s="191" t="s">
        <v>2921</v>
      </c>
      <c r="B1238" s="191" t="s">
        <v>147</v>
      </c>
      <c r="C1238" s="191" t="s">
        <v>627</v>
      </c>
      <c r="D1238" s="191" t="s">
        <v>2253</v>
      </c>
      <c r="E1238" s="191" t="s">
        <v>2664</v>
      </c>
      <c r="F1238" s="191" t="s">
        <v>2664</v>
      </c>
      <c r="G1238" s="191">
        <v>7</v>
      </c>
      <c r="H1238" s="192">
        <v>0</v>
      </c>
      <c r="I1238" s="192">
        <v>54.26</v>
      </c>
      <c r="J1238" s="192">
        <f>SUM(H1238:I1238)</f>
        <v>54.26</v>
      </c>
    </row>
    <row r="1239" spans="1:10" outlineLevel="2">
      <c r="A1239" s="191" t="s">
        <v>2921</v>
      </c>
      <c r="B1239" s="191" t="s">
        <v>147</v>
      </c>
      <c r="C1239" s="191" t="s">
        <v>627</v>
      </c>
      <c r="D1239" s="191" t="s">
        <v>2242</v>
      </c>
      <c r="E1239" s="191" t="s">
        <v>2639</v>
      </c>
      <c r="F1239" s="191" t="s">
        <v>2608</v>
      </c>
      <c r="G1239" s="191">
        <v>14</v>
      </c>
      <c r="H1239" s="192">
        <v>100</v>
      </c>
      <c r="I1239" s="192">
        <v>107.12</v>
      </c>
      <c r="J1239" s="192">
        <f>SUM(H1239:I1239)</f>
        <v>207.12</v>
      </c>
    </row>
    <row r="1240" spans="1:10" outlineLevel="2">
      <c r="A1240" s="191" t="s">
        <v>2921</v>
      </c>
      <c r="B1240" s="191" t="s">
        <v>147</v>
      </c>
      <c r="C1240" s="191" t="s">
        <v>627</v>
      </c>
      <c r="D1240" s="191" t="s">
        <v>2257</v>
      </c>
      <c r="E1240" s="191" t="s">
        <v>1499</v>
      </c>
      <c r="F1240" s="191" t="s">
        <v>1500</v>
      </c>
      <c r="G1240" s="191">
        <v>14</v>
      </c>
      <c r="H1240" s="192">
        <v>100</v>
      </c>
      <c r="I1240" s="192">
        <v>109.06</v>
      </c>
      <c r="J1240" s="192">
        <f>SUM(H1240:I1240)</f>
        <v>209.06</v>
      </c>
    </row>
    <row r="1241" spans="1:10" outlineLevel="2">
      <c r="A1241" s="191" t="s">
        <v>633</v>
      </c>
      <c r="B1241" s="191" t="s">
        <v>147</v>
      </c>
      <c r="C1241" s="191" t="s">
        <v>627</v>
      </c>
      <c r="D1241" s="191" t="s">
        <v>2244</v>
      </c>
      <c r="E1241" s="191" t="s">
        <v>2652</v>
      </c>
      <c r="F1241" s="191" t="s">
        <v>1481</v>
      </c>
      <c r="G1241" s="191">
        <v>14</v>
      </c>
      <c r="H1241" s="192">
        <v>0</v>
      </c>
      <c r="I1241" s="192">
        <v>108.52</v>
      </c>
      <c r="J1241" s="192">
        <f>SUM(H1241:I1241)</f>
        <v>108.52</v>
      </c>
    </row>
    <row r="1242" spans="1:10" outlineLevel="2">
      <c r="A1242" s="191" t="s">
        <v>634</v>
      </c>
      <c r="B1242" s="191" t="s">
        <v>626</v>
      </c>
      <c r="C1242" s="191" t="s">
        <v>627</v>
      </c>
      <c r="D1242" s="191" t="s">
        <v>2258</v>
      </c>
      <c r="E1242" s="191" t="s">
        <v>2664</v>
      </c>
      <c r="F1242" s="191" t="s">
        <v>2664</v>
      </c>
      <c r="G1242" s="191">
        <v>7</v>
      </c>
      <c r="H1242" s="192">
        <v>0</v>
      </c>
      <c r="I1242" s="192">
        <v>160.44</v>
      </c>
      <c r="J1242" s="192">
        <f>SUM(H1242:I1242)</f>
        <v>160.44</v>
      </c>
    </row>
    <row r="1243" spans="1:10" outlineLevel="2">
      <c r="A1243" s="191" t="s">
        <v>634</v>
      </c>
      <c r="B1243" s="191" t="s">
        <v>626</v>
      </c>
      <c r="C1243" s="191" t="s">
        <v>627</v>
      </c>
      <c r="D1243" s="191" t="s">
        <v>2244</v>
      </c>
      <c r="E1243" s="191" t="s">
        <v>2652</v>
      </c>
      <c r="F1243" s="191" t="s">
        <v>1481</v>
      </c>
      <c r="G1243" s="191">
        <v>14</v>
      </c>
      <c r="H1243" s="192">
        <v>0</v>
      </c>
      <c r="I1243" s="192">
        <v>320.88</v>
      </c>
      <c r="J1243" s="192">
        <f>SUM(H1243:I1243)</f>
        <v>320.88</v>
      </c>
    </row>
    <row r="1244" spans="1:10" outlineLevel="2">
      <c r="A1244" s="191" t="s">
        <v>634</v>
      </c>
      <c r="B1244" s="191" t="s">
        <v>626</v>
      </c>
      <c r="C1244" s="191" t="s">
        <v>627</v>
      </c>
      <c r="D1244" s="191" t="s">
        <v>2259</v>
      </c>
      <c r="E1244" s="191" t="s">
        <v>2593</v>
      </c>
      <c r="F1244" s="191" t="s">
        <v>1487</v>
      </c>
      <c r="G1244" s="191">
        <v>14</v>
      </c>
      <c r="H1244" s="192">
        <v>0</v>
      </c>
      <c r="I1244" s="192">
        <v>320.88</v>
      </c>
      <c r="J1244" s="192">
        <f>SUM(H1244:I1244)</f>
        <v>320.88</v>
      </c>
    </row>
    <row r="1245" spans="1:10" outlineLevel="2">
      <c r="A1245" s="191" t="s">
        <v>2922</v>
      </c>
      <c r="B1245" s="191" t="s">
        <v>141</v>
      </c>
      <c r="C1245" s="191" t="s">
        <v>627</v>
      </c>
      <c r="D1245" s="191" t="s">
        <v>2244</v>
      </c>
      <c r="E1245" s="191" t="s">
        <v>2652</v>
      </c>
      <c r="F1245" s="191" t="s">
        <v>1481</v>
      </c>
      <c r="G1245" s="191">
        <v>14</v>
      </c>
      <c r="H1245" s="192">
        <v>0</v>
      </c>
      <c r="I1245" s="192">
        <v>101.44</v>
      </c>
      <c r="J1245" s="192">
        <f>SUM(H1245:I1245)</f>
        <v>101.44</v>
      </c>
    </row>
    <row r="1246" spans="1:10" outlineLevel="2">
      <c r="A1246" s="191" t="s">
        <v>2922</v>
      </c>
      <c r="B1246" s="191" t="s">
        <v>147</v>
      </c>
      <c r="C1246" s="191" t="s">
        <v>627</v>
      </c>
      <c r="D1246" s="191" t="s">
        <v>2242</v>
      </c>
      <c r="E1246" s="191" t="s">
        <v>2639</v>
      </c>
      <c r="F1246" s="191" t="s">
        <v>2608</v>
      </c>
      <c r="G1246" s="191">
        <v>14</v>
      </c>
      <c r="H1246" s="192">
        <v>0</v>
      </c>
      <c r="I1246" s="192">
        <v>107.12</v>
      </c>
      <c r="J1246" s="192">
        <f>SUM(H1246:I1246)</f>
        <v>107.12</v>
      </c>
    </row>
    <row r="1247" spans="1:10" outlineLevel="2">
      <c r="A1247" s="191" t="s">
        <v>2922</v>
      </c>
      <c r="B1247" s="191" t="s">
        <v>147</v>
      </c>
      <c r="C1247" s="191" t="s">
        <v>627</v>
      </c>
      <c r="D1247" s="191" t="s">
        <v>2260</v>
      </c>
      <c r="E1247" s="191" t="s">
        <v>2620</v>
      </c>
      <c r="F1247" s="191" t="s">
        <v>2665</v>
      </c>
      <c r="G1247" s="191">
        <v>14</v>
      </c>
      <c r="H1247" s="192">
        <v>100</v>
      </c>
      <c r="I1247" s="192">
        <v>109.06</v>
      </c>
      <c r="J1247" s="192">
        <f>SUM(H1247:I1247)</f>
        <v>209.06</v>
      </c>
    </row>
    <row r="1248" spans="1:10" outlineLevel="2">
      <c r="A1248" s="191" t="s">
        <v>635</v>
      </c>
      <c r="B1248" s="191" t="s">
        <v>626</v>
      </c>
      <c r="C1248" s="191" t="s">
        <v>627</v>
      </c>
      <c r="D1248" s="191" t="s">
        <v>2261</v>
      </c>
      <c r="E1248" s="191" t="s">
        <v>2620</v>
      </c>
      <c r="F1248" s="191" t="s">
        <v>2665</v>
      </c>
      <c r="G1248" s="191">
        <v>14</v>
      </c>
      <c r="H1248" s="192">
        <v>0</v>
      </c>
      <c r="I1248" s="192">
        <v>277.94</v>
      </c>
      <c r="J1248" s="192">
        <f>SUM(H1248:I1248)</f>
        <v>277.94</v>
      </c>
    </row>
    <row r="1249" spans="1:10" outlineLevel="2">
      <c r="A1249" s="191" t="s">
        <v>635</v>
      </c>
      <c r="B1249" s="191" t="s">
        <v>626</v>
      </c>
      <c r="C1249" s="191" t="s">
        <v>627</v>
      </c>
      <c r="D1249" s="191" t="s">
        <v>2262</v>
      </c>
      <c r="E1249" s="191" t="s">
        <v>1489</v>
      </c>
      <c r="F1249" s="191" t="s">
        <v>1490</v>
      </c>
      <c r="G1249" s="191">
        <v>14</v>
      </c>
      <c r="H1249" s="192">
        <v>0</v>
      </c>
      <c r="I1249" s="192">
        <v>277.94</v>
      </c>
      <c r="J1249" s="192">
        <f>SUM(H1249:I1249)</f>
        <v>277.94</v>
      </c>
    </row>
    <row r="1250" spans="1:10" outlineLevel="2">
      <c r="A1250" s="191" t="s">
        <v>635</v>
      </c>
      <c r="B1250" s="191" t="s">
        <v>626</v>
      </c>
      <c r="C1250" s="191" t="s">
        <v>627</v>
      </c>
      <c r="D1250" s="191" t="s">
        <v>2263</v>
      </c>
      <c r="E1250" s="191" t="s">
        <v>1485</v>
      </c>
      <c r="F1250" s="191" t="s">
        <v>1486</v>
      </c>
      <c r="G1250" s="191">
        <v>21</v>
      </c>
      <c r="H1250" s="192">
        <v>0</v>
      </c>
      <c r="I1250" s="192">
        <v>403.86</v>
      </c>
      <c r="J1250" s="192">
        <f>SUM(H1250:I1250)</f>
        <v>403.86</v>
      </c>
    </row>
    <row r="1251" spans="1:10" outlineLevel="2">
      <c r="A1251" s="191" t="s">
        <v>636</v>
      </c>
      <c r="B1251" s="191" t="s">
        <v>112</v>
      </c>
      <c r="C1251" s="191" t="s">
        <v>627</v>
      </c>
      <c r="D1251" s="191" t="s">
        <v>2264</v>
      </c>
      <c r="E1251" s="191" t="s">
        <v>1479</v>
      </c>
      <c r="F1251" s="191" t="s">
        <v>1479</v>
      </c>
      <c r="G1251" s="191">
        <v>7</v>
      </c>
      <c r="H1251" s="192">
        <v>0</v>
      </c>
      <c r="I1251" s="192">
        <v>58.69</v>
      </c>
      <c r="J1251" s="192">
        <f>SUM(H1251:I1251)</f>
        <v>58.69</v>
      </c>
    </row>
    <row r="1252" spans="1:10" outlineLevel="2">
      <c r="A1252" s="191" t="s">
        <v>636</v>
      </c>
      <c r="B1252" s="191" t="s">
        <v>116</v>
      </c>
      <c r="C1252" s="191" t="s">
        <v>627</v>
      </c>
      <c r="D1252" s="191" t="s">
        <v>2256</v>
      </c>
      <c r="E1252" s="191" t="s">
        <v>1503</v>
      </c>
      <c r="F1252" s="191" t="s">
        <v>1503</v>
      </c>
      <c r="G1252" s="191">
        <v>7</v>
      </c>
      <c r="H1252" s="192">
        <v>0</v>
      </c>
      <c r="I1252" s="192">
        <v>63.11</v>
      </c>
      <c r="J1252" s="192">
        <f>SUM(H1252:I1252)</f>
        <v>63.11</v>
      </c>
    </row>
    <row r="1253" spans="1:10" outlineLevel="2">
      <c r="A1253" s="191" t="s">
        <v>636</v>
      </c>
      <c r="B1253" s="191" t="s">
        <v>116</v>
      </c>
      <c r="C1253" s="191" t="s">
        <v>627</v>
      </c>
      <c r="D1253" s="191" t="s">
        <v>2265</v>
      </c>
      <c r="E1253" s="191" t="s">
        <v>2645</v>
      </c>
      <c r="F1253" s="191" t="s">
        <v>2749</v>
      </c>
      <c r="G1253" s="191">
        <v>21</v>
      </c>
      <c r="H1253" s="192">
        <v>0</v>
      </c>
      <c r="I1253" s="192">
        <v>190.26</v>
      </c>
      <c r="J1253" s="192">
        <f>SUM(H1253:I1253)</f>
        <v>190.26</v>
      </c>
    </row>
    <row r="1254" spans="1:10" outlineLevel="2">
      <c r="A1254" s="191" t="s">
        <v>637</v>
      </c>
      <c r="B1254" s="191" t="s">
        <v>626</v>
      </c>
      <c r="C1254" s="191" t="s">
        <v>627</v>
      </c>
      <c r="D1254" s="191" t="s">
        <v>2253</v>
      </c>
      <c r="E1254" s="191" t="s">
        <v>2732</v>
      </c>
      <c r="F1254" s="191" t="s">
        <v>2664</v>
      </c>
      <c r="G1254" s="191">
        <v>14</v>
      </c>
      <c r="H1254" s="192">
        <v>0</v>
      </c>
      <c r="I1254" s="192">
        <v>301.27999999999997</v>
      </c>
      <c r="J1254" s="192">
        <f>SUM(H1254:I1254)</f>
        <v>301.27999999999997</v>
      </c>
    </row>
    <row r="1255" spans="1:10" outlineLevel="2">
      <c r="A1255" s="191" t="s">
        <v>637</v>
      </c>
      <c r="B1255" s="191" t="s">
        <v>626</v>
      </c>
      <c r="C1255" s="191" t="s">
        <v>627</v>
      </c>
      <c r="D1255" s="191" t="s">
        <v>2266</v>
      </c>
      <c r="E1255" s="191" t="s">
        <v>2673</v>
      </c>
      <c r="F1255" s="191" t="s">
        <v>2587</v>
      </c>
      <c r="G1255" s="191">
        <v>21</v>
      </c>
      <c r="H1255" s="192">
        <v>100</v>
      </c>
      <c r="I1255" s="192">
        <v>451.92</v>
      </c>
      <c r="J1255" s="192">
        <f>SUM(H1255:I1255)</f>
        <v>551.92000000000007</v>
      </c>
    </row>
    <row r="1256" spans="1:10" outlineLevel="2">
      <c r="A1256" s="191" t="s">
        <v>638</v>
      </c>
      <c r="B1256" s="191" t="s">
        <v>626</v>
      </c>
      <c r="C1256" s="191" t="s">
        <v>627</v>
      </c>
      <c r="D1256" s="191" t="s">
        <v>2266</v>
      </c>
      <c r="E1256" s="191" t="s">
        <v>2674</v>
      </c>
      <c r="F1256" s="191" t="s">
        <v>2587</v>
      </c>
      <c r="G1256" s="191">
        <v>14</v>
      </c>
      <c r="H1256" s="192">
        <v>0</v>
      </c>
      <c r="I1256" s="192">
        <v>276.58</v>
      </c>
      <c r="J1256" s="192">
        <f>SUM(H1256:I1256)</f>
        <v>276.58</v>
      </c>
    </row>
    <row r="1257" spans="1:10" outlineLevel="2">
      <c r="A1257" s="191" t="s">
        <v>639</v>
      </c>
      <c r="B1257" s="191" t="s">
        <v>626</v>
      </c>
      <c r="C1257" s="191" t="s">
        <v>627</v>
      </c>
      <c r="D1257" s="191" t="s">
        <v>2267</v>
      </c>
      <c r="E1257" s="191" t="s">
        <v>2639</v>
      </c>
      <c r="F1257" s="191" t="s">
        <v>2608</v>
      </c>
      <c r="G1257" s="191">
        <v>14</v>
      </c>
      <c r="H1257" s="192">
        <v>0</v>
      </c>
      <c r="I1257" s="192">
        <v>273.18</v>
      </c>
      <c r="J1257" s="192">
        <f>SUM(H1257:I1257)</f>
        <v>273.18</v>
      </c>
    </row>
    <row r="1258" spans="1:10" outlineLevel="2">
      <c r="A1258" s="191" t="s">
        <v>640</v>
      </c>
      <c r="B1258" s="191" t="s">
        <v>116</v>
      </c>
      <c r="C1258" s="191" t="s">
        <v>627</v>
      </c>
      <c r="D1258" s="191" t="s">
        <v>2268</v>
      </c>
      <c r="E1258" s="191" t="s">
        <v>1480</v>
      </c>
      <c r="F1258" s="191" t="s">
        <v>1480</v>
      </c>
      <c r="G1258" s="191">
        <v>7</v>
      </c>
      <c r="H1258" s="192">
        <v>0</v>
      </c>
      <c r="I1258" s="192">
        <v>63.42</v>
      </c>
      <c r="J1258" s="192">
        <f>SUM(H1258:I1258)</f>
        <v>63.42</v>
      </c>
    </row>
    <row r="1259" spans="1:10" outlineLevel="2">
      <c r="A1259" s="191" t="s">
        <v>640</v>
      </c>
      <c r="B1259" s="191" t="s">
        <v>116</v>
      </c>
      <c r="C1259" s="191" t="s">
        <v>627</v>
      </c>
      <c r="D1259" s="191" t="s">
        <v>2257</v>
      </c>
      <c r="E1259" s="191" t="s">
        <v>1499</v>
      </c>
      <c r="F1259" s="191" t="s">
        <v>1500</v>
      </c>
      <c r="G1259" s="191">
        <v>14</v>
      </c>
      <c r="H1259" s="192">
        <v>100</v>
      </c>
      <c r="I1259" s="192">
        <v>122.74</v>
      </c>
      <c r="J1259" s="192">
        <f>SUM(H1259:I1259)</f>
        <v>222.74</v>
      </c>
    </row>
    <row r="1260" spans="1:10" outlineLevel="2">
      <c r="A1260" s="191" t="s">
        <v>641</v>
      </c>
      <c r="B1260" s="191" t="s">
        <v>626</v>
      </c>
      <c r="C1260" s="191" t="s">
        <v>627</v>
      </c>
      <c r="D1260" s="191" t="s">
        <v>2268</v>
      </c>
      <c r="E1260" s="191" t="s">
        <v>1480</v>
      </c>
      <c r="F1260" s="191" t="s">
        <v>1480</v>
      </c>
      <c r="G1260" s="191">
        <v>7</v>
      </c>
      <c r="H1260" s="192">
        <v>0</v>
      </c>
      <c r="I1260" s="192">
        <v>161.22999999999999</v>
      </c>
      <c r="J1260" s="192">
        <f>SUM(H1260:I1260)</f>
        <v>161.22999999999999</v>
      </c>
    </row>
    <row r="1261" spans="1:10" outlineLevel="2">
      <c r="A1261" s="191" t="s">
        <v>641</v>
      </c>
      <c r="B1261" s="191" t="s">
        <v>626</v>
      </c>
      <c r="C1261" s="191" t="s">
        <v>627</v>
      </c>
      <c r="D1261" s="191" t="s">
        <v>2269</v>
      </c>
      <c r="E1261" s="191" t="s">
        <v>1495</v>
      </c>
      <c r="F1261" s="191" t="s">
        <v>1496</v>
      </c>
      <c r="G1261" s="191">
        <v>14</v>
      </c>
      <c r="H1261" s="192">
        <v>0</v>
      </c>
      <c r="I1261" s="192">
        <v>320.88</v>
      </c>
      <c r="J1261" s="192">
        <f>SUM(H1261:I1261)</f>
        <v>320.88</v>
      </c>
    </row>
    <row r="1262" spans="1:10" outlineLevel="2">
      <c r="A1262" s="191" t="s">
        <v>642</v>
      </c>
      <c r="B1262" s="191" t="s">
        <v>626</v>
      </c>
      <c r="C1262" s="191" t="s">
        <v>627</v>
      </c>
      <c r="D1262" s="191" t="s">
        <v>2017</v>
      </c>
      <c r="E1262" s="191" t="s">
        <v>2719</v>
      </c>
      <c r="F1262" s="191" t="s">
        <v>2608</v>
      </c>
      <c r="G1262" s="191">
        <v>21</v>
      </c>
      <c r="H1262" s="192">
        <v>0</v>
      </c>
      <c r="I1262" s="192">
        <v>471.09</v>
      </c>
      <c r="J1262" s="192">
        <f>SUM(H1262:I1262)</f>
        <v>471.09</v>
      </c>
    </row>
    <row r="1263" spans="1:10" outlineLevel="2">
      <c r="A1263" s="191" t="s">
        <v>642</v>
      </c>
      <c r="B1263" s="191" t="s">
        <v>626</v>
      </c>
      <c r="C1263" s="191" t="s">
        <v>627</v>
      </c>
      <c r="D1263" s="191" t="s">
        <v>2270</v>
      </c>
      <c r="E1263" s="191" t="s">
        <v>2607</v>
      </c>
      <c r="F1263" s="191" t="s">
        <v>1500</v>
      </c>
      <c r="G1263" s="191">
        <v>21</v>
      </c>
      <c r="H1263" s="192">
        <v>0</v>
      </c>
      <c r="I1263" s="192">
        <v>458.13</v>
      </c>
      <c r="J1263" s="192">
        <f>SUM(H1263:I1263)</f>
        <v>458.13</v>
      </c>
    </row>
    <row r="1264" spans="1:10" outlineLevel="2">
      <c r="A1264" s="191" t="s">
        <v>2923</v>
      </c>
      <c r="B1264" s="191" t="s">
        <v>141</v>
      </c>
      <c r="C1264" s="191" t="s">
        <v>627</v>
      </c>
      <c r="D1264" s="191" t="s">
        <v>2271</v>
      </c>
      <c r="E1264" s="191" t="s">
        <v>2594</v>
      </c>
      <c r="F1264" s="191" t="s">
        <v>2588</v>
      </c>
      <c r="G1264" s="191">
        <v>14</v>
      </c>
      <c r="H1264" s="192">
        <v>100</v>
      </c>
      <c r="I1264" s="192">
        <v>98.18</v>
      </c>
      <c r="J1264" s="192">
        <f>SUM(H1264:I1264)</f>
        <v>198.18</v>
      </c>
    </row>
    <row r="1265" spans="1:10" outlineLevel="2">
      <c r="A1265" s="191" t="s">
        <v>2923</v>
      </c>
      <c r="B1265" s="191" t="s">
        <v>147</v>
      </c>
      <c r="C1265" s="191" t="s">
        <v>627</v>
      </c>
      <c r="D1265" s="191" t="s">
        <v>2253</v>
      </c>
      <c r="E1265" s="191" t="s">
        <v>2664</v>
      </c>
      <c r="F1265" s="191" t="s">
        <v>2664</v>
      </c>
      <c r="G1265" s="191">
        <v>7</v>
      </c>
      <c r="H1265" s="192">
        <v>0</v>
      </c>
      <c r="I1265" s="192">
        <v>54.26</v>
      </c>
      <c r="J1265" s="192">
        <f>SUM(H1265:I1265)</f>
        <v>54.26</v>
      </c>
    </row>
    <row r="1266" spans="1:10" outlineLevel="2">
      <c r="A1266" s="191" t="s">
        <v>2923</v>
      </c>
      <c r="B1266" s="191" t="s">
        <v>147</v>
      </c>
      <c r="C1266" s="191" t="s">
        <v>627</v>
      </c>
      <c r="D1266" s="191" t="s">
        <v>2242</v>
      </c>
      <c r="E1266" s="191" t="s">
        <v>2639</v>
      </c>
      <c r="F1266" s="191" t="s">
        <v>2608</v>
      </c>
      <c r="G1266" s="191">
        <v>14</v>
      </c>
      <c r="H1266" s="192">
        <v>0</v>
      </c>
      <c r="I1266" s="192">
        <v>107.12</v>
      </c>
      <c r="J1266" s="192">
        <f>SUM(H1266:I1266)</f>
        <v>107.12</v>
      </c>
    </row>
    <row r="1267" spans="1:10" outlineLevel="2">
      <c r="A1267" s="191" t="s">
        <v>2923</v>
      </c>
      <c r="B1267" s="191" t="s">
        <v>147</v>
      </c>
      <c r="C1267" s="191" t="s">
        <v>627</v>
      </c>
      <c r="D1267" s="191" t="s">
        <v>912</v>
      </c>
      <c r="E1267" s="191" t="s">
        <v>1499</v>
      </c>
      <c r="F1267" s="191" t="s">
        <v>1500</v>
      </c>
      <c r="G1267" s="191">
        <v>14</v>
      </c>
      <c r="H1267" s="192">
        <v>0</v>
      </c>
      <c r="I1267" s="192">
        <v>105.54</v>
      </c>
      <c r="J1267" s="192">
        <f>SUM(H1267:I1267)</f>
        <v>105.54</v>
      </c>
    </row>
    <row r="1268" spans="1:10" outlineLevel="2">
      <c r="A1268" s="191" t="s">
        <v>643</v>
      </c>
      <c r="B1268" s="191" t="s">
        <v>116</v>
      </c>
      <c r="C1268" s="191" t="s">
        <v>627</v>
      </c>
      <c r="D1268" s="191" t="s">
        <v>2064</v>
      </c>
      <c r="E1268" s="191" t="s">
        <v>2585</v>
      </c>
      <c r="F1268" s="191" t="s">
        <v>2586</v>
      </c>
      <c r="G1268" s="191">
        <v>14</v>
      </c>
      <c r="H1268" s="192">
        <v>0</v>
      </c>
      <c r="I1268" s="192">
        <v>126.22</v>
      </c>
      <c r="J1268" s="192">
        <f>SUM(H1268:I1268)</f>
        <v>126.22</v>
      </c>
    </row>
    <row r="1269" spans="1:10" outlineLevel="2">
      <c r="A1269" s="191" t="s">
        <v>2924</v>
      </c>
      <c r="B1269" s="191" t="s">
        <v>141</v>
      </c>
      <c r="C1269" s="191" t="s">
        <v>627</v>
      </c>
      <c r="D1269" s="191" t="s">
        <v>2244</v>
      </c>
      <c r="E1269" s="191" t="s">
        <v>2652</v>
      </c>
      <c r="F1269" s="191" t="s">
        <v>1481</v>
      </c>
      <c r="G1269" s="191">
        <v>14</v>
      </c>
      <c r="H1269" s="192">
        <v>0</v>
      </c>
      <c r="I1269" s="192">
        <v>101.44</v>
      </c>
      <c r="J1269" s="192">
        <f>SUM(H1269:I1269)</f>
        <v>101.44</v>
      </c>
    </row>
    <row r="1270" spans="1:10" outlineLevel="2">
      <c r="A1270" s="191" t="s">
        <v>2924</v>
      </c>
      <c r="B1270" s="191" t="s">
        <v>147</v>
      </c>
      <c r="C1270" s="191" t="s">
        <v>627</v>
      </c>
      <c r="D1270" s="191" t="s">
        <v>2272</v>
      </c>
      <c r="E1270" s="191" t="s">
        <v>2639</v>
      </c>
      <c r="F1270" s="191" t="s">
        <v>2608</v>
      </c>
      <c r="G1270" s="191">
        <v>14</v>
      </c>
      <c r="H1270" s="192">
        <v>0</v>
      </c>
      <c r="I1270" s="192">
        <v>107.12</v>
      </c>
      <c r="J1270" s="192">
        <f>SUM(H1270:I1270)</f>
        <v>107.12</v>
      </c>
    </row>
    <row r="1271" spans="1:10" outlineLevel="2">
      <c r="A1271" s="191" t="s">
        <v>2924</v>
      </c>
      <c r="B1271" s="191" t="s">
        <v>147</v>
      </c>
      <c r="C1271" s="191" t="s">
        <v>627</v>
      </c>
      <c r="D1271" s="191" t="s">
        <v>2257</v>
      </c>
      <c r="E1271" s="191" t="s">
        <v>1499</v>
      </c>
      <c r="F1271" s="191" t="s">
        <v>1500</v>
      </c>
      <c r="G1271" s="191">
        <v>14</v>
      </c>
      <c r="H1271" s="192">
        <v>0</v>
      </c>
      <c r="I1271" s="192">
        <v>109.06</v>
      </c>
      <c r="J1271" s="192">
        <f>SUM(H1271:I1271)</f>
        <v>109.06</v>
      </c>
    </row>
    <row r="1272" spans="1:10" outlineLevel="2">
      <c r="A1272" s="191" t="s">
        <v>2924</v>
      </c>
      <c r="B1272" s="191" t="s">
        <v>147</v>
      </c>
      <c r="C1272" s="191" t="s">
        <v>627</v>
      </c>
      <c r="D1272" s="191" t="s">
        <v>2260</v>
      </c>
      <c r="E1272" s="191" t="s">
        <v>2620</v>
      </c>
      <c r="F1272" s="191" t="s">
        <v>2665</v>
      </c>
      <c r="G1272" s="191">
        <v>14</v>
      </c>
      <c r="H1272" s="192">
        <v>100</v>
      </c>
      <c r="I1272" s="192">
        <v>109.06</v>
      </c>
      <c r="J1272" s="192">
        <f>SUM(H1272:I1272)</f>
        <v>209.06</v>
      </c>
    </row>
    <row r="1273" spans="1:10" outlineLevel="2">
      <c r="A1273" s="191" t="s">
        <v>644</v>
      </c>
      <c r="B1273" s="191" t="s">
        <v>626</v>
      </c>
      <c r="C1273" s="191" t="s">
        <v>627</v>
      </c>
      <c r="D1273" s="191" t="s">
        <v>2273</v>
      </c>
      <c r="E1273" s="191" t="s">
        <v>1495</v>
      </c>
      <c r="F1273" s="191" t="s">
        <v>1496</v>
      </c>
      <c r="G1273" s="191">
        <v>14</v>
      </c>
      <c r="H1273" s="192">
        <v>0</v>
      </c>
      <c r="I1273" s="192">
        <v>273.18</v>
      </c>
      <c r="J1273" s="192">
        <f>SUM(H1273:I1273)</f>
        <v>273.18</v>
      </c>
    </row>
    <row r="1274" spans="1:10" outlineLevel="2">
      <c r="A1274" s="191" t="s">
        <v>644</v>
      </c>
      <c r="B1274" s="191" t="s">
        <v>626</v>
      </c>
      <c r="C1274" s="191" t="s">
        <v>627</v>
      </c>
      <c r="D1274" s="191" t="s">
        <v>2274</v>
      </c>
      <c r="E1274" s="191" t="s">
        <v>2680</v>
      </c>
      <c r="F1274" s="191" t="s">
        <v>2681</v>
      </c>
      <c r="G1274" s="191">
        <v>14</v>
      </c>
      <c r="H1274" s="192">
        <v>0</v>
      </c>
      <c r="I1274" s="192">
        <v>265.66000000000003</v>
      </c>
      <c r="J1274" s="192">
        <f>SUM(H1274:I1274)</f>
        <v>265.66000000000003</v>
      </c>
    </row>
    <row r="1275" spans="1:10" outlineLevel="2">
      <c r="A1275" s="191" t="s">
        <v>644</v>
      </c>
      <c r="B1275" s="191" t="s">
        <v>626</v>
      </c>
      <c r="C1275" s="191" t="s">
        <v>627</v>
      </c>
      <c r="D1275" s="191" t="s">
        <v>1798</v>
      </c>
      <c r="E1275" s="191" t="s">
        <v>2699</v>
      </c>
      <c r="F1275" s="191" t="s">
        <v>2600</v>
      </c>
      <c r="G1275" s="191">
        <v>28</v>
      </c>
      <c r="H1275" s="192">
        <v>0</v>
      </c>
      <c r="I1275" s="192">
        <v>546.36</v>
      </c>
      <c r="J1275" s="192">
        <f>SUM(H1275:I1275)</f>
        <v>546.36</v>
      </c>
    </row>
    <row r="1276" spans="1:10" outlineLevel="2">
      <c r="A1276" s="191" t="s">
        <v>645</v>
      </c>
      <c r="B1276" s="191" t="s">
        <v>626</v>
      </c>
      <c r="C1276" s="191" t="s">
        <v>627</v>
      </c>
      <c r="D1276" s="191" t="s">
        <v>2267</v>
      </c>
      <c r="E1276" s="191" t="s">
        <v>2608</v>
      </c>
      <c r="F1276" s="191" t="s">
        <v>2608</v>
      </c>
      <c r="G1276" s="191">
        <v>7</v>
      </c>
      <c r="H1276" s="192">
        <v>0</v>
      </c>
      <c r="I1276" s="192">
        <v>138.29</v>
      </c>
      <c r="J1276" s="192">
        <f>SUM(H1276:I1276)</f>
        <v>138.29</v>
      </c>
    </row>
    <row r="1277" spans="1:10" outlineLevel="2">
      <c r="A1277" s="191" t="s">
        <v>646</v>
      </c>
      <c r="B1277" s="191" t="s">
        <v>112</v>
      </c>
      <c r="C1277" s="191" t="s">
        <v>627</v>
      </c>
      <c r="D1277" s="191" t="s">
        <v>2275</v>
      </c>
      <c r="E1277" s="191" t="s">
        <v>1495</v>
      </c>
      <c r="F1277" s="191" t="s">
        <v>1496</v>
      </c>
      <c r="G1277" s="191">
        <v>14</v>
      </c>
      <c r="H1277" s="192">
        <v>100</v>
      </c>
      <c r="I1277" s="192">
        <v>117.38</v>
      </c>
      <c r="J1277" s="192">
        <f>SUM(H1277:I1277)</f>
        <v>217.38</v>
      </c>
    </row>
    <row r="1278" spans="1:10" outlineLevel="2">
      <c r="A1278" s="191" t="s">
        <v>646</v>
      </c>
      <c r="B1278" s="191" t="s">
        <v>116</v>
      </c>
      <c r="C1278" s="191" t="s">
        <v>627</v>
      </c>
      <c r="D1278" s="191" t="s">
        <v>912</v>
      </c>
      <c r="E1278" s="191" t="s">
        <v>1499</v>
      </c>
      <c r="F1278" s="191" t="s">
        <v>1500</v>
      </c>
      <c r="G1278" s="191">
        <v>14</v>
      </c>
      <c r="H1278" s="192">
        <v>100</v>
      </c>
      <c r="I1278" s="192">
        <v>122.74</v>
      </c>
      <c r="J1278" s="192">
        <f>SUM(H1278:I1278)</f>
        <v>222.74</v>
      </c>
    </row>
    <row r="1279" spans="1:10" outlineLevel="2">
      <c r="A1279" s="191" t="s">
        <v>646</v>
      </c>
      <c r="B1279" s="191" t="s">
        <v>116</v>
      </c>
      <c r="C1279" s="191" t="s">
        <v>627</v>
      </c>
      <c r="D1279" s="191" t="s">
        <v>2276</v>
      </c>
      <c r="E1279" s="191" t="s">
        <v>1494</v>
      </c>
      <c r="F1279" s="191" t="s">
        <v>1480</v>
      </c>
      <c r="G1279" s="191">
        <v>14</v>
      </c>
      <c r="H1279" s="192">
        <v>0</v>
      </c>
      <c r="I1279" s="192">
        <v>126.84</v>
      </c>
      <c r="J1279" s="192">
        <f>SUM(H1279:I1279)</f>
        <v>126.84</v>
      </c>
    </row>
    <row r="1280" spans="1:10" outlineLevel="2">
      <c r="A1280" s="191" t="s">
        <v>647</v>
      </c>
      <c r="B1280" s="191" t="s">
        <v>626</v>
      </c>
      <c r="C1280" s="191" t="s">
        <v>627</v>
      </c>
      <c r="D1280" s="191" t="s">
        <v>2277</v>
      </c>
      <c r="E1280" s="191" t="s">
        <v>2664</v>
      </c>
      <c r="F1280" s="191" t="s">
        <v>2664</v>
      </c>
      <c r="G1280" s="191">
        <v>7</v>
      </c>
      <c r="H1280" s="192">
        <v>0</v>
      </c>
      <c r="I1280" s="192">
        <v>813.98</v>
      </c>
      <c r="J1280" s="192">
        <f>SUM(H1280:I1280)</f>
        <v>813.98</v>
      </c>
    </row>
    <row r="1281" spans="1:10" outlineLevel="2">
      <c r="A1281" s="191" t="s">
        <v>2925</v>
      </c>
      <c r="B1281" s="191" t="s">
        <v>116</v>
      </c>
      <c r="C1281" s="191" t="s">
        <v>627</v>
      </c>
      <c r="D1281" s="191" t="s">
        <v>2277</v>
      </c>
      <c r="E1281" s="191" t="s">
        <v>2664</v>
      </c>
      <c r="F1281" s="191" t="s">
        <v>2664</v>
      </c>
      <c r="G1281" s="191">
        <v>7</v>
      </c>
      <c r="H1281" s="192">
        <v>100</v>
      </c>
      <c r="I1281" s="192">
        <v>63.11</v>
      </c>
      <c r="J1281" s="192">
        <f>SUM(H1281:I1281)</f>
        <v>163.11000000000001</v>
      </c>
    </row>
    <row r="1282" spans="1:10" outlineLevel="2">
      <c r="A1282" s="191" t="s">
        <v>648</v>
      </c>
      <c r="B1282" s="191" t="s">
        <v>147</v>
      </c>
      <c r="C1282" s="191" t="s">
        <v>627</v>
      </c>
      <c r="D1282" s="191" t="s">
        <v>2244</v>
      </c>
      <c r="E1282" s="191" t="s">
        <v>2652</v>
      </c>
      <c r="F1282" s="191" t="s">
        <v>1481</v>
      </c>
      <c r="G1282" s="191">
        <v>14</v>
      </c>
      <c r="H1282" s="192">
        <v>0</v>
      </c>
      <c r="I1282" s="192">
        <v>108.52</v>
      </c>
      <c r="J1282" s="192">
        <f>SUM(H1282:I1282)</f>
        <v>108.52</v>
      </c>
    </row>
    <row r="1283" spans="1:10" outlineLevel="2">
      <c r="A1283" s="191" t="s">
        <v>648</v>
      </c>
      <c r="B1283" s="191" t="s">
        <v>112</v>
      </c>
      <c r="C1283" s="191" t="s">
        <v>627</v>
      </c>
      <c r="D1283" s="191" t="s">
        <v>2257</v>
      </c>
      <c r="E1283" s="191" t="s">
        <v>1499</v>
      </c>
      <c r="F1283" s="191" t="s">
        <v>1500</v>
      </c>
      <c r="G1283" s="191">
        <v>14</v>
      </c>
      <c r="H1283" s="192">
        <v>0</v>
      </c>
      <c r="I1283" s="192">
        <v>114.14</v>
      </c>
      <c r="J1283" s="192">
        <f>SUM(H1283:I1283)</f>
        <v>114.14</v>
      </c>
    </row>
    <row r="1284" spans="1:10" outlineLevel="2">
      <c r="A1284" s="191" t="s">
        <v>649</v>
      </c>
      <c r="B1284" s="191" t="s">
        <v>626</v>
      </c>
      <c r="C1284" s="191" t="s">
        <v>627</v>
      </c>
      <c r="D1284" s="191" t="s">
        <v>2266</v>
      </c>
      <c r="E1284" s="191" t="s">
        <v>2673</v>
      </c>
      <c r="F1284" s="191" t="s">
        <v>2587</v>
      </c>
      <c r="G1284" s="191">
        <v>21</v>
      </c>
      <c r="H1284" s="192">
        <v>100</v>
      </c>
      <c r="I1284" s="192">
        <v>446.82</v>
      </c>
      <c r="J1284" s="192">
        <f>SUM(H1284:I1284)</f>
        <v>546.81999999999994</v>
      </c>
    </row>
    <row r="1285" spans="1:10" outlineLevel="2">
      <c r="A1285" s="191" t="s">
        <v>2926</v>
      </c>
      <c r="B1285" s="191" t="s">
        <v>626</v>
      </c>
      <c r="C1285" s="191" t="s">
        <v>627</v>
      </c>
      <c r="D1285" s="191" t="s">
        <v>2278</v>
      </c>
      <c r="E1285" s="191" t="s">
        <v>2608</v>
      </c>
      <c r="F1285" s="191" t="s">
        <v>2608</v>
      </c>
      <c r="G1285" s="191">
        <v>7</v>
      </c>
      <c r="H1285" s="192">
        <v>0</v>
      </c>
      <c r="I1285" s="192">
        <v>152.35</v>
      </c>
      <c r="J1285" s="192">
        <f>SUM(H1285:I1285)</f>
        <v>152.35</v>
      </c>
    </row>
    <row r="1286" spans="1:10" outlineLevel="2">
      <c r="A1286" s="191" t="s">
        <v>2926</v>
      </c>
      <c r="B1286" s="191" t="s">
        <v>626</v>
      </c>
      <c r="C1286" s="191" t="s">
        <v>627</v>
      </c>
      <c r="D1286" s="191" t="s">
        <v>2279</v>
      </c>
      <c r="E1286" s="191" t="s">
        <v>2619</v>
      </c>
      <c r="F1286" s="191" t="s">
        <v>1495</v>
      </c>
      <c r="G1286" s="191">
        <v>21</v>
      </c>
      <c r="H1286" s="192">
        <v>0</v>
      </c>
      <c r="I1286" s="192">
        <v>457.05</v>
      </c>
      <c r="J1286" s="192">
        <f>SUM(H1286:I1286)</f>
        <v>457.05</v>
      </c>
    </row>
    <row r="1287" spans="1:10" outlineLevel="2">
      <c r="A1287" s="191" t="s">
        <v>2926</v>
      </c>
      <c r="B1287" s="191" t="s">
        <v>626</v>
      </c>
      <c r="C1287" s="191" t="s">
        <v>627</v>
      </c>
      <c r="D1287" s="191" t="s">
        <v>2280</v>
      </c>
      <c r="E1287" s="191" t="s">
        <v>1502</v>
      </c>
      <c r="F1287" s="191" t="s">
        <v>2681</v>
      </c>
      <c r="G1287" s="191">
        <v>21</v>
      </c>
      <c r="H1287" s="192">
        <v>0</v>
      </c>
      <c r="I1287" s="192">
        <v>444.45</v>
      </c>
      <c r="J1287" s="192">
        <f>SUM(H1287:I1287)</f>
        <v>444.45</v>
      </c>
    </row>
    <row r="1288" spans="1:10" outlineLevel="2">
      <c r="A1288" s="191" t="s">
        <v>650</v>
      </c>
      <c r="B1288" s="191" t="s">
        <v>112</v>
      </c>
      <c r="C1288" s="191" t="s">
        <v>627</v>
      </c>
      <c r="D1288" s="191" t="s">
        <v>2259</v>
      </c>
      <c r="E1288" s="191" t="s">
        <v>2606</v>
      </c>
      <c r="F1288" s="191" t="s">
        <v>1487</v>
      </c>
      <c r="G1288" s="191">
        <v>21</v>
      </c>
      <c r="H1288" s="192">
        <v>0</v>
      </c>
      <c r="I1288" s="192">
        <v>176.07</v>
      </c>
      <c r="J1288" s="192">
        <f>SUM(H1288:I1288)</f>
        <v>176.07</v>
      </c>
    </row>
    <row r="1289" spans="1:10" outlineLevel="2">
      <c r="A1289" s="191" t="s">
        <v>651</v>
      </c>
      <c r="B1289" s="191" t="s">
        <v>626</v>
      </c>
      <c r="C1289" s="191" t="s">
        <v>627</v>
      </c>
      <c r="D1289" s="191" t="s">
        <v>2263</v>
      </c>
      <c r="E1289" s="191" t="s">
        <v>1485</v>
      </c>
      <c r="F1289" s="191" t="s">
        <v>1486</v>
      </c>
      <c r="G1289" s="191">
        <v>21</v>
      </c>
      <c r="H1289" s="192">
        <v>0</v>
      </c>
      <c r="I1289" s="192">
        <v>409.77</v>
      </c>
      <c r="J1289" s="192">
        <f>SUM(H1289:I1289)</f>
        <v>409.77</v>
      </c>
    </row>
    <row r="1290" spans="1:10" outlineLevel="2">
      <c r="A1290" s="191" t="s">
        <v>651</v>
      </c>
      <c r="B1290" s="191" t="s">
        <v>626</v>
      </c>
      <c r="C1290" s="191" t="s">
        <v>627</v>
      </c>
      <c r="D1290" s="191" t="s">
        <v>2281</v>
      </c>
      <c r="E1290" s="191" t="s">
        <v>2656</v>
      </c>
      <c r="F1290" s="191" t="s">
        <v>2696</v>
      </c>
      <c r="G1290" s="191">
        <v>35</v>
      </c>
      <c r="H1290" s="192">
        <v>0</v>
      </c>
      <c r="I1290" s="192">
        <v>686.25</v>
      </c>
      <c r="J1290" s="192">
        <f>SUM(H1290:I1290)</f>
        <v>686.25</v>
      </c>
    </row>
    <row r="1291" spans="1:10" outlineLevel="2">
      <c r="A1291" s="191" t="s">
        <v>652</v>
      </c>
      <c r="B1291" s="191" t="s">
        <v>116</v>
      </c>
      <c r="C1291" s="191" t="s">
        <v>627</v>
      </c>
      <c r="D1291" s="191" t="s">
        <v>2282</v>
      </c>
      <c r="E1291" s="191" t="s">
        <v>2639</v>
      </c>
      <c r="F1291" s="191" t="s">
        <v>2608</v>
      </c>
      <c r="G1291" s="191">
        <v>14</v>
      </c>
      <c r="H1291" s="192">
        <v>0</v>
      </c>
      <c r="I1291" s="192">
        <v>126.22</v>
      </c>
      <c r="J1291" s="192">
        <f>SUM(H1291:I1291)</f>
        <v>126.22</v>
      </c>
    </row>
    <row r="1292" spans="1:10" outlineLevel="2">
      <c r="A1292" s="191" t="s">
        <v>652</v>
      </c>
      <c r="B1292" s="191" t="s">
        <v>626</v>
      </c>
      <c r="C1292" s="191" t="s">
        <v>627</v>
      </c>
      <c r="D1292" s="191" t="s">
        <v>2283</v>
      </c>
      <c r="E1292" s="191" t="s">
        <v>2633</v>
      </c>
      <c r="F1292" s="191" t="s">
        <v>2603</v>
      </c>
      <c r="G1292" s="191">
        <v>14</v>
      </c>
      <c r="H1292" s="192">
        <v>0</v>
      </c>
      <c r="I1292" s="192">
        <v>271.08</v>
      </c>
      <c r="J1292" s="192">
        <f>SUM(H1292:I1292)</f>
        <v>271.08</v>
      </c>
    </row>
    <row r="1293" spans="1:10" outlineLevel="2">
      <c r="A1293" s="191" t="s">
        <v>652</v>
      </c>
      <c r="B1293" s="191" t="s">
        <v>626</v>
      </c>
      <c r="C1293" s="191" t="s">
        <v>627</v>
      </c>
      <c r="D1293" s="191" t="s">
        <v>2284</v>
      </c>
      <c r="E1293" s="191" t="s">
        <v>2607</v>
      </c>
      <c r="F1293" s="191" t="s">
        <v>1500</v>
      </c>
      <c r="G1293" s="191">
        <v>21</v>
      </c>
      <c r="H1293" s="192">
        <v>0</v>
      </c>
      <c r="I1293" s="192">
        <v>404.46</v>
      </c>
      <c r="J1293" s="192">
        <f>SUM(H1293:I1293)</f>
        <v>404.46</v>
      </c>
    </row>
    <row r="1294" spans="1:10" outlineLevel="2">
      <c r="A1294" s="191" t="s">
        <v>653</v>
      </c>
      <c r="B1294" s="191" t="s">
        <v>626</v>
      </c>
      <c r="C1294" s="191" t="s">
        <v>627</v>
      </c>
      <c r="D1294" s="191" t="s">
        <v>2285</v>
      </c>
      <c r="E1294" s="191" t="s">
        <v>2680</v>
      </c>
      <c r="F1294" s="191" t="s">
        <v>2681</v>
      </c>
      <c r="G1294" s="191">
        <v>14</v>
      </c>
      <c r="H1294" s="192">
        <v>0</v>
      </c>
      <c r="I1294" s="192">
        <v>292.94</v>
      </c>
      <c r="J1294" s="192">
        <f>SUM(H1294:I1294)</f>
        <v>292.94</v>
      </c>
    </row>
    <row r="1295" spans="1:10" outlineLevel="2">
      <c r="A1295" s="191" t="s">
        <v>654</v>
      </c>
      <c r="B1295" s="191" t="s">
        <v>626</v>
      </c>
      <c r="C1295" s="191" t="s">
        <v>627</v>
      </c>
      <c r="D1295" s="191" t="s">
        <v>2286</v>
      </c>
      <c r="E1295" s="191" t="s">
        <v>2666</v>
      </c>
      <c r="F1295" s="191" t="s">
        <v>2666</v>
      </c>
      <c r="G1295" s="191">
        <v>7</v>
      </c>
      <c r="H1295" s="192">
        <v>0</v>
      </c>
      <c r="I1295" s="192">
        <v>128.03</v>
      </c>
      <c r="J1295" s="192">
        <f>SUM(H1295:I1295)</f>
        <v>128.03</v>
      </c>
    </row>
    <row r="1296" spans="1:10" outlineLevel="2">
      <c r="A1296" s="191" t="s">
        <v>654</v>
      </c>
      <c r="B1296" s="191" t="s">
        <v>626</v>
      </c>
      <c r="C1296" s="191" t="s">
        <v>627</v>
      </c>
      <c r="D1296" s="191" t="s">
        <v>2286</v>
      </c>
      <c r="E1296" s="191" t="s">
        <v>2588</v>
      </c>
      <c r="F1296" s="191" t="s">
        <v>2588</v>
      </c>
      <c r="G1296" s="191">
        <v>7</v>
      </c>
      <c r="H1296" s="192">
        <v>0</v>
      </c>
      <c r="I1296" s="192">
        <v>128.03</v>
      </c>
      <c r="J1296" s="192">
        <f>SUM(H1296:I1296)</f>
        <v>128.03</v>
      </c>
    </row>
    <row r="1297" spans="1:10" outlineLevel="2">
      <c r="A1297" s="191" t="s">
        <v>654</v>
      </c>
      <c r="B1297" s="191" t="s">
        <v>626</v>
      </c>
      <c r="C1297" s="191" t="s">
        <v>627</v>
      </c>
      <c r="D1297" s="191" t="s">
        <v>2287</v>
      </c>
      <c r="E1297" s="191" t="s">
        <v>1485</v>
      </c>
      <c r="F1297" s="191" t="s">
        <v>1485</v>
      </c>
      <c r="G1297" s="191">
        <v>7</v>
      </c>
      <c r="H1297" s="192">
        <v>0</v>
      </c>
      <c r="I1297" s="192">
        <v>128.03</v>
      </c>
      <c r="J1297" s="192">
        <f>SUM(H1297:I1297)</f>
        <v>128.03</v>
      </c>
    </row>
    <row r="1298" spans="1:10" outlineLevel="2">
      <c r="A1298" s="191" t="s">
        <v>654</v>
      </c>
      <c r="B1298" s="191" t="s">
        <v>626</v>
      </c>
      <c r="C1298" s="191" t="s">
        <v>627</v>
      </c>
      <c r="D1298" s="191" t="s">
        <v>2287</v>
      </c>
      <c r="E1298" s="191" t="s">
        <v>1486</v>
      </c>
      <c r="F1298" s="191" t="s">
        <v>1486</v>
      </c>
      <c r="G1298" s="191">
        <v>7</v>
      </c>
      <c r="H1298" s="192">
        <v>0</v>
      </c>
      <c r="I1298" s="192">
        <v>128.03</v>
      </c>
      <c r="J1298" s="192">
        <f>SUM(H1298:I1298)</f>
        <v>128.03</v>
      </c>
    </row>
    <row r="1299" spans="1:10" outlineLevel="2">
      <c r="A1299" s="191" t="s">
        <v>654</v>
      </c>
      <c r="B1299" s="191" t="s">
        <v>626</v>
      </c>
      <c r="C1299" s="191" t="s">
        <v>627</v>
      </c>
      <c r="D1299" s="191" t="s">
        <v>2288</v>
      </c>
      <c r="E1299" s="191" t="s">
        <v>2698</v>
      </c>
      <c r="F1299" s="191" t="s">
        <v>2698</v>
      </c>
      <c r="G1299" s="191">
        <v>7</v>
      </c>
      <c r="H1299" s="192">
        <v>0</v>
      </c>
      <c r="I1299" s="192">
        <v>128.65</v>
      </c>
      <c r="J1299" s="192">
        <f>SUM(H1299:I1299)</f>
        <v>128.65</v>
      </c>
    </row>
    <row r="1300" spans="1:10" outlineLevel="2">
      <c r="A1300" s="191" t="s">
        <v>654</v>
      </c>
      <c r="B1300" s="191" t="s">
        <v>626</v>
      </c>
      <c r="C1300" s="191" t="s">
        <v>627</v>
      </c>
      <c r="D1300" s="191" t="s">
        <v>2288</v>
      </c>
      <c r="E1300" s="191" t="s">
        <v>2696</v>
      </c>
      <c r="F1300" s="191" t="s">
        <v>2696</v>
      </c>
      <c r="G1300" s="191">
        <v>7</v>
      </c>
      <c r="H1300" s="192">
        <v>0</v>
      </c>
      <c r="I1300" s="192">
        <v>128.65</v>
      </c>
      <c r="J1300" s="192">
        <f>SUM(H1300:I1300)</f>
        <v>128.65</v>
      </c>
    </row>
    <row r="1301" spans="1:10" outlineLevel="2">
      <c r="A1301" s="191" t="s">
        <v>655</v>
      </c>
      <c r="B1301" s="191" t="s">
        <v>626</v>
      </c>
      <c r="C1301" s="191" t="s">
        <v>627</v>
      </c>
      <c r="D1301" s="191" t="s">
        <v>2289</v>
      </c>
      <c r="E1301" s="191" t="s">
        <v>2640</v>
      </c>
      <c r="F1301" s="191" t="s">
        <v>2640</v>
      </c>
      <c r="G1301" s="191">
        <v>7</v>
      </c>
      <c r="H1301" s="192">
        <v>0</v>
      </c>
      <c r="I1301" s="192">
        <v>133.83000000000001</v>
      </c>
      <c r="J1301" s="192">
        <f>SUM(H1301:I1301)</f>
        <v>133.83000000000001</v>
      </c>
    </row>
    <row r="1302" spans="1:10" outlineLevel="2">
      <c r="A1302" s="191" t="s">
        <v>655</v>
      </c>
      <c r="B1302" s="191" t="s">
        <v>626</v>
      </c>
      <c r="C1302" s="191" t="s">
        <v>627</v>
      </c>
      <c r="D1302" s="191" t="s">
        <v>2289</v>
      </c>
      <c r="E1302" s="191" t="s">
        <v>2741</v>
      </c>
      <c r="F1302" s="191" t="s">
        <v>2741</v>
      </c>
      <c r="G1302" s="191">
        <v>7</v>
      </c>
      <c r="H1302" s="192">
        <v>0</v>
      </c>
      <c r="I1302" s="192">
        <v>170.65</v>
      </c>
      <c r="J1302" s="192">
        <f>SUM(H1302:I1302)</f>
        <v>170.65</v>
      </c>
    </row>
    <row r="1303" spans="1:10" outlineLevel="2">
      <c r="A1303" s="191" t="s">
        <v>655</v>
      </c>
      <c r="B1303" s="191" t="s">
        <v>626</v>
      </c>
      <c r="C1303" s="191" t="s">
        <v>627</v>
      </c>
      <c r="D1303" s="191" t="s">
        <v>2289</v>
      </c>
      <c r="E1303" s="191" t="s">
        <v>2750</v>
      </c>
      <c r="F1303" s="191" t="s">
        <v>2750</v>
      </c>
      <c r="G1303" s="191">
        <v>7</v>
      </c>
      <c r="H1303" s="192">
        <v>0</v>
      </c>
      <c r="I1303" s="192">
        <v>170.65</v>
      </c>
      <c r="J1303" s="192">
        <f>SUM(H1303:I1303)</f>
        <v>170.65</v>
      </c>
    </row>
    <row r="1304" spans="1:10" outlineLevel="2">
      <c r="A1304" s="191" t="s">
        <v>655</v>
      </c>
      <c r="B1304" s="191" t="s">
        <v>626</v>
      </c>
      <c r="C1304" s="191" t="s">
        <v>627</v>
      </c>
      <c r="D1304" s="191" t="s">
        <v>2290</v>
      </c>
      <c r="E1304" s="191" t="s">
        <v>2619</v>
      </c>
      <c r="F1304" s="191" t="s">
        <v>1496</v>
      </c>
      <c r="G1304" s="191">
        <v>28</v>
      </c>
      <c r="H1304" s="192">
        <v>100</v>
      </c>
      <c r="I1304" s="192">
        <v>532.72</v>
      </c>
      <c r="J1304" s="192">
        <f>SUM(H1304:I1304)</f>
        <v>632.72</v>
      </c>
    </row>
    <row r="1305" spans="1:10" outlineLevel="2">
      <c r="A1305" s="191" t="s">
        <v>656</v>
      </c>
      <c r="B1305" s="191" t="s">
        <v>626</v>
      </c>
      <c r="C1305" s="191" t="s">
        <v>627</v>
      </c>
      <c r="D1305" s="191" t="s">
        <v>2291</v>
      </c>
      <c r="E1305" s="191" t="s">
        <v>2661</v>
      </c>
      <c r="F1305" s="191" t="s">
        <v>2661</v>
      </c>
      <c r="G1305" s="191">
        <v>7</v>
      </c>
      <c r="H1305" s="192">
        <v>0</v>
      </c>
      <c r="I1305" s="192">
        <v>136.59</v>
      </c>
      <c r="J1305" s="192">
        <f>SUM(H1305:I1305)</f>
        <v>136.59</v>
      </c>
    </row>
    <row r="1306" spans="1:10" outlineLevel="2">
      <c r="A1306" s="191" t="s">
        <v>656</v>
      </c>
      <c r="B1306" s="191" t="s">
        <v>626</v>
      </c>
      <c r="C1306" s="191" t="s">
        <v>627</v>
      </c>
      <c r="D1306" s="191" t="s">
        <v>2292</v>
      </c>
      <c r="E1306" s="191" t="s">
        <v>1495</v>
      </c>
      <c r="F1306" s="191" t="s">
        <v>1496</v>
      </c>
      <c r="G1306" s="191">
        <v>14</v>
      </c>
      <c r="H1306" s="192">
        <v>0</v>
      </c>
      <c r="I1306" s="192">
        <v>273.18</v>
      </c>
      <c r="J1306" s="192">
        <f>SUM(H1306:I1306)</f>
        <v>273.18</v>
      </c>
    </row>
    <row r="1307" spans="1:10" outlineLevel="2">
      <c r="A1307" s="191" t="s">
        <v>656</v>
      </c>
      <c r="B1307" s="191" t="s">
        <v>626</v>
      </c>
      <c r="C1307" s="191" t="s">
        <v>627</v>
      </c>
      <c r="D1307" s="191" t="s">
        <v>2293</v>
      </c>
      <c r="E1307" s="191" t="s">
        <v>2607</v>
      </c>
      <c r="F1307" s="191" t="s">
        <v>1500</v>
      </c>
      <c r="G1307" s="191">
        <v>21</v>
      </c>
      <c r="H1307" s="192">
        <v>0</v>
      </c>
      <c r="I1307" s="192">
        <v>403.44</v>
      </c>
      <c r="J1307" s="192">
        <f>SUM(H1307:I1307)</f>
        <v>403.44</v>
      </c>
    </row>
    <row r="1308" spans="1:10" outlineLevel="2">
      <c r="A1308" s="191" t="s">
        <v>657</v>
      </c>
      <c r="B1308" s="191" t="s">
        <v>626</v>
      </c>
      <c r="C1308" s="191" t="s">
        <v>627</v>
      </c>
      <c r="D1308" s="191" t="s">
        <v>2248</v>
      </c>
      <c r="E1308" s="191" t="s">
        <v>1482</v>
      </c>
      <c r="F1308" s="191" t="s">
        <v>1482</v>
      </c>
      <c r="G1308" s="191">
        <v>7</v>
      </c>
      <c r="H1308" s="192">
        <v>0</v>
      </c>
      <c r="I1308" s="192">
        <v>148.94</v>
      </c>
      <c r="J1308" s="192">
        <f>SUM(H1308:I1308)</f>
        <v>148.94</v>
      </c>
    </row>
    <row r="1309" spans="1:10" outlineLevel="2">
      <c r="A1309" s="191" t="s">
        <v>657</v>
      </c>
      <c r="B1309" s="191" t="s">
        <v>626</v>
      </c>
      <c r="C1309" s="191" t="s">
        <v>627</v>
      </c>
      <c r="D1309" s="191" t="s">
        <v>2294</v>
      </c>
      <c r="E1309" s="191" t="s">
        <v>2704</v>
      </c>
      <c r="F1309" s="191" t="s">
        <v>2727</v>
      </c>
      <c r="G1309" s="191">
        <v>14</v>
      </c>
      <c r="H1309" s="192">
        <v>0</v>
      </c>
      <c r="I1309" s="192">
        <v>297.88</v>
      </c>
      <c r="J1309" s="192">
        <f>SUM(H1309:I1309)</f>
        <v>297.88</v>
      </c>
    </row>
    <row r="1310" spans="1:10" outlineLevel="2">
      <c r="A1310" s="191" t="s">
        <v>658</v>
      </c>
      <c r="B1310" s="191" t="s">
        <v>112</v>
      </c>
      <c r="C1310" s="191" t="s">
        <v>627</v>
      </c>
      <c r="D1310" s="191" t="s">
        <v>2257</v>
      </c>
      <c r="E1310" s="191" t="s">
        <v>1499</v>
      </c>
      <c r="F1310" s="191" t="s">
        <v>1500</v>
      </c>
      <c r="G1310" s="191">
        <v>14</v>
      </c>
      <c r="H1310" s="192">
        <v>0</v>
      </c>
      <c r="I1310" s="192">
        <v>117.94</v>
      </c>
      <c r="J1310" s="192">
        <f>SUM(H1310:I1310)</f>
        <v>117.94</v>
      </c>
    </row>
    <row r="1311" spans="1:10" outlineLevel="2">
      <c r="A1311" s="191" t="s">
        <v>658</v>
      </c>
      <c r="B1311" s="191" t="s">
        <v>112</v>
      </c>
      <c r="C1311" s="191" t="s">
        <v>627</v>
      </c>
      <c r="D1311" s="191" t="s">
        <v>2259</v>
      </c>
      <c r="E1311" s="191" t="s">
        <v>2606</v>
      </c>
      <c r="F1311" s="191" t="s">
        <v>1487</v>
      </c>
      <c r="G1311" s="191">
        <v>21</v>
      </c>
      <c r="H1311" s="192">
        <v>0</v>
      </c>
      <c r="I1311" s="192">
        <v>176.07</v>
      </c>
      <c r="J1311" s="192">
        <f>SUM(H1311:I1311)</f>
        <v>176.07</v>
      </c>
    </row>
    <row r="1312" spans="1:10" outlineLevel="2">
      <c r="A1312" s="191" t="s">
        <v>659</v>
      </c>
      <c r="B1312" s="191" t="s">
        <v>626</v>
      </c>
      <c r="C1312" s="191" t="s">
        <v>627</v>
      </c>
      <c r="D1312" s="191" t="s">
        <v>2295</v>
      </c>
      <c r="E1312" s="191" t="s">
        <v>2751</v>
      </c>
      <c r="F1312" s="191" t="s">
        <v>2751</v>
      </c>
      <c r="G1312" s="191">
        <v>7</v>
      </c>
      <c r="H1312" s="192">
        <v>0</v>
      </c>
      <c r="I1312" s="192">
        <v>136.59</v>
      </c>
      <c r="J1312" s="192">
        <f>SUM(H1312:I1312)</f>
        <v>136.59</v>
      </c>
    </row>
    <row r="1313" spans="1:10" outlineLevel="2">
      <c r="A1313" s="191" t="s">
        <v>659</v>
      </c>
      <c r="B1313" s="191" t="s">
        <v>626</v>
      </c>
      <c r="C1313" s="191" t="s">
        <v>627</v>
      </c>
      <c r="D1313" s="191" t="s">
        <v>2273</v>
      </c>
      <c r="E1313" s="191" t="s">
        <v>1495</v>
      </c>
      <c r="F1313" s="191" t="s">
        <v>1496</v>
      </c>
      <c r="G1313" s="191">
        <v>14</v>
      </c>
      <c r="H1313" s="192">
        <v>0</v>
      </c>
      <c r="I1313" s="192">
        <v>273.18</v>
      </c>
      <c r="J1313" s="192">
        <f>SUM(H1313:I1313)</f>
        <v>273.18</v>
      </c>
    </row>
    <row r="1314" spans="1:10" outlineLevel="2">
      <c r="A1314" s="191" t="s">
        <v>660</v>
      </c>
      <c r="B1314" s="191" t="s">
        <v>626</v>
      </c>
      <c r="C1314" s="191" t="s">
        <v>627</v>
      </c>
      <c r="D1314" s="191" t="s">
        <v>2296</v>
      </c>
      <c r="E1314" s="191" t="s">
        <v>2633</v>
      </c>
      <c r="F1314" s="191" t="s">
        <v>2603</v>
      </c>
      <c r="G1314" s="191">
        <v>14</v>
      </c>
      <c r="H1314" s="192">
        <v>0</v>
      </c>
      <c r="I1314" s="192">
        <v>299.33999999999997</v>
      </c>
      <c r="J1314" s="192">
        <f>SUM(H1314:I1314)</f>
        <v>299.33999999999997</v>
      </c>
    </row>
    <row r="1315" spans="1:10" outlineLevel="2">
      <c r="A1315" s="191" t="s">
        <v>660</v>
      </c>
      <c r="B1315" s="191" t="s">
        <v>626</v>
      </c>
      <c r="C1315" s="191" t="s">
        <v>627</v>
      </c>
      <c r="D1315" s="191" t="s">
        <v>2282</v>
      </c>
      <c r="E1315" s="191" t="s">
        <v>2719</v>
      </c>
      <c r="F1315" s="191" t="s">
        <v>2608</v>
      </c>
      <c r="G1315" s="191">
        <v>21</v>
      </c>
      <c r="H1315" s="192">
        <v>0</v>
      </c>
      <c r="I1315" s="192">
        <v>446.82</v>
      </c>
      <c r="J1315" s="192">
        <f>SUM(H1315:I1315)</f>
        <v>446.82</v>
      </c>
    </row>
    <row r="1316" spans="1:10" outlineLevel="2">
      <c r="A1316" s="191" t="s">
        <v>660</v>
      </c>
      <c r="B1316" s="191" t="s">
        <v>626</v>
      </c>
      <c r="C1316" s="191" t="s">
        <v>627</v>
      </c>
      <c r="D1316" s="191" t="s">
        <v>2116</v>
      </c>
      <c r="E1316" s="191" t="s">
        <v>2607</v>
      </c>
      <c r="F1316" s="191" t="s">
        <v>1500</v>
      </c>
      <c r="G1316" s="191">
        <v>21</v>
      </c>
      <c r="H1316" s="192">
        <v>0</v>
      </c>
      <c r="I1316" s="192">
        <v>434.52</v>
      </c>
      <c r="J1316" s="192">
        <f>SUM(H1316:I1316)</f>
        <v>434.52</v>
      </c>
    </row>
    <row r="1317" spans="1:10" outlineLevel="2">
      <c r="A1317" s="191" t="s">
        <v>2927</v>
      </c>
      <c r="B1317" s="191" t="s">
        <v>141</v>
      </c>
      <c r="C1317" s="191" t="s">
        <v>627</v>
      </c>
      <c r="D1317" s="191" t="s">
        <v>2271</v>
      </c>
      <c r="E1317" s="191" t="s">
        <v>2594</v>
      </c>
      <c r="F1317" s="191" t="s">
        <v>2588</v>
      </c>
      <c r="G1317" s="191">
        <v>14</v>
      </c>
      <c r="H1317" s="192">
        <v>100</v>
      </c>
      <c r="I1317" s="192">
        <v>101.44</v>
      </c>
      <c r="J1317" s="192">
        <f>SUM(H1317:I1317)</f>
        <v>201.44</v>
      </c>
    </row>
    <row r="1318" spans="1:10" outlineLevel="2">
      <c r="A1318" s="191" t="s">
        <v>2927</v>
      </c>
      <c r="B1318" s="191" t="s">
        <v>147</v>
      </c>
      <c r="C1318" s="191" t="s">
        <v>627</v>
      </c>
      <c r="D1318" s="191" t="s">
        <v>2253</v>
      </c>
      <c r="E1318" s="191" t="s">
        <v>2664</v>
      </c>
      <c r="F1318" s="191" t="s">
        <v>2664</v>
      </c>
      <c r="G1318" s="191">
        <v>7</v>
      </c>
      <c r="H1318" s="192">
        <v>0</v>
      </c>
      <c r="I1318" s="192">
        <v>54.26</v>
      </c>
      <c r="J1318" s="192">
        <f>SUM(H1318:I1318)</f>
        <v>54.26</v>
      </c>
    </row>
    <row r="1319" spans="1:10" outlineLevel="2">
      <c r="A1319" s="191" t="s">
        <v>2927</v>
      </c>
      <c r="B1319" s="191" t="s">
        <v>147</v>
      </c>
      <c r="C1319" s="191" t="s">
        <v>627</v>
      </c>
      <c r="D1319" s="191" t="s">
        <v>2297</v>
      </c>
      <c r="E1319" s="191" t="s">
        <v>2639</v>
      </c>
      <c r="F1319" s="191" t="s">
        <v>2608</v>
      </c>
      <c r="G1319" s="191">
        <v>14</v>
      </c>
      <c r="H1319" s="192">
        <v>0</v>
      </c>
      <c r="I1319" s="192">
        <v>107.12</v>
      </c>
      <c r="J1319" s="192">
        <f>SUM(H1319:I1319)</f>
        <v>107.12</v>
      </c>
    </row>
    <row r="1320" spans="1:10" outlineLevel="2">
      <c r="A1320" s="191" t="s">
        <v>2927</v>
      </c>
      <c r="B1320" s="191" t="s">
        <v>147</v>
      </c>
      <c r="C1320" s="191" t="s">
        <v>627</v>
      </c>
      <c r="D1320" s="191" t="s">
        <v>912</v>
      </c>
      <c r="E1320" s="191" t="s">
        <v>1499</v>
      </c>
      <c r="F1320" s="191" t="s">
        <v>1500</v>
      </c>
      <c r="G1320" s="191">
        <v>14</v>
      </c>
      <c r="H1320" s="192">
        <v>0</v>
      </c>
      <c r="I1320" s="192">
        <v>105.54</v>
      </c>
      <c r="J1320" s="192">
        <f>SUM(H1320:I1320)</f>
        <v>105.54</v>
      </c>
    </row>
    <row r="1321" spans="1:10" outlineLevel="2">
      <c r="A1321" s="191" t="s">
        <v>661</v>
      </c>
      <c r="B1321" s="191" t="s">
        <v>626</v>
      </c>
      <c r="C1321" s="191" t="s">
        <v>627</v>
      </c>
      <c r="D1321" s="191" t="s">
        <v>2277</v>
      </c>
      <c r="E1321" s="191" t="s">
        <v>2732</v>
      </c>
      <c r="F1321" s="191" t="s">
        <v>2664</v>
      </c>
      <c r="G1321" s="191">
        <v>14</v>
      </c>
      <c r="H1321" s="192">
        <v>0</v>
      </c>
      <c r="I1321" s="192">
        <v>320.88</v>
      </c>
      <c r="J1321" s="192">
        <f>SUM(H1321:I1321)</f>
        <v>320.88</v>
      </c>
    </row>
    <row r="1322" spans="1:10" outlineLevel="2">
      <c r="A1322" s="191" t="s">
        <v>662</v>
      </c>
      <c r="B1322" s="191" t="s">
        <v>663</v>
      </c>
      <c r="C1322" s="191" t="s">
        <v>627</v>
      </c>
      <c r="D1322" s="191" t="s">
        <v>2298</v>
      </c>
      <c r="E1322" s="191" t="s">
        <v>2664</v>
      </c>
      <c r="F1322" s="191" t="s">
        <v>2664</v>
      </c>
      <c r="G1322" s="191">
        <v>7</v>
      </c>
      <c r="H1322" s="192">
        <v>0</v>
      </c>
      <c r="I1322" s="192">
        <v>173.64</v>
      </c>
      <c r="J1322" s="192">
        <f>SUM(H1322:I1322)</f>
        <v>173.64</v>
      </c>
    </row>
    <row r="1323" spans="1:10" outlineLevel="2">
      <c r="A1323" s="191" t="s">
        <v>662</v>
      </c>
      <c r="B1323" s="191" t="s">
        <v>663</v>
      </c>
      <c r="C1323" s="191" t="s">
        <v>627</v>
      </c>
      <c r="D1323" s="191" t="s">
        <v>2299</v>
      </c>
      <c r="E1323" s="191" t="s">
        <v>2711</v>
      </c>
      <c r="F1323" s="191" t="s">
        <v>2589</v>
      </c>
      <c r="G1323" s="191">
        <v>14</v>
      </c>
      <c r="H1323" s="192">
        <v>0</v>
      </c>
      <c r="I1323" s="192">
        <v>347.28</v>
      </c>
      <c r="J1323" s="192">
        <f>SUM(H1323:I1323)</f>
        <v>347.28</v>
      </c>
    </row>
    <row r="1324" spans="1:10" outlineLevel="2">
      <c r="A1324" s="191" t="s">
        <v>662</v>
      </c>
      <c r="B1324" s="191" t="s">
        <v>663</v>
      </c>
      <c r="C1324" s="191" t="s">
        <v>627</v>
      </c>
      <c r="D1324" s="191" t="s">
        <v>2300</v>
      </c>
      <c r="E1324" s="191" t="s">
        <v>1494</v>
      </c>
      <c r="F1324" s="191" t="s">
        <v>1480</v>
      </c>
      <c r="G1324" s="191">
        <v>14</v>
      </c>
      <c r="H1324" s="192">
        <v>0</v>
      </c>
      <c r="I1324" s="192">
        <v>348.98</v>
      </c>
      <c r="J1324" s="192">
        <f>SUM(H1324:I1324)</f>
        <v>348.98</v>
      </c>
    </row>
    <row r="1325" spans="1:10" outlineLevel="2">
      <c r="A1325" s="191" t="s">
        <v>662</v>
      </c>
      <c r="B1325" s="191" t="s">
        <v>663</v>
      </c>
      <c r="C1325" s="191" t="s">
        <v>627</v>
      </c>
      <c r="D1325" s="191" t="s">
        <v>2064</v>
      </c>
      <c r="E1325" s="191" t="s">
        <v>2649</v>
      </c>
      <c r="F1325" s="191" t="s">
        <v>2586</v>
      </c>
      <c r="G1325" s="191">
        <v>21</v>
      </c>
      <c r="H1325" s="192">
        <v>0</v>
      </c>
      <c r="I1325" s="192">
        <v>520.91999999999996</v>
      </c>
      <c r="J1325" s="192">
        <f>SUM(H1325:I1325)</f>
        <v>520.91999999999996</v>
      </c>
    </row>
    <row r="1326" spans="1:10" outlineLevel="2">
      <c r="A1326" s="191" t="s">
        <v>664</v>
      </c>
      <c r="B1326" s="191" t="s">
        <v>626</v>
      </c>
      <c r="C1326" s="191" t="s">
        <v>627</v>
      </c>
      <c r="D1326" s="191" t="s">
        <v>2282</v>
      </c>
      <c r="E1326" s="191" t="s">
        <v>2719</v>
      </c>
      <c r="F1326" s="191" t="s">
        <v>2719</v>
      </c>
      <c r="G1326" s="191">
        <v>7</v>
      </c>
      <c r="H1326" s="192">
        <v>0</v>
      </c>
      <c r="I1326" s="192">
        <v>95.99</v>
      </c>
      <c r="J1326" s="192">
        <f>SUM(H1326:I1326)</f>
        <v>95.99</v>
      </c>
    </row>
    <row r="1327" spans="1:10" outlineLevel="2">
      <c r="A1327" s="191" t="s">
        <v>2928</v>
      </c>
      <c r="B1327" s="191" t="s">
        <v>626</v>
      </c>
      <c r="C1327" s="191" t="s">
        <v>627</v>
      </c>
      <c r="D1327" s="191" t="s">
        <v>2301</v>
      </c>
      <c r="E1327" s="191" t="s">
        <v>2603</v>
      </c>
      <c r="F1327" s="191" t="s">
        <v>2603</v>
      </c>
      <c r="G1327" s="191">
        <v>7</v>
      </c>
      <c r="H1327" s="192">
        <v>0</v>
      </c>
      <c r="I1327" s="192">
        <v>135.54</v>
      </c>
      <c r="J1327" s="192">
        <f>SUM(H1327:I1327)</f>
        <v>135.54</v>
      </c>
    </row>
    <row r="1328" spans="1:10" outlineLevel="2">
      <c r="A1328" s="191" t="s">
        <v>2928</v>
      </c>
      <c r="B1328" s="191" t="s">
        <v>626</v>
      </c>
      <c r="C1328" s="191" t="s">
        <v>627</v>
      </c>
      <c r="D1328" s="191" t="s">
        <v>2302</v>
      </c>
      <c r="E1328" s="191" t="s">
        <v>2640</v>
      </c>
      <c r="F1328" s="191" t="s">
        <v>2640</v>
      </c>
      <c r="G1328" s="191">
        <v>7</v>
      </c>
      <c r="H1328" s="192">
        <v>0</v>
      </c>
      <c r="I1328" s="192">
        <v>135.54</v>
      </c>
      <c r="J1328" s="192">
        <f>SUM(H1328:I1328)</f>
        <v>135.54</v>
      </c>
    </row>
    <row r="1329" spans="1:10" outlineLevel="1">
      <c r="A1329" s="193" t="s">
        <v>3029</v>
      </c>
      <c r="B1329" s="194"/>
      <c r="C1329" s="194"/>
      <c r="D1329" s="194"/>
      <c r="E1329" s="194"/>
      <c r="F1329" s="194"/>
      <c r="G1329" s="194">
        <f>SUBTOTAL(9,G1222:G1328)</f>
        <v>1442</v>
      </c>
      <c r="H1329" s="195">
        <f>SUBTOTAL(9,H1222:H1328)</f>
        <v>1500</v>
      </c>
      <c r="I1329" s="195">
        <f>SUBTOTAL(9,I1222:I1328)</f>
        <v>23331.970000000005</v>
      </c>
      <c r="J1329" s="195">
        <f>SUBTOTAL(9,J1222:J1328)</f>
        <v>24831.969999999998</v>
      </c>
    </row>
    <row r="1330" spans="1:10" outlineLevel="2">
      <c r="A1330" s="191" t="s">
        <v>665</v>
      </c>
      <c r="B1330" s="191" t="s">
        <v>663</v>
      </c>
      <c r="C1330" s="191" t="s">
        <v>666</v>
      </c>
      <c r="D1330" s="191" t="s">
        <v>2303</v>
      </c>
      <c r="E1330" s="191" t="s">
        <v>1494</v>
      </c>
      <c r="F1330" s="191" t="s">
        <v>1480</v>
      </c>
      <c r="G1330" s="191">
        <v>14</v>
      </c>
      <c r="H1330" s="192">
        <v>0</v>
      </c>
      <c r="I1330" s="192">
        <v>266.94</v>
      </c>
      <c r="J1330" s="192">
        <f>SUM(H1330:I1330)</f>
        <v>266.94</v>
      </c>
    </row>
    <row r="1331" spans="1:10" outlineLevel="2">
      <c r="A1331" s="191" t="s">
        <v>665</v>
      </c>
      <c r="B1331" s="191" t="s">
        <v>663</v>
      </c>
      <c r="C1331" s="191" t="s">
        <v>666</v>
      </c>
      <c r="D1331" s="191" t="s">
        <v>2304</v>
      </c>
      <c r="E1331" s="191" t="s">
        <v>2722</v>
      </c>
      <c r="F1331" s="191" t="s">
        <v>2646</v>
      </c>
      <c r="G1331" s="191">
        <v>28</v>
      </c>
      <c r="H1331" s="192">
        <v>0</v>
      </c>
      <c r="I1331" s="192">
        <v>550.88</v>
      </c>
      <c r="J1331" s="192">
        <f>SUM(H1331:I1331)</f>
        <v>550.88</v>
      </c>
    </row>
    <row r="1332" spans="1:10" outlineLevel="2">
      <c r="A1332" s="191" t="s">
        <v>2929</v>
      </c>
      <c r="B1332" s="191" t="s">
        <v>626</v>
      </c>
      <c r="C1332" s="191" t="s">
        <v>666</v>
      </c>
      <c r="D1332" s="191" t="s">
        <v>2305</v>
      </c>
      <c r="E1332" s="191" t="s">
        <v>2689</v>
      </c>
      <c r="F1332" s="191" t="s">
        <v>2661</v>
      </c>
      <c r="G1332" s="191">
        <v>14</v>
      </c>
      <c r="H1332" s="192">
        <v>0</v>
      </c>
      <c r="I1332" s="192">
        <v>350.92</v>
      </c>
      <c r="J1332" s="192">
        <f>SUM(H1332:I1332)</f>
        <v>350.92</v>
      </c>
    </row>
    <row r="1333" spans="1:10" outlineLevel="2">
      <c r="A1333" s="191" t="s">
        <v>2929</v>
      </c>
      <c r="B1333" s="191" t="s">
        <v>626</v>
      </c>
      <c r="C1333" s="191" t="s">
        <v>666</v>
      </c>
      <c r="D1333" s="191" t="s">
        <v>2306</v>
      </c>
      <c r="E1333" s="191" t="s">
        <v>2653</v>
      </c>
      <c r="F1333" s="191" t="s">
        <v>2646</v>
      </c>
      <c r="G1333" s="191">
        <v>21</v>
      </c>
      <c r="H1333" s="192">
        <v>0</v>
      </c>
      <c r="I1333" s="192">
        <v>546.57000000000005</v>
      </c>
      <c r="J1333" s="192">
        <f>SUM(H1333:I1333)</f>
        <v>546.57000000000005</v>
      </c>
    </row>
    <row r="1334" spans="1:10" outlineLevel="2">
      <c r="A1334" s="191" t="s">
        <v>667</v>
      </c>
      <c r="B1334" s="191" t="s">
        <v>663</v>
      </c>
      <c r="C1334" s="191" t="s">
        <v>666</v>
      </c>
      <c r="D1334" s="191" t="s">
        <v>912</v>
      </c>
      <c r="E1334" s="191" t="s">
        <v>1496</v>
      </c>
      <c r="F1334" s="191" t="s">
        <v>1496</v>
      </c>
      <c r="G1334" s="191">
        <v>7</v>
      </c>
      <c r="H1334" s="192">
        <v>0</v>
      </c>
      <c r="I1334" s="192">
        <v>176.2</v>
      </c>
      <c r="J1334" s="192">
        <f>SUM(H1334:I1334)</f>
        <v>176.2</v>
      </c>
    </row>
    <row r="1335" spans="1:10" outlineLevel="2">
      <c r="A1335" s="191" t="s">
        <v>667</v>
      </c>
      <c r="B1335" s="191" t="s">
        <v>663</v>
      </c>
      <c r="C1335" s="191" t="s">
        <v>666</v>
      </c>
      <c r="D1335" s="191" t="s">
        <v>2307</v>
      </c>
      <c r="E1335" s="191" t="s">
        <v>2650</v>
      </c>
      <c r="F1335" s="191" t="s">
        <v>2646</v>
      </c>
      <c r="G1335" s="191">
        <v>14</v>
      </c>
      <c r="H1335" s="192">
        <v>0</v>
      </c>
      <c r="I1335" s="192">
        <v>342.7</v>
      </c>
      <c r="J1335" s="192">
        <f>SUM(H1335:I1335)</f>
        <v>342.7</v>
      </c>
    </row>
    <row r="1336" spans="1:10" outlineLevel="2">
      <c r="A1336" s="191" t="s">
        <v>667</v>
      </c>
      <c r="B1336" s="191" t="s">
        <v>663</v>
      </c>
      <c r="C1336" s="191" t="s">
        <v>666</v>
      </c>
      <c r="D1336" s="191" t="s">
        <v>2308</v>
      </c>
      <c r="E1336" s="191" t="s">
        <v>2702</v>
      </c>
      <c r="F1336" s="191" t="s">
        <v>2640</v>
      </c>
      <c r="G1336" s="191">
        <v>21</v>
      </c>
      <c r="H1336" s="192">
        <v>0</v>
      </c>
      <c r="I1336" s="192">
        <v>531.17999999999995</v>
      </c>
      <c r="J1336" s="192">
        <f>SUM(H1336:I1336)</f>
        <v>531.17999999999995</v>
      </c>
    </row>
    <row r="1337" spans="1:10" outlineLevel="2">
      <c r="A1337" s="191" t="s">
        <v>668</v>
      </c>
      <c r="B1337" s="191" t="s">
        <v>663</v>
      </c>
      <c r="C1337" s="191" t="s">
        <v>666</v>
      </c>
      <c r="D1337" s="191" t="s">
        <v>2309</v>
      </c>
      <c r="E1337" s="191" t="s">
        <v>1480</v>
      </c>
      <c r="F1337" s="191" t="s">
        <v>1480</v>
      </c>
      <c r="G1337" s="191">
        <v>7</v>
      </c>
      <c r="H1337" s="192">
        <v>0</v>
      </c>
      <c r="I1337" s="192">
        <v>178.77</v>
      </c>
      <c r="J1337" s="192">
        <f>SUM(H1337:I1337)</f>
        <v>178.77</v>
      </c>
    </row>
    <row r="1338" spans="1:10" outlineLevel="2">
      <c r="A1338" s="191" t="s">
        <v>668</v>
      </c>
      <c r="B1338" s="191" t="s">
        <v>663</v>
      </c>
      <c r="C1338" s="191" t="s">
        <v>666</v>
      </c>
      <c r="D1338" s="191" t="s">
        <v>2304</v>
      </c>
      <c r="E1338" s="191" t="s">
        <v>2653</v>
      </c>
      <c r="F1338" s="191" t="s">
        <v>2646</v>
      </c>
      <c r="G1338" s="191">
        <v>21</v>
      </c>
      <c r="H1338" s="192">
        <v>0</v>
      </c>
      <c r="I1338" s="192">
        <v>519.03</v>
      </c>
      <c r="J1338" s="192">
        <f>SUM(H1338:I1338)</f>
        <v>519.03</v>
      </c>
    </row>
    <row r="1339" spans="1:10" outlineLevel="2">
      <c r="A1339" s="191" t="s">
        <v>669</v>
      </c>
      <c r="B1339" s="191" t="s">
        <v>626</v>
      </c>
      <c r="C1339" s="191" t="s">
        <v>666</v>
      </c>
      <c r="D1339" s="191" t="s">
        <v>2310</v>
      </c>
      <c r="E1339" s="191" t="s">
        <v>2669</v>
      </c>
      <c r="F1339" s="191" t="s">
        <v>2669</v>
      </c>
      <c r="G1339" s="191" t="s">
        <v>2760</v>
      </c>
      <c r="H1339" s="192">
        <v>0</v>
      </c>
      <c r="I1339" s="192">
        <v>0</v>
      </c>
      <c r="J1339" s="192">
        <f>SUM(H1339:I1339)</f>
        <v>0</v>
      </c>
    </row>
    <row r="1340" spans="1:10" outlineLevel="2">
      <c r="A1340" s="191" t="s">
        <v>670</v>
      </c>
      <c r="B1340" s="191" t="s">
        <v>626</v>
      </c>
      <c r="C1340" s="191" t="s">
        <v>666</v>
      </c>
      <c r="D1340" s="191" t="s">
        <v>2269</v>
      </c>
      <c r="E1340" s="191" t="s">
        <v>1495</v>
      </c>
      <c r="F1340" s="191" t="s">
        <v>1496</v>
      </c>
      <c r="G1340" s="191">
        <v>14</v>
      </c>
      <c r="H1340" s="192">
        <v>0</v>
      </c>
      <c r="I1340" s="192">
        <v>264.36</v>
      </c>
      <c r="J1340" s="192">
        <f>SUM(H1340:I1340)</f>
        <v>264.36</v>
      </c>
    </row>
    <row r="1341" spans="1:10" outlineLevel="2">
      <c r="A1341" s="191" t="s">
        <v>670</v>
      </c>
      <c r="B1341" s="191" t="s">
        <v>626</v>
      </c>
      <c r="C1341" s="191" t="s">
        <v>666</v>
      </c>
      <c r="D1341" s="191" t="s">
        <v>2311</v>
      </c>
      <c r="E1341" s="191" t="s">
        <v>2622</v>
      </c>
      <c r="F1341" s="191" t="s">
        <v>2660</v>
      </c>
      <c r="G1341" s="191">
        <v>35</v>
      </c>
      <c r="H1341" s="192">
        <v>100</v>
      </c>
      <c r="I1341" s="192">
        <v>660.9</v>
      </c>
      <c r="J1341" s="192">
        <f>SUM(H1341:I1341)</f>
        <v>760.9</v>
      </c>
    </row>
    <row r="1342" spans="1:10" outlineLevel="2">
      <c r="A1342" s="191" t="s">
        <v>671</v>
      </c>
      <c r="B1342" s="191" t="s">
        <v>626</v>
      </c>
      <c r="C1342" s="191" t="s">
        <v>666</v>
      </c>
      <c r="D1342" s="191" t="s">
        <v>2312</v>
      </c>
      <c r="E1342" s="191" t="s">
        <v>2614</v>
      </c>
      <c r="F1342" s="191" t="s">
        <v>2614</v>
      </c>
      <c r="G1342" s="191">
        <v>7</v>
      </c>
      <c r="H1342" s="192">
        <v>0</v>
      </c>
      <c r="I1342" s="192">
        <v>136.59</v>
      </c>
      <c r="J1342" s="192">
        <f>SUM(H1342:I1342)</f>
        <v>136.59</v>
      </c>
    </row>
    <row r="1343" spans="1:10" outlineLevel="2">
      <c r="A1343" s="191" t="s">
        <v>671</v>
      </c>
      <c r="B1343" s="191" t="s">
        <v>626</v>
      </c>
      <c r="C1343" s="191" t="s">
        <v>666</v>
      </c>
      <c r="D1343" s="191" t="s">
        <v>2313</v>
      </c>
      <c r="E1343" s="191" t="s">
        <v>2674</v>
      </c>
      <c r="F1343" s="191" t="s">
        <v>2587</v>
      </c>
      <c r="G1343" s="191">
        <v>14</v>
      </c>
      <c r="H1343" s="192">
        <v>0</v>
      </c>
      <c r="I1343" s="192">
        <v>273.18</v>
      </c>
      <c r="J1343" s="192">
        <f>SUM(H1343:I1343)</f>
        <v>273.18</v>
      </c>
    </row>
    <row r="1344" spans="1:10" outlineLevel="1">
      <c r="A1344" s="193" t="s">
        <v>3030</v>
      </c>
      <c r="B1344" s="194"/>
      <c r="C1344" s="194"/>
      <c r="D1344" s="194"/>
      <c r="E1344" s="194"/>
      <c r="F1344" s="194"/>
      <c r="G1344" s="194">
        <f>SUBTOTAL(9,G1330:G1343)</f>
        <v>217</v>
      </c>
      <c r="H1344" s="195">
        <f>SUBTOTAL(9,H1330:H1343)</f>
        <v>100</v>
      </c>
      <c r="I1344" s="195">
        <f>SUBTOTAL(9,I1330:I1343)</f>
        <v>4798.22</v>
      </c>
      <c r="J1344" s="195">
        <f>SUBTOTAL(9,J1330:J1343)</f>
        <v>4898.22</v>
      </c>
    </row>
    <row r="1345" spans="1:10" outlineLevel="2">
      <c r="A1345" s="191" t="s">
        <v>672</v>
      </c>
      <c r="B1345" s="191" t="s">
        <v>112</v>
      </c>
      <c r="C1345" s="191" t="s">
        <v>673</v>
      </c>
      <c r="D1345" s="191" t="s">
        <v>2076</v>
      </c>
      <c r="E1345" s="191" t="s">
        <v>2722</v>
      </c>
      <c r="F1345" s="191" t="s">
        <v>2722</v>
      </c>
      <c r="G1345" s="191">
        <v>7</v>
      </c>
      <c r="H1345" s="192">
        <v>0</v>
      </c>
      <c r="I1345" s="192">
        <v>58.97</v>
      </c>
      <c r="J1345" s="192">
        <f>SUM(H1345:I1345)</f>
        <v>58.97</v>
      </c>
    </row>
    <row r="1346" spans="1:10" outlineLevel="2">
      <c r="A1346" s="191" t="s">
        <v>672</v>
      </c>
      <c r="B1346" s="191" t="s">
        <v>112</v>
      </c>
      <c r="C1346" s="191" t="s">
        <v>673</v>
      </c>
      <c r="D1346" s="191" t="s">
        <v>2076</v>
      </c>
      <c r="E1346" s="191" t="s">
        <v>2650</v>
      </c>
      <c r="F1346" s="191" t="s">
        <v>2650</v>
      </c>
      <c r="G1346" s="191">
        <v>7</v>
      </c>
      <c r="H1346" s="192">
        <v>0</v>
      </c>
      <c r="I1346" s="192">
        <v>58.97</v>
      </c>
      <c r="J1346" s="192">
        <f>SUM(H1346:I1346)</f>
        <v>58.97</v>
      </c>
    </row>
    <row r="1347" spans="1:10" outlineLevel="2">
      <c r="A1347" s="191" t="s">
        <v>672</v>
      </c>
      <c r="B1347" s="191" t="s">
        <v>112</v>
      </c>
      <c r="C1347" s="191" t="s">
        <v>673</v>
      </c>
      <c r="D1347" s="191" t="s">
        <v>2076</v>
      </c>
      <c r="E1347" s="191" t="s">
        <v>2680</v>
      </c>
      <c r="F1347" s="191" t="s">
        <v>2680</v>
      </c>
      <c r="G1347" s="191">
        <v>7</v>
      </c>
      <c r="H1347" s="192">
        <v>0</v>
      </c>
      <c r="I1347" s="192">
        <v>58.97</v>
      </c>
      <c r="J1347" s="192">
        <f>SUM(H1347:I1347)</f>
        <v>58.97</v>
      </c>
    </row>
    <row r="1348" spans="1:10" outlineLevel="2">
      <c r="A1348" s="191" t="s">
        <v>672</v>
      </c>
      <c r="B1348" s="191" t="s">
        <v>112</v>
      </c>
      <c r="C1348" s="191" t="s">
        <v>673</v>
      </c>
      <c r="D1348" s="191" t="s">
        <v>2076</v>
      </c>
      <c r="E1348" s="191" t="s">
        <v>2603</v>
      </c>
      <c r="F1348" s="191" t="s">
        <v>2603</v>
      </c>
      <c r="G1348" s="191">
        <v>7</v>
      </c>
      <c r="H1348" s="192">
        <v>0</v>
      </c>
      <c r="I1348" s="192">
        <v>58.97</v>
      </c>
      <c r="J1348" s="192">
        <f>SUM(H1348:I1348)</f>
        <v>58.97</v>
      </c>
    </row>
    <row r="1349" spans="1:10" outlineLevel="2">
      <c r="A1349" s="191" t="s">
        <v>672</v>
      </c>
      <c r="B1349" s="191" t="s">
        <v>112</v>
      </c>
      <c r="C1349" s="191" t="s">
        <v>673</v>
      </c>
      <c r="D1349" s="191" t="s">
        <v>2314</v>
      </c>
      <c r="E1349" s="191" t="s">
        <v>2675</v>
      </c>
      <c r="F1349" s="191" t="s">
        <v>1504</v>
      </c>
      <c r="G1349" s="191">
        <v>14</v>
      </c>
      <c r="H1349" s="192">
        <v>100</v>
      </c>
      <c r="I1349" s="192">
        <v>117.38</v>
      </c>
      <c r="J1349" s="192">
        <f>SUM(H1349:I1349)</f>
        <v>217.38</v>
      </c>
    </row>
    <row r="1350" spans="1:10" outlineLevel="2">
      <c r="A1350" s="191" t="s">
        <v>674</v>
      </c>
      <c r="B1350" s="191" t="s">
        <v>111</v>
      </c>
      <c r="C1350" s="191" t="s">
        <v>673</v>
      </c>
      <c r="D1350" s="191" t="s">
        <v>2315</v>
      </c>
      <c r="E1350" s="191" t="s">
        <v>2645</v>
      </c>
      <c r="F1350" s="191" t="s">
        <v>2640</v>
      </c>
      <c r="G1350" s="191">
        <v>14</v>
      </c>
      <c r="H1350" s="192">
        <v>0</v>
      </c>
      <c r="I1350" s="192">
        <v>274.5</v>
      </c>
      <c r="J1350" s="192">
        <f>SUM(H1350:I1350)</f>
        <v>274.5</v>
      </c>
    </row>
    <row r="1351" spans="1:10" outlineLevel="2">
      <c r="A1351" s="191" t="s">
        <v>674</v>
      </c>
      <c r="B1351" s="191" t="s">
        <v>111</v>
      </c>
      <c r="C1351" s="191" t="s">
        <v>673</v>
      </c>
      <c r="D1351" s="191" t="s">
        <v>2316</v>
      </c>
      <c r="E1351" s="191" t="s">
        <v>2719</v>
      </c>
      <c r="F1351" s="191" t="s">
        <v>2608</v>
      </c>
      <c r="G1351" s="191">
        <v>21</v>
      </c>
      <c r="H1351" s="192">
        <v>100</v>
      </c>
      <c r="I1351" s="192">
        <v>409.77</v>
      </c>
      <c r="J1351" s="192">
        <f>SUM(H1351:I1351)</f>
        <v>509.77</v>
      </c>
    </row>
    <row r="1352" spans="1:10" outlineLevel="2">
      <c r="A1352" s="191" t="s">
        <v>674</v>
      </c>
      <c r="B1352" s="191" t="s">
        <v>111</v>
      </c>
      <c r="C1352" s="191" t="s">
        <v>673</v>
      </c>
      <c r="D1352" s="191" t="s">
        <v>2317</v>
      </c>
      <c r="E1352" s="191" t="s">
        <v>2607</v>
      </c>
      <c r="F1352" s="191" t="s">
        <v>1500</v>
      </c>
      <c r="G1352" s="191">
        <v>21</v>
      </c>
      <c r="H1352" s="192">
        <v>0</v>
      </c>
      <c r="I1352" s="192">
        <v>411.75</v>
      </c>
      <c r="J1352" s="192">
        <f>SUM(H1352:I1352)</f>
        <v>411.75</v>
      </c>
    </row>
    <row r="1353" spans="1:10" outlineLevel="2">
      <c r="A1353" s="191" t="s">
        <v>675</v>
      </c>
      <c r="B1353" s="191" t="s">
        <v>141</v>
      </c>
      <c r="C1353" s="191" t="s">
        <v>673</v>
      </c>
      <c r="D1353" s="191" t="s">
        <v>2318</v>
      </c>
      <c r="E1353" s="191" t="s">
        <v>2616</v>
      </c>
      <c r="F1353" s="191" t="s">
        <v>2616</v>
      </c>
      <c r="G1353" s="191">
        <v>7</v>
      </c>
      <c r="H1353" s="192">
        <v>0</v>
      </c>
      <c r="I1353" s="192">
        <v>50.72</v>
      </c>
      <c r="J1353" s="192">
        <f>SUM(H1353:I1353)</f>
        <v>50.72</v>
      </c>
    </row>
    <row r="1354" spans="1:10" outlineLevel="2">
      <c r="A1354" s="191" t="s">
        <v>675</v>
      </c>
      <c r="B1354" s="191" t="s">
        <v>147</v>
      </c>
      <c r="C1354" s="191" t="s">
        <v>673</v>
      </c>
      <c r="D1354" s="191" t="s">
        <v>2319</v>
      </c>
      <c r="E1354" s="191" t="s">
        <v>2590</v>
      </c>
      <c r="F1354" s="191" t="s">
        <v>2590</v>
      </c>
      <c r="G1354" s="191">
        <v>7</v>
      </c>
      <c r="H1354" s="192">
        <v>0</v>
      </c>
      <c r="I1354" s="192">
        <v>54.53</v>
      </c>
      <c r="J1354" s="192">
        <f>SUM(H1354:I1354)</f>
        <v>54.53</v>
      </c>
    </row>
    <row r="1355" spans="1:10" outlineLevel="2">
      <c r="A1355" s="191" t="s">
        <v>675</v>
      </c>
      <c r="B1355" s="191" t="s">
        <v>147</v>
      </c>
      <c r="C1355" s="191" t="s">
        <v>673</v>
      </c>
      <c r="D1355" s="191" t="s">
        <v>2320</v>
      </c>
      <c r="E1355" s="191" t="s">
        <v>1493</v>
      </c>
      <c r="F1355" s="191" t="s">
        <v>1493</v>
      </c>
      <c r="G1355" s="191">
        <v>7</v>
      </c>
      <c r="H1355" s="192">
        <v>0</v>
      </c>
      <c r="I1355" s="192">
        <v>54.53</v>
      </c>
      <c r="J1355" s="192">
        <f>SUM(H1355:I1355)</f>
        <v>54.53</v>
      </c>
    </row>
    <row r="1356" spans="1:10" outlineLevel="2">
      <c r="A1356" s="191" t="s">
        <v>676</v>
      </c>
      <c r="B1356" s="191" t="s">
        <v>111</v>
      </c>
      <c r="C1356" s="191" t="s">
        <v>673</v>
      </c>
      <c r="D1356" s="191" t="s">
        <v>1529</v>
      </c>
      <c r="E1356" s="191" t="s">
        <v>2593</v>
      </c>
      <c r="F1356" s="191" t="s">
        <v>1487</v>
      </c>
      <c r="G1356" s="191">
        <v>14</v>
      </c>
      <c r="H1356" s="192">
        <v>0</v>
      </c>
      <c r="I1356" s="192">
        <v>253.98</v>
      </c>
      <c r="J1356" s="192">
        <f>SUM(H1356:I1356)</f>
        <v>253.98</v>
      </c>
    </row>
    <row r="1357" spans="1:10" outlineLevel="2">
      <c r="A1357" s="191" t="s">
        <v>677</v>
      </c>
      <c r="B1357" s="191" t="s">
        <v>106</v>
      </c>
      <c r="C1357" s="191" t="s">
        <v>673</v>
      </c>
      <c r="D1357" s="191" t="s">
        <v>2321</v>
      </c>
      <c r="E1357" s="191" t="s">
        <v>2752</v>
      </c>
      <c r="F1357" s="191" t="s">
        <v>2752</v>
      </c>
      <c r="G1357" s="191">
        <v>7</v>
      </c>
      <c r="H1357" s="192">
        <v>0</v>
      </c>
      <c r="I1357" s="192">
        <v>158.74</v>
      </c>
      <c r="J1357" s="192">
        <f>SUM(H1357:I1357)</f>
        <v>158.74</v>
      </c>
    </row>
    <row r="1358" spans="1:10" outlineLevel="2">
      <c r="A1358" s="191" t="s">
        <v>677</v>
      </c>
      <c r="B1358" s="191" t="s">
        <v>106</v>
      </c>
      <c r="C1358" s="191" t="s">
        <v>673</v>
      </c>
      <c r="D1358" s="191" t="s">
        <v>2322</v>
      </c>
      <c r="E1358" s="191" t="s">
        <v>1490</v>
      </c>
      <c r="F1358" s="191" t="s">
        <v>1490</v>
      </c>
      <c r="G1358" s="191">
        <v>7</v>
      </c>
      <c r="H1358" s="192">
        <v>0</v>
      </c>
      <c r="I1358" s="192">
        <v>159.51</v>
      </c>
      <c r="J1358" s="192">
        <f>SUM(H1358:I1358)</f>
        <v>159.51</v>
      </c>
    </row>
    <row r="1359" spans="1:10" outlineLevel="2">
      <c r="A1359" s="191" t="s">
        <v>678</v>
      </c>
      <c r="B1359" s="191" t="s">
        <v>108</v>
      </c>
      <c r="C1359" s="191" t="s">
        <v>673</v>
      </c>
      <c r="D1359" s="191" t="s">
        <v>2323</v>
      </c>
      <c r="E1359" s="191" t="s">
        <v>2660</v>
      </c>
      <c r="F1359" s="191" t="s">
        <v>2660</v>
      </c>
      <c r="G1359" s="191">
        <v>7</v>
      </c>
      <c r="H1359" s="192">
        <v>0</v>
      </c>
      <c r="I1359" s="192">
        <v>216.55</v>
      </c>
      <c r="J1359" s="192">
        <f>SUM(H1359:I1359)</f>
        <v>216.55</v>
      </c>
    </row>
    <row r="1360" spans="1:10" outlineLevel="2">
      <c r="A1360" s="191" t="s">
        <v>678</v>
      </c>
      <c r="B1360" s="191" t="s">
        <v>108</v>
      </c>
      <c r="C1360" s="191" t="s">
        <v>673</v>
      </c>
      <c r="D1360" s="191" t="s">
        <v>2324</v>
      </c>
      <c r="E1360" s="191" t="s">
        <v>2609</v>
      </c>
      <c r="F1360" s="191" t="s">
        <v>2609</v>
      </c>
      <c r="G1360" s="191">
        <v>7</v>
      </c>
      <c r="H1360" s="192">
        <v>0</v>
      </c>
      <c r="I1360" s="192">
        <v>219.32</v>
      </c>
      <c r="J1360" s="192">
        <f>SUM(H1360:I1360)</f>
        <v>219.32</v>
      </c>
    </row>
    <row r="1361" spans="1:10" outlineLevel="2">
      <c r="A1361" s="191" t="s">
        <v>678</v>
      </c>
      <c r="B1361" s="191" t="s">
        <v>108</v>
      </c>
      <c r="C1361" s="191" t="s">
        <v>673</v>
      </c>
      <c r="D1361" s="191" t="s">
        <v>2324</v>
      </c>
      <c r="E1361" s="191" t="s">
        <v>2610</v>
      </c>
      <c r="F1361" s="191" t="s">
        <v>2610</v>
      </c>
      <c r="G1361" s="191">
        <v>7</v>
      </c>
      <c r="H1361" s="192">
        <v>0</v>
      </c>
      <c r="I1361" s="192">
        <v>219.32</v>
      </c>
      <c r="J1361" s="192">
        <f>SUM(H1361:I1361)</f>
        <v>219.32</v>
      </c>
    </row>
    <row r="1362" spans="1:10" outlineLevel="2">
      <c r="A1362" s="191" t="s">
        <v>678</v>
      </c>
      <c r="B1362" s="191" t="s">
        <v>108</v>
      </c>
      <c r="C1362" s="191" t="s">
        <v>673</v>
      </c>
      <c r="D1362" s="191" t="s">
        <v>2314</v>
      </c>
      <c r="E1362" s="191" t="s">
        <v>2675</v>
      </c>
      <c r="F1362" s="191" t="s">
        <v>1504</v>
      </c>
      <c r="G1362" s="191">
        <v>14</v>
      </c>
      <c r="H1362" s="192">
        <v>0</v>
      </c>
      <c r="I1362" s="192">
        <v>436.5</v>
      </c>
      <c r="J1362" s="192">
        <f>SUM(H1362:I1362)</f>
        <v>436.5</v>
      </c>
    </row>
    <row r="1363" spans="1:10" outlineLevel="2">
      <c r="A1363" s="191" t="s">
        <v>678</v>
      </c>
      <c r="B1363" s="191" t="s">
        <v>108</v>
      </c>
      <c r="C1363" s="191" t="s">
        <v>673</v>
      </c>
      <c r="D1363" s="191" t="s">
        <v>2325</v>
      </c>
      <c r="E1363" s="191" t="s">
        <v>2606</v>
      </c>
      <c r="F1363" s="191" t="s">
        <v>1487</v>
      </c>
      <c r="G1363" s="191">
        <v>21</v>
      </c>
      <c r="H1363" s="192">
        <v>0</v>
      </c>
      <c r="I1363" s="192">
        <v>654.75</v>
      </c>
      <c r="J1363" s="192">
        <f>SUM(H1363:I1363)</f>
        <v>654.75</v>
      </c>
    </row>
    <row r="1364" spans="1:10" outlineLevel="2">
      <c r="A1364" s="191" t="s">
        <v>679</v>
      </c>
      <c r="B1364" s="191" t="s">
        <v>106</v>
      </c>
      <c r="C1364" s="191" t="s">
        <v>673</v>
      </c>
      <c r="D1364" s="191" t="s">
        <v>2326</v>
      </c>
      <c r="E1364" s="191" t="s">
        <v>1481</v>
      </c>
      <c r="F1364" s="191" t="s">
        <v>1481</v>
      </c>
      <c r="G1364" s="191">
        <v>7</v>
      </c>
      <c r="H1364" s="192">
        <v>0</v>
      </c>
      <c r="I1364" s="192">
        <v>150.63999999999999</v>
      </c>
      <c r="J1364" s="192">
        <f>SUM(H1364:I1364)</f>
        <v>150.63999999999999</v>
      </c>
    </row>
    <row r="1365" spans="1:10" outlineLevel="2">
      <c r="A1365" s="191" t="s">
        <v>679</v>
      </c>
      <c r="B1365" s="191" t="s">
        <v>106</v>
      </c>
      <c r="C1365" s="191" t="s">
        <v>673</v>
      </c>
      <c r="D1365" s="191" t="s">
        <v>2327</v>
      </c>
      <c r="E1365" s="191" t="s">
        <v>2741</v>
      </c>
      <c r="F1365" s="191" t="s">
        <v>2741</v>
      </c>
      <c r="G1365" s="191">
        <v>7</v>
      </c>
      <c r="H1365" s="192">
        <v>0</v>
      </c>
      <c r="I1365" s="192">
        <v>196.56</v>
      </c>
      <c r="J1365" s="192">
        <f>SUM(H1365:I1365)</f>
        <v>196.56</v>
      </c>
    </row>
    <row r="1366" spans="1:10" outlineLevel="2">
      <c r="A1366" s="191" t="s">
        <v>679</v>
      </c>
      <c r="B1366" s="191" t="s">
        <v>106</v>
      </c>
      <c r="C1366" s="191" t="s">
        <v>673</v>
      </c>
      <c r="D1366" s="191" t="s">
        <v>2328</v>
      </c>
      <c r="E1366" s="191" t="s">
        <v>2645</v>
      </c>
      <c r="F1366" s="191" t="s">
        <v>2640</v>
      </c>
      <c r="G1366" s="191">
        <v>14</v>
      </c>
      <c r="H1366" s="192">
        <v>0</v>
      </c>
      <c r="I1366" s="192">
        <v>302.76</v>
      </c>
      <c r="J1366" s="192">
        <f>SUM(H1366:I1366)</f>
        <v>302.76</v>
      </c>
    </row>
    <row r="1367" spans="1:10" outlineLevel="2">
      <c r="A1367" s="191" t="s">
        <v>679</v>
      </c>
      <c r="B1367" s="191" t="s">
        <v>106</v>
      </c>
      <c r="C1367" s="191" t="s">
        <v>673</v>
      </c>
      <c r="D1367" s="191" t="s">
        <v>1518</v>
      </c>
      <c r="E1367" s="191" t="s">
        <v>2602</v>
      </c>
      <c r="F1367" s="191" t="s">
        <v>2603</v>
      </c>
      <c r="G1367" s="191">
        <v>21</v>
      </c>
      <c r="H1367" s="192">
        <v>0</v>
      </c>
      <c r="I1367" s="192">
        <v>454.14</v>
      </c>
      <c r="J1367" s="192">
        <f>SUM(H1367:I1367)</f>
        <v>454.14</v>
      </c>
    </row>
    <row r="1368" spans="1:10" outlineLevel="2">
      <c r="A1368" s="191" t="s">
        <v>2930</v>
      </c>
      <c r="B1368" s="191" t="s">
        <v>111</v>
      </c>
      <c r="C1368" s="191" t="s">
        <v>673</v>
      </c>
      <c r="D1368" s="191" t="s">
        <v>1526</v>
      </c>
      <c r="E1368" s="191" t="s">
        <v>2616</v>
      </c>
      <c r="F1368" s="191" t="s">
        <v>2616</v>
      </c>
      <c r="G1368" s="191">
        <v>7</v>
      </c>
      <c r="H1368" s="192">
        <v>0</v>
      </c>
      <c r="I1368" s="192">
        <v>132.18</v>
      </c>
      <c r="J1368" s="192">
        <f>SUM(H1368:I1368)</f>
        <v>132.18</v>
      </c>
    </row>
    <row r="1369" spans="1:10" outlineLevel="2">
      <c r="A1369" s="191" t="s">
        <v>2930</v>
      </c>
      <c r="B1369" s="191" t="s">
        <v>111</v>
      </c>
      <c r="C1369" s="191" t="s">
        <v>673</v>
      </c>
      <c r="D1369" s="191" t="s">
        <v>2321</v>
      </c>
      <c r="E1369" s="191" t="s">
        <v>2752</v>
      </c>
      <c r="F1369" s="191" t="s">
        <v>2752</v>
      </c>
      <c r="G1369" s="191">
        <v>7</v>
      </c>
      <c r="H1369" s="192">
        <v>0</v>
      </c>
      <c r="I1369" s="192">
        <v>132.18</v>
      </c>
      <c r="J1369" s="192">
        <f>SUM(H1369:I1369)</f>
        <v>132.18</v>
      </c>
    </row>
    <row r="1370" spans="1:10" outlineLevel="2">
      <c r="A1370" s="191" t="s">
        <v>680</v>
      </c>
      <c r="B1370" s="191" t="s">
        <v>682</v>
      </c>
      <c r="C1370" s="191" t="s">
        <v>673</v>
      </c>
      <c r="D1370" s="191" t="s">
        <v>2316</v>
      </c>
      <c r="E1370" s="191" t="s">
        <v>2719</v>
      </c>
      <c r="F1370" s="191" t="s">
        <v>2608</v>
      </c>
      <c r="G1370" s="191">
        <v>21</v>
      </c>
      <c r="H1370" s="192">
        <v>100</v>
      </c>
      <c r="I1370" s="192">
        <v>166.32</v>
      </c>
      <c r="J1370" s="192">
        <f>SUM(H1370:I1370)</f>
        <v>266.32</v>
      </c>
    </row>
    <row r="1371" spans="1:10" outlineLevel="2">
      <c r="A1371" s="191" t="s">
        <v>680</v>
      </c>
      <c r="B1371" s="191" t="s">
        <v>694</v>
      </c>
      <c r="C1371" s="191" t="s">
        <v>673</v>
      </c>
      <c r="D1371" s="191" t="s">
        <v>2329</v>
      </c>
      <c r="E1371" s="191" t="s">
        <v>2645</v>
      </c>
      <c r="F1371" s="191" t="s">
        <v>2640</v>
      </c>
      <c r="G1371" s="191">
        <v>14</v>
      </c>
      <c r="H1371" s="192">
        <v>0</v>
      </c>
      <c r="I1371" s="192">
        <v>117.94</v>
      </c>
      <c r="J1371" s="192">
        <f>SUM(H1371:I1371)</f>
        <v>117.94</v>
      </c>
    </row>
    <row r="1372" spans="1:10" outlineLevel="2">
      <c r="A1372" s="191" t="s">
        <v>2931</v>
      </c>
      <c r="B1372" s="191" t="s">
        <v>106</v>
      </c>
      <c r="C1372" s="191" t="s">
        <v>673</v>
      </c>
      <c r="D1372" s="191" t="s">
        <v>2330</v>
      </c>
      <c r="E1372" s="191" t="s">
        <v>2608</v>
      </c>
      <c r="F1372" s="191" t="s">
        <v>2608</v>
      </c>
      <c r="G1372" s="191">
        <v>7</v>
      </c>
      <c r="H1372" s="192">
        <v>0</v>
      </c>
      <c r="I1372" s="192">
        <v>386.86</v>
      </c>
      <c r="J1372" s="192">
        <f>SUM(H1372:I1372)</f>
        <v>386.86</v>
      </c>
    </row>
    <row r="1373" spans="1:10" outlineLevel="2">
      <c r="A1373" s="191" t="s">
        <v>683</v>
      </c>
      <c r="B1373" s="191" t="s">
        <v>106</v>
      </c>
      <c r="C1373" s="191" t="s">
        <v>673</v>
      </c>
      <c r="D1373" s="191" t="s">
        <v>2326</v>
      </c>
      <c r="E1373" s="191" t="s">
        <v>1481</v>
      </c>
      <c r="F1373" s="191" t="s">
        <v>1481</v>
      </c>
      <c r="G1373" s="191">
        <v>7</v>
      </c>
      <c r="H1373" s="192">
        <v>0</v>
      </c>
      <c r="I1373" s="192">
        <v>148.94</v>
      </c>
      <c r="J1373" s="192">
        <f>SUM(H1373:I1373)</f>
        <v>148.94</v>
      </c>
    </row>
    <row r="1374" spans="1:10" outlineLevel="2">
      <c r="A1374" s="191" t="s">
        <v>683</v>
      </c>
      <c r="B1374" s="191" t="s">
        <v>106</v>
      </c>
      <c r="C1374" s="191" t="s">
        <v>673</v>
      </c>
      <c r="D1374" s="191" t="s">
        <v>2076</v>
      </c>
      <c r="E1374" s="191" t="s">
        <v>2722</v>
      </c>
      <c r="F1374" s="191" t="s">
        <v>2722</v>
      </c>
      <c r="G1374" s="191">
        <v>7</v>
      </c>
      <c r="H1374" s="192">
        <v>0</v>
      </c>
      <c r="I1374" s="192">
        <v>149.66999999999999</v>
      </c>
      <c r="J1374" s="192">
        <f>SUM(H1374:I1374)</f>
        <v>149.66999999999999</v>
      </c>
    </row>
    <row r="1375" spans="1:10" outlineLevel="2">
      <c r="A1375" s="191" t="s">
        <v>683</v>
      </c>
      <c r="B1375" s="191" t="s">
        <v>106</v>
      </c>
      <c r="C1375" s="191" t="s">
        <v>673</v>
      </c>
      <c r="D1375" s="191" t="s">
        <v>2076</v>
      </c>
      <c r="E1375" s="191" t="s">
        <v>2650</v>
      </c>
      <c r="F1375" s="191" t="s">
        <v>2650</v>
      </c>
      <c r="G1375" s="191">
        <v>7</v>
      </c>
      <c r="H1375" s="192">
        <v>0</v>
      </c>
      <c r="I1375" s="192">
        <v>149.66999999999999</v>
      </c>
      <c r="J1375" s="192">
        <f>SUM(H1375:I1375)</f>
        <v>149.66999999999999</v>
      </c>
    </row>
    <row r="1376" spans="1:10" outlineLevel="2">
      <c r="A1376" s="191" t="s">
        <v>683</v>
      </c>
      <c r="B1376" s="191" t="s">
        <v>106</v>
      </c>
      <c r="C1376" s="191" t="s">
        <v>673</v>
      </c>
      <c r="D1376" s="191" t="s">
        <v>2076</v>
      </c>
      <c r="E1376" s="191" t="s">
        <v>2680</v>
      </c>
      <c r="F1376" s="191" t="s">
        <v>2680</v>
      </c>
      <c r="G1376" s="191">
        <v>7</v>
      </c>
      <c r="H1376" s="192">
        <v>0</v>
      </c>
      <c r="I1376" s="192">
        <v>149.66999999999999</v>
      </c>
      <c r="J1376" s="192">
        <f>SUM(H1376:I1376)</f>
        <v>149.66999999999999</v>
      </c>
    </row>
    <row r="1377" spans="1:10" outlineLevel="2">
      <c r="A1377" s="191" t="s">
        <v>683</v>
      </c>
      <c r="B1377" s="191" t="s">
        <v>106</v>
      </c>
      <c r="C1377" s="191" t="s">
        <v>673</v>
      </c>
      <c r="D1377" s="191" t="s">
        <v>2076</v>
      </c>
      <c r="E1377" s="191" t="s">
        <v>2603</v>
      </c>
      <c r="F1377" s="191" t="s">
        <v>2603</v>
      </c>
      <c r="G1377" s="191">
        <v>7</v>
      </c>
      <c r="H1377" s="192">
        <v>0</v>
      </c>
      <c r="I1377" s="192">
        <v>149.66999999999999</v>
      </c>
      <c r="J1377" s="192">
        <f>SUM(H1377:I1377)</f>
        <v>149.66999999999999</v>
      </c>
    </row>
    <row r="1378" spans="1:10" outlineLevel="2">
      <c r="A1378" s="191" t="s">
        <v>683</v>
      </c>
      <c r="B1378" s="191" t="s">
        <v>106</v>
      </c>
      <c r="C1378" s="191" t="s">
        <v>673</v>
      </c>
      <c r="D1378" s="191" t="s">
        <v>2076</v>
      </c>
      <c r="E1378" s="191" t="s">
        <v>2753</v>
      </c>
      <c r="F1378" s="191" t="s">
        <v>2753</v>
      </c>
      <c r="G1378" s="191">
        <v>7</v>
      </c>
      <c r="H1378" s="192">
        <v>0</v>
      </c>
      <c r="I1378" s="192">
        <v>149.66999999999999</v>
      </c>
      <c r="J1378" s="192">
        <f>SUM(H1378:I1378)</f>
        <v>149.66999999999999</v>
      </c>
    </row>
    <row r="1379" spans="1:10" outlineLevel="2">
      <c r="A1379" s="191" t="s">
        <v>683</v>
      </c>
      <c r="B1379" s="191" t="s">
        <v>106</v>
      </c>
      <c r="C1379" s="191" t="s">
        <v>673</v>
      </c>
      <c r="D1379" s="191" t="s">
        <v>2330</v>
      </c>
      <c r="E1379" s="191" t="s">
        <v>2719</v>
      </c>
      <c r="F1379" s="191" t="s">
        <v>2608</v>
      </c>
      <c r="G1379" s="191">
        <v>21</v>
      </c>
      <c r="H1379" s="192">
        <v>0</v>
      </c>
      <c r="I1379" s="192">
        <v>446.82</v>
      </c>
      <c r="J1379" s="192">
        <f>SUM(H1379:I1379)</f>
        <v>446.82</v>
      </c>
    </row>
    <row r="1380" spans="1:10" outlineLevel="2">
      <c r="A1380" s="191" t="s">
        <v>684</v>
      </c>
      <c r="B1380" s="191" t="s">
        <v>106</v>
      </c>
      <c r="C1380" s="191" t="s">
        <v>673</v>
      </c>
      <c r="D1380" s="191" t="s">
        <v>2256</v>
      </c>
      <c r="E1380" s="191" t="s">
        <v>1493</v>
      </c>
      <c r="F1380" s="191" t="s">
        <v>1493</v>
      </c>
      <c r="G1380" s="191">
        <v>7</v>
      </c>
      <c r="H1380" s="192">
        <v>0</v>
      </c>
      <c r="I1380" s="192">
        <v>156.02000000000001</v>
      </c>
      <c r="J1380" s="192">
        <f>SUM(H1380:I1380)</f>
        <v>156.02000000000001</v>
      </c>
    </row>
    <row r="1381" spans="1:10" outlineLevel="2">
      <c r="A1381" s="191" t="s">
        <v>684</v>
      </c>
      <c r="B1381" s="191" t="s">
        <v>106</v>
      </c>
      <c r="C1381" s="191" t="s">
        <v>673</v>
      </c>
      <c r="D1381" s="191" t="s">
        <v>2331</v>
      </c>
      <c r="E1381" s="191" t="s">
        <v>2706</v>
      </c>
      <c r="F1381" s="191" t="s">
        <v>2706</v>
      </c>
      <c r="G1381" s="191">
        <v>7</v>
      </c>
      <c r="H1381" s="192">
        <v>0</v>
      </c>
      <c r="I1381" s="192">
        <v>209.6</v>
      </c>
      <c r="J1381" s="192">
        <f>SUM(H1381:I1381)</f>
        <v>209.6</v>
      </c>
    </row>
    <row r="1382" spans="1:10" outlineLevel="2">
      <c r="A1382" s="191" t="s">
        <v>684</v>
      </c>
      <c r="B1382" s="191" t="s">
        <v>106</v>
      </c>
      <c r="C1382" s="191" t="s">
        <v>673</v>
      </c>
      <c r="D1382" s="191" t="s">
        <v>2317</v>
      </c>
      <c r="E1382" s="191" t="s">
        <v>1499</v>
      </c>
      <c r="F1382" s="191" t="s">
        <v>1500</v>
      </c>
      <c r="G1382" s="191">
        <v>14</v>
      </c>
      <c r="H1382" s="192">
        <v>0</v>
      </c>
      <c r="I1382" s="192">
        <v>312.04000000000002</v>
      </c>
      <c r="J1382" s="192">
        <f>SUM(H1382:I1382)</f>
        <v>312.04000000000002</v>
      </c>
    </row>
    <row r="1383" spans="1:10" outlineLevel="2">
      <c r="A1383" s="191" t="s">
        <v>684</v>
      </c>
      <c r="B1383" s="191" t="s">
        <v>106</v>
      </c>
      <c r="C1383" s="191" t="s">
        <v>673</v>
      </c>
      <c r="D1383" s="191" t="s">
        <v>2328</v>
      </c>
      <c r="E1383" s="191" t="s">
        <v>2645</v>
      </c>
      <c r="F1383" s="191" t="s">
        <v>2640</v>
      </c>
      <c r="G1383" s="191">
        <v>14</v>
      </c>
      <c r="H1383" s="192">
        <v>0</v>
      </c>
      <c r="I1383" s="192">
        <v>322.45999999999998</v>
      </c>
      <c r="J1383" s="192">
        <f>SUM(H1383:I1383)</f>
        <v>322.45999999999998</v>
      </c>
    </row>
    <row r="1384" spans="1:10" outlineLevel="2">
      <c r="A1384" s="191" t="s">
        <v>2932</v>
      </c>
      <c r="B1384" s="191" t="s">
        <v>106</v>
      </c>
      <c r="C1384" s="191" t="s">
        <v>673</v>
      </c>
      <c r="D1384" s="191" t="s">
        <v>2332</v>
      </c>
      <c r="E1384" s="191" t="s">
        <v>2722</v>
      </c>
      <c r="F1384" s="191" t="s">
        <v>2722</v>
      </c>
      <c r="G1384" s="191">
        <v>7</v>
      </c>
      <c r="H1384" s="192">
        <v>0</v>
      </c>
      <c r="I1384" s="192">
        <v>169.36</v>
      </c>
      <c r="J1384" s="192">
        <f>SUM(H1384:I1384)</f>
        <v>169.36</v>
      </c>
    </row>
    <row r="1385" spans="1:10" outlineLevel="2">
      <c r="A1385" s="191" t="s">
        <v>2932</v>
      </c>
      <c r="B1385" s="191" t="s">
        <v>106</v>
      </c>
      <c r="C1385" s="191" t="s">
        <v>673</v>
      </c>
      <c r="D1385" s="191" t="s">
        <v>2332</v>
      </c>
      <c r="E1385" s="191" t="s">
        <v>2650</v>
      </c>
      <c r="F1385" s="191" t="s">
        <v>2650</v>
      </c>
      <c r="G1385" s="191">
        <v>7</v>
      </c>
      <c r="H1385" s="192">
        <v>0</v>
      </c>
      <c r="I1385" s="192">
        <v>169.36</v>
      </c>
      <c r="J1385" s="192">
        <f>SUM(H1385:I1385)</f>
        <v>169.36</v>
      </c>
    </row>
    <row r="1386" spans="1:10" outlineLevel="2">
      <c r="A1386" s="191" t="s">
        <v>2932</v>
      </c>
      <c r="B1386" s="191" t="s">
        <v>106</v>
      </c>
      <c r="C1386" s="191" t="s">
        <v>673</v>
      </c>
      <c r="D1386" s="191" t="s">
        <v>2332</v>
      </c>
      <c r="E1386" s="191" t="s">
        <v>2680</v>
      </c>
      <c r="F1386" s="191" t="s">
        <v>2680</v>
      </c>
      <c r="G1386" s="191">
        <v>7</v>
      </c>
      <c r="H1386" s="192">
        <v>0</v>
      </c>
      <c r="I1386" s="192">
        <v>169.36</v>
      </c>
      <c r="J1386" s="192">
        <f>SUM(H1386:I1386)</f>
        <v>169.36</v>
      </c>
    </row>
    <row r="1387" spans="1:10" outlineLevel="2">
      <c r="A1387" s="191" t="s">
        <v>2932</v>
      </c>
      <c r="B1387" s="191" t="s">
        <v>106</v>
      </c>
      <c r="C1387" s="191" t="s">
        <v>673</v>
      </c>
      <c r="D1387" s="191" t="s">
        <v>2332</v>
      </c>
      <c r="E1387" s="191" t="s">
        <v>2603</v>
      </c>
      <c r="F1387" s="191" t="s">
        <v>2603</v>
      </c>
      <c r="G1387" s="191">
        <v>7</v>
      </c>
      <c r="H1387" s="192">
        <v>0</v>
      </c>
      <c r="I1387" s="192">
        <v>169.36</v>
      </c>
      <c r="J1387" s="192">
        <f>SUM(H1387:I1387)</f>
        <v>169.36</v>
      </c>
    </row>
    <row r="1388" spans="1:10" outlineLevel="2">
      <c r="A1388" s="191" t="s">
        <v>2932</v>
      </c>
      <c r="B1388" s="191" t="s">
        <v>106</v>
      </c>
      <c r="C1388" s="191" t="s">
        <v>673</v>
      </c>
      <c r="D1388" s="191" t="s">
        <v>1459</v>
      </c>
      <c r="E1388" s="191" t="s">
        <v>1494</v>
      </c>
      <c r="F1388" s="191" t="s">
        <v>1480</v>
      </c>
      <c r="G1388" s="191">
        <v>14</v>
      </c>
      <c r="H1388" s="192">
        <v>0</v>
      </c>
      <c r="I1388" s="192">
        <v>338.72</v>
      </c>
      <c r="J1388" s="192">
        <f>SUM(H1388:I1388)</f>
        <v>338.72</v>
      </c>
    </row>
    <row r="1389" spans="1:10" outlineLevel="2">
      <c r="A1389" s="191" t="s">
        <v>685</v>
      </c>
      <c r="B1389" s="191" t="s">
        <v>106</v>
      </c>
      <c r="C1389" s="191" t="s">
        <v>673</v>
      </c>
      <c r="D1389" s="191" t="s">
        <v>1519</v>
      </c>
      <c r="E1389" s="191" t="s">
        <v>2604</v>
      </c>
      <c r="F1389" s="191" t="s">
        <v>2605</v>
      </c>
      <c r="G1389" s="191">
        <v>14</v>
      </c>
      <c r="H1389" s="192">
        <v>0</v>
      </c>
      <c r="I1389" s="192">
        <v>333.66</v>
      </c>
      <c r="J1389" s="192">
        <f>SUM(H1389:I1389)</f>
        <v>333.66</v>
      </c>
    </row>
    <row r="1390" spans="1:10" outlineLevel="2">
      <c r="A1390" s="191" t="s">
        <v>685</v>
      </c>
      <c r="B1390" s="191" t="s">
        <v>106</v>
      </c>
      <c r="C1390" s="191" t="s">
        <v>673</v>
      </c>
      <c r="D1390" s="191" t="s">
        <v>2314</v>
      </c>
      <c r="E1390" s="191" t="s">
        <v>2675</v>
      </c>
      <c r="F1390" s="191" t="s">
        <v>1504</v>
      </c>
      <c r="G1390" s="191">
        <v>14</v>
      </c>
      <c r="H1390" s="192">
        <v>0</v>
      </c>
      <c r="I1390" s="192">
        <v>333.66</v>
      </c>
      <c r="J1390" s="192">
        <f>SUM(H1390:I1390)</f>
        <v>333.66</v>
      </c>
    </row>
    <row r="1391" spans="1:10" outlineLevel="2">
      <c r="A1391" s="191" t="s">
        <v>685</v>
      </c>
      <c r="B1391" s="191" t="s">
        <v>106</v>
      </c>
      <c r="C1391" s="191" t="s">
        <v>673</v>
      </c>
      <c r="D1391" s="191" t="s">
        <v>1524</v>
      </c>
      <c r="E1391" s="191" t="s">
        <v>2613</v>
      </c>
      <c r="F1391" s="191" t="s">
        <v>2614</v>
      </c>
      <c r="G1391" s="191">
        <v>21</v>
      </c>
      <c r="H1391" s="192">
        <v>0</v>
      </c>
      <c r="I1391" s="192">
        <v>500.49</v>
      </c>
      <c r="J1391" s="192">
        <f>SUM(H1391:I1391)</f>
        <v>500.49</v>
      </c>
    </row>
    <row r="1392" spans="1:10" outlineLevel="2">
      <c r="A1392" s="191" t="s">
        <v>686</v>
      </c>
      <c r="B1392" s="191" t="s">
        <v>147</v>
      </c>
      <c r="C1392" s="191" t="s">
        <v>673</v>
      </c>
      <c r="D1392" s="191" t="s">
        <v>1524</v>
      </c>
      <c r="E1392" s="191" t="s">
        <v>2613</v>
      </c>
      <c r="F1392" s="191" t="s">
        <v>2614</v>
      </c>
      <c r="G1392" s="191">
        <v>21</v>
      </c>
      <c r="H1392" s="192">
        <v>0</v>
      </c>
      <c r="I1392" s="192">
        <v>162.78</v>
      </c>
      <c r="J1392" s="192">
        <f>SUM(H1392:I1392)</f>
        <v>162.78</v>
      </c>
    </row>
    <row r="1393" spans="1:10" outlineLevel="2">
      <c r="A1393" s="191" t="s">
        <v>686</v>
      </c>
      <c r="B1393" s="191" t="s">
        <v>112</v>
      </c>
      <c r="C1393" s="191" t="s">
        <v>673</v>
      </c>
      <c r="D1393" s="191" t="s">
        <v>2333</v>
      </c>
      <c r="E1393" s="191" t="s">
        <v>2619</v>
      </c>
      <c r="F1393" s="191" t="s">
        <v>1496</v>
      </c>
      <c r="G1393" s="191">
        <v>28</v>
      </c>
      <c r="H1393" s="192">
        <v>0</v>
      </c>
      <c r="I1393" s="192">
        <v>221.76</v>
      </c>
      <c r="J1393" s="192">
        <f>SUM(H1393:I1393)</f>
        <v>221.76</v>
      </c>
    </row>
    <row r="1394" spans="1:10" outlineLevel="2">
      <c r="A1394" s="191" t="s">
        <v>687</v>
      </c>
      <c r="B1394" s="191" t="s">
        <v>111</v>
      </c>
      <c r="C1394" s="191" t="s">
        <v>673</v>
      </c>
      <c r="D1394" s="191" t="s">
        <v>2076</v>
      </c>
      <c r="E1394" s="191" t="s">
        <v>2722</v>
      </c>
      <c r="F1394" s="191" t="s">
        <v>2722</v>
      </c>
      <c r="G1394" s="191">
        <v>7</v>
      </c>
      <c r="H1394" s="192">
        <v>0</v>
      </c>
      <c r="I1394" s="192">
        <v>137.25</v>
      </c>
      <c r="J1394" s="192">
        <f>SUM(H1394:I1394)</f>
        <v>137.25</v>
      </c>
    </row>
    <row r="1395" spans="1:10" outlineLevel="2">
      <c r="A1395" s="191" t="s">
        <v>687</v>
      </c>
      <c r="B1395" s="191" t="s">
        <v>111</v>
      </c>
      <c r="C1395" s="191" t="s">
        <v>673</v>
      </c>
      <c r="D1395" s="191" t="s">
        <v>2076</v>
      </c>
      <c r="E1395" s="191" t="s">
        <v>2650</v>
      </c>
      <c r="F1395" s="191" t="s">
        <v>2650</v>
      </c>
      <c r="G1395" s="191">
        <v>7</v>
      </c>
      <c r="H1395" s="192">
        <v>0</v>
      </c>
      <c r="I1395" s="192">
        <v>137.25</v>
      </c>
      <c r="J1395" s="192">
        <f>SUM(H1395:I1395)</f>
        <v>137.25</v>
      </c>
    </row>
    <row r="1396" spans="1:10" outlineLevel="2">
      <c r="A1396" s="191" t="s">
        <v>687</v>
      </c>
      <c r="B1396" s="191" t="s">
        <v>111</v>
      </c>
      <c r="C1396" s="191" t="s">
        <v>673</v>
      </c>
      <c r="D1396" s="191" t="s">
        <v>2076</v>
      </c>
      <c r="E1396" s="191" t="s">
        <v>2680</v>
      </c>
      <c r="F1396" s="191" t="s">
        <v>2680</v>
      </c>
      <c r="G1396" s="191">
        <v>7</v>
      </c>
      <c r="H1396" s="192">
        <v>0</v>
      </c>
      <c r="I1396" s="192">
        <v>137.25</v>
      </c>
      <c r="J1396" s="192">
        <f>SUM(H1396:I1396)</f>
        <v>137.25</v>
      </c>
    </row>
    <row r="1397" spans="1:10" outlineLevel="2">
      <c r="A1397" s="191" t="s">
        <v>687</v>
      </c>
      <c r="B1397" s="191" t="s">
        <v>111</v>
      </c>
      <c r="C1397" s="191" t="s">
        <v>673</v>
      </c>
      <c r="D1397" s="191" t="s">
        <v>2076</v>
      </c>
      <c r="E1397" s="191" t="s">
        <v>2603</v>
      </c>
      <c r="F1397" s="191" t="s">
        <v>2603</v>
      </c>
      <c r="G1397" s="191">
        <v>7</v>
      </c>
      <c r="H1397" s="192">
        <v>0</v>
      </c>
      <c r="I1397" s="192">
        <v>137.25</v>
      </c>
      <c r="J1397" s="192">
        <f>SUM(H1397:I1397)</f>
        <v>137.25</v>
      </c>
    </row>
    <row r="1398" spans="1:10" outlineLevel="2">
      <c r="A1398" s="191" t="s">
        <v>688</v>
      </c>
      <c r="B1398" s="191" t="s">
        <v>106</v>
      </c>
      <c r="C1398" s="191" t="s">
        <v>673</v>
      </c>
      <c r="D1398" s="191" t="s">
        <v>2334</v>
      </c>
      <c r="E1398" s="191" t="s">
        <v>1486</v>
      </c>
      <c r="F1398" s="191" t="s">
        <v>1486</v>
      </c>
      <c r="G1398" s="191">
        <v>7</v>
      </c>
      <c r="H1398" s="192">
        <v>50</v>
      </c>
      <c r="I1398" s="192">
        <v>136.59</v>
      </c>
      <c r="J1398" s="192">
        <f>SUM(H1398:I1398)</f>
        <v>186.59</v>
      </c>
    </row>
    <row r="1399" spans="1:10" outlineLevel="2">
      <c r="A1399" s="191" t="s">
        <v>688</v>
      </c>
      <c r="B1399" s="191" t="s">
        <v>106</v>
      </c>
      <c r="C1399" s="191" t="s">
        <v>673</v>
      </c>
      <c r="D1399" s="191" t="s">
        <v>2335</v>
      </c>
      <c r="E1399" s="191" t="s">
        <v>2590</v>
      </c>
      <c r="F1399" s="191" t="s">
        <v>2590</v>
      </c>
      <c r="G1399" s="191">
        <v>7</v>
      </c>
      <c r="H1399" s="192">
        <v>0</v>
      </c>
      <c r="I1399" s="192">
        <v>137.25</v>
      </c>
      <c r="J1399" s="192">
        <f>SUM(H1399:I1399)</f>
        <v>137.25</v>
      </c>
    </row>
    <row r="1400" spans="1:10" outlineLevel="2">
      <c r="A1400" s="191" t="s">
        <v>688</v>
      </c>
      <c r="B1400" s="191" t="s">
        <v>106</v>
      </c>
      <c r="C1400" s="191" t="s">
        <v>673</v>
      </c>
      <c r="D1400" s="191" t="s">
        <v>1735</v>
      </c>
      <c r="E1400" s="191" t="s">
        <v>2640</v>
      </c>
      <c r="F1400" s="191" t="s">
        <v>2640</v>
      </c>
      <c r="G1400" s="191">
        <v>7</v>
      </c>
      <c r="H1400" s="192">
        <v>0</v>
      </c>
      <c r="I1400" s="192">
        <v>137.25</v>
      </c>
      <c r="J1400" s="192">
        <f>SUM(H1400:I1400)</f>
        <v>137.25</v>
      </c>
    </row>
    <row r="1401" spans="1:10" outlineLevel="2">
      <c r="A1401" s="191" t="s">
        <v>688</v>
      </c>
      <c r="B1401" s="191" t="s">
        <v>106</v>
      </c>
      <c r="C1401" s="191" t="s">
        <v>673</v>
      </c>
      <c r="D1401" s="191" t="s">
        <v>2336</v>
      </c>
      <c r="E1401" s="191" t="s">
        <v>2663</v>
      </c>
      <c r="F1401" s="191" t="s">
        <v>2663</v>
      </c>
      <c r="G1401" s="191">
        <v>7</v>
      </c>
      <c r="H1401" s="192">
        <v>0</v>
      </c>
      <c r="I1401" s="192">
        <v>178</v>
      </c>
      <c r="J1401" s="192">
        <f>SUM(H1401:I1401)</f>
        <v>178</v>
      </c>
    </row>
    <row r="1402" spans="1:10" outlineLevel="2">
      <c r="A1402" s="191" t="s">
        <v>689</v>
      </c>
      <c r="B1402" s="191" t="s">
        <v>106</v>
      </c>
      <c r="C1402" s="191" t="s">
        <v>673</v>
      </c>
      <c r="D1402" s="191" t="s">
        <v>1530</v>
      </c>
      <c r="E1402" s="191" t="s">
        <v>1489</v>
      </c>
      <c r="F1402" s="191" t="s">
        <v>1490</v>
      </c>
      <c r="G1402" s="191">
        <v>14</v>
      </c>
      <c r="H1402" s="192">
        <v>0</v>
      </c>
      <c r="I1402" s="192">
        <v>343.72</v>
      </c>
      <c r="J1402" s="192">
        <f>SUM(H1402:I1402)</f>
        <v>343.72</v>
      </c>
    </row>
    <row r="1403" spans="1:10" outlineLevel="2">
      <c r="A1403" s="191" t="s">
        <v>689</v>
      </c>
      <c r="B1403" s="191" t="s">
        <v>106</v>
      </c>
      <c r="C1403" s="191" t="s">
        <v>673</v>
      </c>
      <c r="D1403" s="191" t="s">
        <v>2337</v>
      </c>
      <c r="E1403" s="191" t="s">
        <v>1503</v>
      </c>
      <c r="F1403" s="191" t="s">
        <v>1504</v>
      </c>
      <c r="G1403" s="191">
        <v>21</v>
      </c>
      <c r="H1403" s="192">
        <v>0</v>
      </c>
      <c r="I1403" s="192">
        <v>507.96</v>
      </c>
      <c r="J1403" s="192">
        <f>SUM(H1403:I1403)</f>
        <v>507.96</v>
      </c>
    </row>
    <row r="1404" spans="1:10" outlineLevel="2">
      <c r="A1404" s="191" t="s">
        <v>690</v>
      </c>
      <c r="B1404" s="191" t="s">
        <v>111</v>
      </c>
      <c r="C1404" s="191" t="s">
        <v>673</v>
      </c>
      <c r="D1404" s="191" t="s">
        <v>2315</v>
      </c>
      <c r="E1404" s="191" t="s">
        <v>2640</v>
      </c>
      <c r="F1404" s="191" t="s">
        <v>2640</v>
      </c>
      <c r="G1404" s="191">
        <v>7</v>
      </c>
      <c r="H1404" s="192">
        <v>0</v>
      </c>
      <c r="I1404" s="192">
        <v>138.97</v>
      </c>
      <c r="J1404" s="192">
        <f>SUM(H1404:I1404)</f>
        <v>138.97</v>
      </c>
    </row>
    <row r="1405" spans="1:10" outlineLevel="2">
      <c r="A1405" s="191" t="s">
        <v>691</v>
      </c>
      <c r="B1405" s="191" t="s">
        <v>106</v>
      </c>
      <c r="C1405" s="191" t="s">
        <v>673</v>
      </c>
      <c r="D1405" s="191" t="s">
        <v>2338</v>
      </c>
      <c r="E1405" s="191" t="s">
        <v>2660</v>
      </c>
      <c r="F1405" s="191" t="s">
        <v>2660</v>
      </c>
      <c r="G1405" s="191">
        <v>7</v>
      </c>
      <c r="H1405" s="192">
        <v>0</v>
      </c>
      <c r="I1405" s="192">
        <v>136.59</v>
      </c>
      <c r="J1405" s="192">
        <f>SUM(H1405:I1405)</f>
        <v>136.59</v>
      </c>
    </row>
    <row r="1406" spans="1:10" outlineLevel="2">
      <c r="A1406" s="191" t="s">
        <v>691</v>
      </c>
      <c r="B1406" s="191" t="s">
        <v>106</v>
      </c>
      <c r="C1406" s="191" t="s">
        <v>673</v>
      </c>
      <c r="D1406" s="191" t="s">
        <v>2076</v>
      </c>
      <c r="E1406" s="191" t="s">
        <v>2722</v>
      </c>
      <c r="F1406" s="191" t="s">
        <v>2722</v>
      </c>
      <c r="G1406" s="191">
        <v>7</v>
      </c>
      <c r="H1406" s="192">
        <v>0</v>
      </c>
      <c r="I1406" s="192">
        <v>138.97</v>
      </c>
      <c r="J1406" s="192">
        <f>SUM(H1406:I1406)</f>
        <v>138.97</v>
      </c>
    </row>
    <row r="1407" spans="1:10" outlineLevel="2">
      <c r="A1407" s="191" t="s">
        <v>691</v>
      </c>
      <c r="B1407" s="191" t="s">
        <v>106</v>
      </c>
      <c r="C1407" s="191" t="s">
        <v>673</v>
      </c>
      <c r="D1407" s="191" t="s">
        <v>2076</v>
      </c>
      <c r="E1407" s="191" t="s">
        <v>2650</v>
      </c>
      <c r="F1407" s="191" t="s">
        <v>2650</v>
      </c>
      <c r="G1407" s="191">
        <v>7</v>
      </c>
      <c r="H1407" s="192">
        <v>0</v>
      </c>
      <c r="I1407" s="192">
        <v>138.97</v>
      </c>
      <c r="J1407" s="192">
        <f>SUM(H1407:I1407)</f>
        <v>138.97</v>
      </c>
    </row>
    <row r="1408" spans="1:10" outlineLevel="2">
      <c r="A1408" s="191" t="s">
        <v>691</v>
      </c>
      <c r="B1408" s="191" t="s">
        <v>106</v>
      </c>
      <c r="C1408" s="191" t="s">
        <v>673</v>
      </c>
      <c r="D1408" s="191" t="s">
        <v>2076</v>
      </c>
      <c r="E1408" s="191" t="s">
        <v>2680</v>
      </c>
      <c r="F1408" s="191" t="s">
        <v>2680</v>
      </c>
      <c r="G1408" s="191">
        <v>7</v>
      </c>
      <c r="H1408" s="192">
        <v>0</v>
      </c>
      <c r="I1408" s="192">
        <v>138.97</v>
      </c>
      <c r="J1408" s="192">
        <f>SUM(H1408:I1408)</f>
        <v>138.97</v>
      </c>
    </row>
    <row r="1409" spans="1:10" outlineLevel="2">
      <c r="A1409" s="191" t="s">
        <v>691</v>
      </c>
      <c r="B1409" s="191" t="s">
        <v>106</v>
      </c>
      <c r="C1409" s="191" t="s">
        <v>673</v>
      </c>
      <c r="D1409" s="191" t="s">
        <v>2076</v>
      </c>
      <c r="E1409" s="191" t="s">
        <v>2603</v>
      </c>
      <c r="F1409" s="191" t="s">
        <v>2603</v>
      </c>
      <c r="G1409" s="191">
        <v>7</v>
      </c>
      <c r="H1409" s="192">
        <v>0</v>
      </c>
      <c r="I1409" s="192">
        <v>138.97</v>
      </c>
      <c r="J1409" s="192">
        <f>SUM(H1409:I1409)</f>
        <v>138.97</v>
      </c>
    </row>
    <row r="1410" spans="1:10" outlineLevel="2">
      <c r="A1410" s="191" t="s">
        <v>691</v>
      </c>
      <c r="B1410" s="191" t="s">
        <v>106</v>
      </c>
      <c r="C1410" s="191" t="s">
        <v>673</v>
      </c>
      <c r="D1410" s="191" t="s">
        <v>2754</v>
      </c>
      <c r="E1410" s="191" t="s">
        <v>2658</v>
      </c>
      <c r="F1410" s="191" t="s">
        <v>1482</v>
      </c>
      <c r="G1410" s="191">
        <v>14</v>
      </c>
      <c r="H1410" s="192">
        <v>0</v>
      </c>
      <c r="I1410" s="192">
        <v>273.18</v>
      </c>
      <c r="J1410" s="192">
        <f>SUM(H1410:I1410)</f>
        <v>273.18</v>
      </c>
    </row>
    <row r="1411" spans="1:10" outlineLevel="2">
      <c r="A1411" s="191" t="s">
        <v>692</v>
      </c>
      <c r="B1411" s="191" t="s">
        <v>147</v>
      </c>
      <c r="C1411" s="191" t="s">
        <v>673</v>
      </c>
      <c r="D1411" s="191" t="s">
        <v>1517</v>
      </c>
      <c r="E1411" s="191" t="s">
        <v>2590</v>
      </c>
      <c r="F1411" s="191" t="s">
        <v>2590</v>
      </c>
      <c r="G1411" s="191">
        <v>7</v>
      </c>
      <c r="H1411" s="192">
        <v>0</v>
      </c>
      <c r="I1411" s="192">
        <v>54.53</v>
      </c>
      <c r="J1411" s="192">
        <f>SUM(H1411:I1411)</f>
        <v>54.53</v>
      </c>
    </row>
    <row r="1412" spans="1:10" outlineLevel="2">
      <c r="A1412" s="191" t="s">
        <v>2933</v>
      </c>
      <c r="B1412" s="191" t="s">
        <v>141</v>
      </c>
      <c r="C1412" s="191" t="s">
        <v>673</v>
      </c>
      <c r="D1412" s="191" t="s">
        <v>2339</v>
      </c>
      <c r="E1412" s="191" t="s">
        <v>2636</v>
      </c>
      <c r="F1412" s="191" t="s">
        <v>2636</v>
      </c>
      <c r="G1412" s="191">
        <v>0</v>
      </c>
      <c r="H1412" s="192">
        <v>100</v>
      </c>
      <c r="I1412" s="192">
        <v>0</v>
      </c>
      <c r="J1412" s="192">
        <f>SUM(H1412:I1412)</f>
        <v>100</v>
      </c>
    </row>
    <row r="1413" spans="1:10" outlineLevel="2">
      <c r="A1413" s="191" t="s">
        <v>2934</v>
      </c>
      <c r="B1413" s="191" t="s">
        <v>681</v>
      </c>
      <c r="C1413" s="191" t="s">
        <v>673</v>
      </c>
      <c r="D1413" s="191" t="s">
        <v>1528</v>
      </c>
      <c r="E1413" s="191" t="s">
        <v>2617</v>
      </c>
      <c r="F1413" s="191" t="s">
        <v>2617</v>
      </c>
      <c r="G1413" s="191">
        <v>7</v>
      </c>
      <c r="H1413" s="192">
        <v>0</v>
      </c>
      <c r="I1413" s="192">
        <v>50.97</v>
      </c>
      <c r="J1413" s="192">
        <f>SUM(H1413:I1413)</f>
        <v>50.97</v>
      </c>
    </row>
    <row r="1414" spans="1:10" outlineLevel="2">
      <c r="A1414" s="191" t="s">
        <v>2934</v>
      </c>
      <c r="B1414" s="191" t="s">
        <v>681</v>
      </c>
      <c r="C1414" s="191" t="s">
        <v>673</v>
      </c>
      <c r="D1414" s="191" t="s">
        <v>2076</v>
      </c>
      <c r="E1414" s="191" t="s">
        <v>2722</v>
      </c>
      <c r="F1414" s="191" t="s">
        <v>2722</v>
      </c>
      <c r="G1414" s="191">
        <v>7</v>
      </c>
      <c r="H1414" s="192">
        <v>0</v>
      </c>
      <c r="I1414" s="192">
        <v>50.97</v>
      </c>
      <c r="J1414" s="192">
        <f>SUM(H1414:I1414)</f>
        <v>50.97</v>
      </c>
    </row>
    <row r="1415" spans="1:10" outlineLevel="2">
      <c r="A1415" s="191" t="s">
        <v>2934</v>
      </c>
      <c r="B1415" s="191" t="s">
        <v>681</v>
      </c>
      <c r="C1415" s="191" t="s">
        <v>673</v>
      </c>
      <c r="D1415" s="191" t="s">
        <v>2076</v>
      </c>
      <c r="E1415" s="191" t="s">
        <v>2650</v>
      </c>
      <c r="F1415" s="191" t="s">
        <v>2650</v>
      </c>
      <c r="G1415" s="191">
        <v>7</v>
      </c>
      <c r="H1415" s="192">
        <v>0</v>
      </c>
      <c r="I1415" s="192">
        <v>50.97</v>
      </c>
      <c r="J1415" s="192">
        <f>SUM(H1415:I1415)</f>
        <v>50.97</v>
      </c>
    </row>
    <row r="1416" spans="1:10" outlineLevel="2">
      <c r="A1416" s="191" t="s">
        <v>2934</v>
      </c>
      <c r="B1416" s="191" t="s">
        <v>681</v>
      </c>
      <c r="C1416" s="191" t="s">
        <v>673</v>
      </c>
      <c r="D1416" s="191" t="s">
        <v>2076</v>
      </c>
      <c r="E1416" s="191" t="s">
        <v>2680</v>
      </c>
      <c r="F1416" s="191" t="s">
        <v>2680</v>
      </c>
      <c r="G1416" s="191">
        <v>7</v>
      </c>
      <c r="H1416" s="192">
        <v>0</v>
      </c>
      <c r="I1416" s="192">
        <v>50.97</v>
      </c>
      <c r="J1416" s="192">
        <f>SUM(H1416:I1416)</f>
        <v>50.97</v>
      </c>
    </row>
    <row r="1417" spans="1:10" outlineLevel="2">
      <c r="A1417" s="191" t="s">
        <v>2934</v>
      </c>
      <c r="B1417" s="191" t="s">
        <v>681</v>
      </c>
      <c r="C1417" s="191" t="s">
        <v>673</v>
      </c>
      <c r="D1417" s="191" t="s">
        <v>2076</v>
      </c>
      <c r="E1417" s="191" t="s">
        <v>2603</v>
      </c>
      <c r="F1417" s="191" t="s">
        <v>2603</v>
      </c>
      <c r="G1417" s="191">
        <v>7</v>
      </c>
      <c r="H1417" s="192">
        <v>0</v>
      </c>
      <c r="I1417" s="192">
        <v>50.97</v>
      </c>
      <c r="J1417" s="192">
        <f>SUM(H1417:I1417)</f>
        <v>50.97</v>
      </c>
    </row>
    <row r="1418" spans="1:10" outlineLevel="2">
      <c r="A1418" s="191" t="s">
        <v>2935</v>
      </c>
      <c r="B1418" s="191" t="s">
        <v>141</v>
      </c>
      <c r="C1418" s="191" t="s">
        <v>673</v>
      </c>
      <c r="D1418" s="191" t="s">
        <v>1517</v>
      </c>
      <c r="E1418" s="191" t="s">
        <v>2590</v>
      </c>
      <c r="F1418" s="191" t="s">
        <v>2590</v>
      </c>
      <c r="G1418" s="191">
        <v>7</v>
      </c>
      <c r="H1418" s="192">
        <v>0</v>
      </c>
      <c r="I1418" s="192">
        <v>50.97</v>
      </c>
      <c r="J1418" s="192">
        <f>SUM(H1418:I1418)</f>
        <v>50.97</v>
      </c>
    </row>
    <row r="1419" spans="1:10" outlineLevel="2">
      <c r="A1419" s="191" t="s">
        <v>2936</v>
      </c>
      <c r="B1419" s="191" t="s">
        <v>141</v>
      </c>
      <c r="C1419" s="191" t="s">
        <v>673</v>
      </c>
      <c r="D1419" s="191" t="s">
        <v>1517</v>
      </c>
      <c r="E1419" s="191" t="s">
        <v>2590</v>
      </c>
      <c r="F1419" s="191" t="s">
        <v>2590</v>
      </c>
      <c r="G1419" s="191">
        <v>7</v>
      </c>
      <c r="H1419" s="192">
        <v>0</v>
      </c>
      <c r="I1419" s="192">
        <v>50.97</v>
      </c>
      <c r="J1419" s="192">
        <f>SUM(H1419:I1419)</f>
        <v>50.97</v>
      </c>
    </row>
    <row r="1420" spans="1:10" outlineLevel="2">
      <c r="A1420" s="191" t="s">
        <v>693</v>
      </c>
      <c r="B1420" s="191" t="s">
        <v>111</v>
      </c>
      <c r="C1420" s="191" t="s">
        <v>673</v>
      </c>
      <c r="D1420" s="191" t="s">
        <v>2329</v>
      </c>
      <c r="E1420" s="191" t="s">
        <v>2645</v>
      </c>
      <c r="F1420" s="191" t="s">
        <v>2640</v>
      </c>
      <c r="G1420" s="191">
        <v>14</v>
      </c>
      <c r="H1420" s="192">
        <v>0</v>
      </c>
      <c r="I1420" s="192">
        <v>271.08</v>
      </c>
      <c r="J1420" s="192">
        <f>SUM(H1420:I1420)</f>
        <v>271.08</v>
      </c>
    </row>
    <row r="1421" spans="1:10" outlineLevel="2">
      <c r="A1421" s="191" t="s">
        <v>693</v>
      </c>
      <c r="B1421" s="191" t="s">
        <v>695</v>
      </c>
      <c r="C1421" s="191" t="s">
        <v>673</v>
      </c>
      <c r="D1421" s="191" t="s">
        <v>2340</v>
      </c>
      <c r="E1421" s="191" t="s">
        <v>2719</v>
      </c>
      <c r="F1421" s="191" t="s">
        <v>2608</v>
      </c>
      <c r="G1421" s="191">
        <v>21</v>
      </c>
      <c r="H1421" s="192">
        <v>100</v>
      </c>
      <c r="I1421" s="192">
        <v>189.33</v>
      </c>
      <c r="J1421" s="192">
        <f>SUM(H1421:I1421)</f>
        <v>289.33000000000004</v>
      </c>
    </row>
    <row r="1422" spans="1:10" outlineLevel="2">
      <c r="A1422" s="191" t="s">
        <v>696</v>
      </c>
      <c r="B1422" s="191" t="s">
        <v>116</v>
      </c>
      <c r="C1422" s="191" t="s">
        <v>673</v>
      </c>
      <c r="D1422" s="191" t="s">
        <v>2341</v>
      </c>
      <c r="E1422" s="191" t="s">
        <v>2593</v>
      </c>
      <c r="F1422" s="191" t="s">
        <v>1487</v>
      </c>
      <c r="G1422" s="191">
        <v>14</v>
      </c>
      <c r="H1422" s="192">
        <v>50</v>
      </c>
      <c r="I1422" s="192">
        <v>126.22</v>
      </c>
      <c r="J1422" s="192">
        <f>SUM(H1422:I1422)</f>
        <v>176.22</v>
      </c>
    </row>
    <row r="1423" spans="1:10" outlineLevel="2">
      <c r="A1423" s="191" t="s">
        <v>696</v>
      </c>
      <c r="B1423" s="191" t="s">
        <v>116</v>
      </c>
      <c r="C1423" s="191" t="s">
        <v>673</v>
      </c>
      <c r="D1423" s="191" t="s">
        <v>1518</v>
      </c>
      <c r="E1423" s="191" t="s">
        <v>2633</v>
      </c>
      <c r="F1423" s="191" t="s">
        <v>2603</v>
      </c>
      <c r="G1423" s="191" t="s">
        <v>2760</v>
      </c>
      <c r="H1423" s="192">
        <v>0</v>
      </c>
      <c r="I1423" s="192">
        <v>0</v>
      </c>
      <c r="J1423" s="192">
        <f>SUM(H1423:I1423)</f>
        <v>0</v>
      </c>
    </row>
    <row r="1424" spans="1:10" outlineLevel="2">
      <c r="A1424" s="191" t="s">
        <v>697</v>
      </c>
      <c r="B1424" s="191" t="s">
        <v>111</v>
      </c>
      <c r="C1424" s="191" t="s">
        <v>673</v>
      </c>
      <c r="D1424" s="191" t="s">
        <v>2076</v>
      </c>
      <c r="E1424" s="191" t="s">
        <v>2722</v>
      </c>
      <c r="F1424" s="191" t="s">
        <v>2722</v>
      </c>
      <c r="G1424" s="191">
        <v>7</v>
      </c>
      <c r="H1424" s="192">
        <v>0</v>
      </c>
      <c r="I1424" s="192">
        <v>169.36</v>
      </c>
      <c r="J1424" s="192">
        <f>SUM(H1424:I1424)</f>
        <v>169.36</v>
      </c>
    </row>
    <row r="1425" spans="1:10" outlineLevel="2">
      <c r="A1425" s="191" t="s">
        <v>697</v>
      </c>
      <c r="B1425" s="191" t="s">
        <v>111</v>
      </c>
      <c r="C1425" s="191" t="s">
        <v>673</v>
      </c>
      <c r="D1425" s="191" t="s">
        <v>2076</v>
      </c>
      <c r="E1425" s="191" t="s">
        <v>2650</v>
      </c>
      <c r="F1425" s="191" t="s">
        <v>2650</v>
      </c>
      <c r="G1425" s="191">
        <v>7</v>
      </c>
      <c r="H1425" s="192">
        <v>0</v>
      </c>
      <c r="I1425" s="192">
        <v>169.36</v>
      </c>
      <c r="J1425" s="192">
        <f>SUM(H1425:I1425)</f>
        <v>169.36</v>
      </c>
    </row>
    <row r="1426" spans="1:10" outlineLevel="2">
      <c r="A1426" s="191" t="s">
        <v>697</v>
      </c>
      <c r="B1426" s="191" t="s">
        <v>111</v>
      </c>
      <c r="C1426" s="191" t="s">
        <v>673</v>
      </c>
      <c r="D1426" s="191" t="s">
        <v>2076</v>
      </c>
      <c r="E1426" s="191" t="s">
        <v>2680</v>
      </c>
      <c r="F1426" s="191" t="s">
        <v>2680</v>
      </c>
      <c r="G1426" s="191">
        <v>7</v>
      </c>
      <c r="H1426" s="192">
        <v>0</v>
      </c>
      <c r="I1426" s="192">
        <v>169.36</v>
      </c>
      <c r="J1426" s="192">
        <f>SUM(H1426:I1426)</f>
        <v>169.36</v>
      </c>
    </row>
    <row r="1427" spans="1:10" outlineLevel="2">
      <c r="A1427" s="191" t="s">
        <v>697</v>
      </c>
      <c r="B1427" s="191" t="s">
        <v>111</v>
      </c>
      <c r="C1427" s="191" t="s">
        <v>673</v>
      </c>
      <c r="D1427" s="191" t="s">
        <v>2076</v>
      </c>
      <c r="E1427" s="191" t="s">
        <v>2603</v>
      </c>
      <c r="F1427" s="191" t="s">
        <v>2603</v>
      </c>
      <c r="G1427" s="191">
        <v>7</v>
      </c>
      <c r="H1427" s="192">
        <v>0</v>
      </c>
      <c r="I1427" s="192">
        <v>169.36</v>
      </c>
      <c r="J1427" s="192">
        <f>SUM(H1427:I1427)</f>
        <v>169.36</v>
      </c>
    </row>
    <row r="1428" spans="1:10" outlineLevel="2">
      <c r="A1428" s="191" t="s">
        <v>697</v>
      </c>
      <c r="B1428" s="191" t="s">
        <v>111</v>
      </c>
      <c r="C1428" s="191" t="s">
        <v>673</v>
      </c>
      <c r="D1428" s="191" t="s">
        <v>1529</v>
      </c>
      <c r="E1428" s="191" t="s">
        <v>2593</v>
      </c>
      <c r="F1428" s="191" t="s">
        <v>1487</v>
      </c>
      <c r="G1428" s="191">
        <v>14</v>
      </c>
      <c r="H1428" s="192">
        <v>0</v>
      </c>
      <c r="I1428" s="192">
        <v>328.08</v>
      </c>
      <c r="J1428" s="192">
        <f>SUM(H1428:I1428)</f>
        <v>328.08</v>
      </c>
    </row>
    <row r="1429" spans="1:10" outlineLevel="2">
      <c r="A1429" s="191" t="s">
        <v>698</v>
      </c>
      <c r="B1429" s="191" t="s">
        <v>111</v>
      </c>
      <c r="C1429" s="191" t="s">
        <v>673</v>
      </c>
      <c r="D1429" s="191" t="s">
        <v>2076</v>
      </c>
      <c r="E1429" s="191" t="s">
        <v>2722</v>
      </c>
      <c r="F1429" s="191" t="s">
        <v>2722</v>
      </c>
      <c r="G1429" s="191">
        <v>7</v>
      </c>
      <c r="H1429" s="192">
        <v>0</v>
      </c>
      <c r="I1429" s="192">
        <v>135.54</v>
      </c>
      <c r="J1429" s="192">
        <f>SUM(H1429:I1429)</f>
        <v>135.54</v>
      </c>
    </row>
    <row r="1430" spans="1:10" outlineLevel="2">
      <c r="A1430" s="191" t="s">
        <v>698</v>
      </c>
      <c r="B1430" s="191" t="s">
        <v>111</v>
      </c>
      <c r="C1430" s="191" t="s">
        <v>673</v>
      </c>
      <c r="D1430" s="191" t="s">
        <v>2076</v>
      </c>
      <c r="E1430" s="191" t="s">
        <v>2650</v>
      </c>
      <c r="F1430" s="191" t="s">
        <v>2650</v>
      </c>
      <c r="G1430" s="191">
        <v>7</v>
      </c>
      <c r="H1430" s="192">
        <v>0</v>
      </c>
      <c r="I1430" s="192">
        <v>135.54</v>
      </c>
      <c r="J1430" s="192">
        <f>SUM(H1430:I1430)</f>
        <v>135.54</v>
      </c>
    </row>
    <row r="1431" spans="1:10" outlineLevel="2">
      <c r="A1431" s="191" t="s">
        <v>698</v>
      </c>
      <c r="B1431" s="191" t="s">
        <v>111</v>
      </c>
      <c r="C1431" s="191" t="s">
        <v>673</v>
      </c>
      <c r="D1431" s="191" t="s">
        <v>2076</v>
      </c>
      <c r="E1431" s="191" t="s">
        <v>2680</v>
      </c>
      <c r="F1431" s="191" t="s">
        <v>2680</v>
      </c>
      <c r="G1431" s="191">
        <v>7</v>
      </c>
      <c r="H1431" s="192">
        <v>0</v>
      </c>
      <c r="I1431" s="192">
        <v>135.54</v>
      </c>
      <c r="J1431" s="192">
        <f>SUM(H1431:I1431)</f>
        <v>135.54</v>
      </c>
    </row>
    <row r="1432" spans="1:10" outlineLevel="2">
      <c r="A1432" s="191" t="s">
        <v>698</v>
      </c>
      <c r="B1432" s="191" t="s">
        <v>111</v>
      </c>
      <c r="C1432" s="191" t="s">
        <v>673</v>
      </c>
      <c r="D1432" s="191" t="s">
        <v>2342</v>
      </c>
      <c r="E1432" s="191" t="s">
        <v>2606</v>
      </c>
      <c r="F1432" s="191" t="s">
        <v>1487</v>
      </c>
      <c r="G1432" s="191">
        <v>21</v>
      </c>
      <c r="H1432" s="192">
        <v>0</v>
      </c>
      <c r="I1432" s="192">
        <v>399.54</v>
      </c>
      <c r="J1432" s="192">
        <f>SUM(H1432:I1432)</f>
        <v>399.54</v>
      </c>
    </row>
    <row r="1433" spans="1:10" outlineLevel="2">
      <c r="A1433" s="191" t="s">
        <v>699</v>
      </c>
      <c r="B1433" s="191" t="s">
        <v>116</v>
      </c>
      <c r="C1433" s="191" t="s">
        <v>673</v>
      </c>
      <c r="D1433" s="191" t="s">
        <v>2343</v>
      </c>
      <c r="E1433" s="191" t="s">
        <v>2593</v>
      </c>
      <c r="F1433" s="191" t="s">
        <v>1487</v>
      </c>
      <c r="G1433" s="191">
        <v>14</v>
      </c>
      <c r="H1433" s="192">
        <v>0</v>
      </c>
      <c r="I1433" s="192">
        <v>126.22</v>
      </c>
      <c r="J1433" s="192">
        <f>SUM(H1433:I1433)</f>
        <v>126.22</v>
      </c>
    </row>
    <row r="1434" spans="1:10" outlineLevel="2">
      <c r="A1434" s="191" t="s">
        <v>2937</v>
      </c>
      <c r="B1434" s="191" t="s">
        <v>111</v>
      </c>
      <c r="C1434" s="191" t="s">
        <v>673</v>
      </c>
      <c r="D1434" s="191" t="s">
        <v>2329</v>
      </c>
      <c r="E1434" s="191" t="s">
        <v>2645</v>
      </c>
      <c r="F1434" s="191" t="s">
        <v>2640</v>
      </c>
      <c r="G1434" s="191">
        <v>14</v>
      </c>
      <c r="H1434" s="192">
        <v>0</v>
      </c>
      <c r="I1434" s="192">
        <v>354.08</v>
      </c>
      <c r="J1434" s="192">
        <f>SUM(H1434:I1434)</f>
        <v>354.08</v>
      </c>
    </row>
    <row r="1435" spans="1:10" outlineLevel="2">
      <c r="A1435" s="191" t="s">
        <v>2938</v>
      </c>
      <c r="B1435" s="191" t="s">
        <v>106</v>
      </c>
      <c r="C1435" s="191" t="s">
        <v>673</v>
      </c>
      <c r="D1435" s="191" t="s">
        <v>1518</v>
      </c>
      <c r="E1435" s="191" t="s">
        <v>2633</v>
      </c>
      <c r="F1435" s="191" t="s">
        <v>2603</v>
      </c>
      <c r="G1435" s="191">
        <v>14</v>
      </c>
      <c r="H1435" s="192">
        <v>0</v>
      </c>
      <c r="I1435" s="192">
        <v>277.94</v>
      </c>
      <c r="J1435" s="192">
        <f>SUM(H1435:I1435)</f>
        <v>277.94</v>
      </c>
    </row>
    <row r="1436" spans="1:10" outlineLevel="2">
      <c r="A1436" s="191" t="s">
        <v>2938</v>
      </c>
      <c r="B1436" s="191" t="s">
        <v>106</v>
      </c>
      <c r="C1436" s="191" t="s">
        <v>673</v>
      </c>
      <c r="D1436" s="191" t="s">
        <v>2344</v>
      </c>
      <c r="E1436" s="191" t="s">
        <v>2725</v>
      </c>
      <c r="F1436" s="191" t="s">
        <v>2650</v>
      </c>
      <c r="G1436" s="191">
        <v>28</v>
      </c>
      <c r="H1436" s="192">
        <v>0</v>
      </c>
      <c r="I1436" s="192">
        <v>555.88</v>
      </c>
      <c r="J1436" s="192">
        <f>SUM(H1436:I1436)</f>
        <v>555.88</v>
      </c>
    </row>
    <row r="1437" spans="1:10" outlineLevel="2">
      <c r="A1437" s="191" t="s">
        <v>700</v>
      </c>
      <c r="B1437" s="191" t="s">
        <v>106</v>
      </c>
      <c r="C1437" s="191" t="s">
        <v>673</v>
      </c>
      <c r="D1437" s="191" t="s">
        <v>2345</v>
      </c>
      <c r="E1437" s="191" t="s">
        <v>2700</v>
      </c>
      <c r="F1437" s="191" t="s">
        <v>2614</v>
      </c>
      <c r="G1437" s="191">
        <v>14</v>
      </c>
      <c r="H1437" s="192">
        <v>0</v>
      </c>
      <c r="I1437" s="192">
        <v>273.18</v>
      </c>
      <c r="J1437" s="192">
        <f>SUM(H1437:I1437)</f>
        <v>273.18</v>
      </c>
    </row>
    <row r="1438" spans="1:10" outlineLevel="2">
      <c r="A1438" s="191" t="s">
        <v>700</v>
      </c>
      <c r="B1438" s="191" t="s">
        <v>106</v>
      </c>
      <c r="C1438" s="191" t="s">
        <v>673</v>
      </c>
      <c r="D1438" s="191" t="s">
        <v>1518</v>
      </c>
      <c r="E1438" s="191" t="s">
        <v>2602</v>
      </c>
      <c r="F1438" s="191" t="s">
        <v>2603</v>
      </c>
      <c r="G1438" s="191">
        <v>21</v>
      </c>
      <c r="H1438" s="192">
        <v>0</v>
      </c>
      <c r="I1438" s="192">
        <v>422.04</v>
      </c>
      <c r="J1438" s="192">
        <f>SUM(H1438:I1438)</f>
        <v>422.04</v>
      </c>
    </row>
    <row r="1439" spans="1:10" outlineLevel="2">
      <c r="A1439" s="191" t="s">
        <v>701</v>
      </c>
      <c r="B1439" s="191" t="s">
        <v>111</v>
      </c>
      <c r="C1439" s="191" t="s">
        <v>673</v>
      </c>
      <c r="D1439" s="191" t="s">
        <v>2321</v>
      </c>
      <c r="E1439" s="191" t="s">
        <v>2752</v>
      </c>
      <c r="F1439" s="191" t="s">
        <v>2752</v>
      </c>
      <c r="G1439" s="191">
        <v>7</v>
      </c>
      <c r="H1439" s="192">
        <v>0</v>
      </c>
      <c r="I1439" s="192">
        <v>134.88</v>
      </c>
      <c r="J1439" s="192">
        <f>SUM(H1439:I1439)</f>
        <v>134.88</v>
      </c>
    </row>
    <row r="1440" spans="1:10" outlineLevel="2">
      <c r="A1440" s="191" t="s">
        <v>701</v>
      </c>
      <c r="B1440" s="191" t="s">
        <v>111</v>
      </c>
      <c r="C1440" s="191" t="s">
        <v>673</v>
      </c>
      <c r="D1440" s="191" t="s">
        <v>2346</v>
      </c>
      <c r="E1440" s="191" t="s">
        <v>2609</v>
      </c>
      <c r="F1440" s="191" t="s">
        <v>2609</v>
      </c>
      <c r="G1440" s="191">
        <v>7</v>
      </c>
      <c r="H1440" s="192">
        <v>0</v>
      </c>
      <c r="I1440" s="192">
        <v>137.25</v>
      </c>
      <c r="J1440" s="192">
        <f>SUM(H1440:I1440)</f>
        <v>137.25</v>
      </c>
    </row>
    <row r="1441" spans="1:10" outlineLevel="2">
      <c r="A1441" s="191" t="s">
        <v>701</v>
      </c>
      <c r="B1441" s="191" t="s">
        <v>111</v>
      </c>
      <c r="C1441" s="191" t="s">
        <v>673</v>
      </c>
      <c r="D1441" s="191" t="s">
        <v>2347</v>
      </c>
      <c r="E1441" s="191" t="s">
        <v>2747</v>
      </c>
      <c r="F1441" s="191" t="s">
        <v>2747</v>
      </c>
      <c r="G1441" s="191">
        <v>7</v>
      </c>
      <c r="H1441" s="192">
        <v>0</v>
      </c>
      <c r="I1441" s="192">
        <v>178.11</v>
      </c>
      <c r="J1441" s="192">
        <f>SUM(H1441:I1441)</f>
        <v>178.11</v>
      </c>
    </row>
    <row r="1442" spans="1:10" outlineLevel="2">
      <c r="A1442" s="191" t="s">
        <v>701</v>
      </c>
      <c r="B1442" s="191" t="s">
        <v>111</v>
      </c>
      <c r="C1442" s="191" t="s">
        <v>673</v>
      </c>
      <c r="D1442" s="191" t="s">
        <v>2348</v>
      </c>
      <c r="E1442" s="191" t="s">
        <v>2594</v>
      </c>
      <c r="F1442" s="191" t="s">
        <v>2588</v>
      </c>
      <c r="G1442" s="191">
        <v>14</v>
      </c>
      <c r="H1442" s="192">
        <v>100</v>
      </c>
      <c r="I1442" s="192">
        <v>269.76</v>
      </c>
      <c r="J1442" s="192">
        <f>SUM(H1442:I1442)</f>
        <v>369.76</v>
      </c>
    </row>
    <row r="1443" spans="1:10" outlineLevel="2">
      <c r="A1443" s="191" t="s">
        <v>701</v>
      </c>
      <c r="B1443" s="191" t="s">
        <v>111</v>
      </c>
      <c r="C1443" s="191" t="s">
        <v>673</v>
      </c>
      <c r="D1443" s="191" t="s">
        <v>2349</v>
      </c>
      <c r="E1443" s="191" t="s">
        <v>2668</v>
      </c>
      <c r="F1443" s="191" t="s">
        <v>2669</v>
      </c>
      <c r="G1443" s="191">
        <v>21</v>
      </c>
      <c r="H1443" s="192">
        <v>0</v>
      </c>
      <c r="I1443" s="192">
        <v>404.64</v>
      </c>
      <c r="J1443" s="192">
        <f>SUM(H1443:I1443)</f>
        <v>404.64</v>
      </c>
    </row>
    <row r="1444" spans="1:10" outlineLevel="2">
      <c r="A1444" s="191" t="s">
        <v>702</v>
      </c>
      <c r="B1444" s="191" t="s">
        <v>111</v>
      </c>
      <c r="C1444" s="191" t="s">
        <v>673</v>
      </c>
      <c r="D1444" s="191" t="s">
        <v>2076</v>
      </c>
      <c r="E1444" s="191" t="s">
        <v>2722</v>
      </c>
      <c r="F1444" s="191" t="s">
        <v>2722</v>
      </c>
      <c r="G1444" s="191">
        <v>7</v>
      </c>
      <c r="H1444" s="192">
        <v>0</v>
      </c>
      <c r="I1444" s="192">
        <v>149.66999999999999</v>
      </c>
      <c r="J1444" s="192">
        <f>SUM(H1444:I1444)</f>
        <v>149.66999999999999</v>
      </c>
    </row>
    <row r="1445" spans="1:10" outlineLevel="2">
      <c r="A1445" s="191" t="s">
        <v>702</v>
      </c>
      <c r="B1445" s="191" t="s">
        <v>111</v>
      </c>
      <c r="C1445" s="191" t="s">
        <v>673</v>
      </c>
      <c r="D1445" s="191" t="s">
        <v>2076</v>
      </c>
      <c r="E1445" s="191" t="s">
        <v>2650</v>
      </c>
      <c r="F1445" s="191" t="s">
        <v>2650</v>
      </c>
      <c r="G1445" s="191">
        <v>7</v>
      </c>
      <c r="H1445" s="192">
        <v>0</v>
      </c>
      <c r="I1445" s="192">
        <v>149.66999999999999</v>
      </c>
      <c r="J1445" s="192">
        <f>SUM(H1445:I1445)</f>
        <v>149.66999999999999</v>
      </c>
    </row>
    <row r="1446" spans="1:10" outlineLevel="2">
      <c r="A1446" s="191" t="s">
        <v>702</v>
      </c>
      <c r="B1446" s="191" t="s">
        <v>111</v>
      </c>
      <c r="C1446" s="191" t="s">
        <v>673</v>
      </c>
      <c r="D1446" s="191" t="s">
        <v>2076</v>
      </c>
      <c r="E1446" s="191" t="s">
        <v>2680</v>
      </c>
      <c r="F1446" s="191" t="s">
        <v>2680</v>
      </c>
      <c r="G1446" s="191">
        <v>7</v>
      </c>
      <c r="H1446" s="192">
        <v>0</v>
      </c>
      <c r="I1446" s="192">
        <v>149.66999999999999</v>
      </c>
      <c r="J1446" s="192">
        <f>SUM(H1446:I1446)</f>
        <v>149.66999999999999</v>
      </c>
    </row>
    <row r="1447" spans="1:10" outlineLevel="2">
      <c r="A1447" s="191" t="s">
        <v>702</v>
      </c>
      <c r="B1447" s="191" t="s">
        <v>111</v>
      </c>
      <c r="C1447" s="191" t="s">
        <v>673</v>
      </c>
      <c r="D1447" s="191" t="s">
        <v>2076</v>
      </c>
      <c r="E1447" s="191" t="s">
        <v>2603</v>
      </c>
      <c r="F1447" s="191" t="s">
        <v>2603</v>
      </c>
      <c r="G1447" s="191">
        <v>7</v>
      </c>
      <c r="H1447" s="192">
        <v>0</v>
      </c>
      <c r="I1447" s="192">
        <v>149.66999999999999</v>
      </c>
      <c r="J1447" s="192">
        <f>SUM(H1447:I1447)</f>
        <v>149.66999999999999</v>
      </c>
    </row>
    <row r="1448" spans="1:10" outlineLevel="2">
      <c r="A1448" s="191" t="s">
        <v>702</v>
      </c>
      <c r="B1448" s="191" t="s">
        <v>111</v>
      </c>
      <c r="C1448" s="191" t="s">
        <v>673</v>
      </c>
      <c r="D1448" s="191" t="s">
        <v>2329</v>
      </c>
      <c r="E1448" s="191" t="s">
        <v>2645</v>
      </c>
      <c r="F1448" s="191" t="s">
        <v>2640</v>
      </c>
      <c r="G1448" s="191">
        <v>14</v>
      </c>
      <c r="H1448" s="192">
        <v>0</v>
      </c>
      <c r="I1448" s="192">
        <v>299.33999999999997</v>
      </c>
      <c r="J1448" s="192">
        <f>SUM(H1448:I1448)</f>
        <v>299.33999999999997</v>
      </c>
    </row>
    <row r="1449" spans="1:10" outlineLevel="2">
      <c r="A1449" s="191" t="s">
        <v>703</v>
      </c>
      <c r="B1449" s="191" t="s">
        <v>111</v>
      </c>
      <c r="C1449" s="191" t="s">
        <v>673</v>
      </c>
      <c r="D1449" s="191" t="s">
        <v>1526</v>
      </c>
      <c r="E1449" s="191" t="s">
        <v>2616</v>
      </c>
      <c r="F1449" s="191" t="s">
        <v>2616</v>
      </c>
      <c r="G1449" s="191">
        <v>7</v>
      </c>
      <c r="H1449" s="192">
        <v>0</v>
      </c>
      <c r="I1449" s="192">
        <v>134.88</v>
      </c>
      <c r="J1449" s="192">
        <f>SUM(H1449:I1449)</f>
        <v>134.88</v>
      </c>
    </row>
    <row r="1450" spans="1:10" outlineLevel="2">
      <c r="A1450" s="191" t="s">
        <v>703</v>
      </c>
      <c r="B1450" s="191" t="s">
        <v>111</v>
      </c>
      <c r="C1450" s="191" t="s">
        <v>673</v>
      </c>
      <c r="D1450" s="191" t="s">
        <v>2316</v>
      </c>
      <c r="E1450" s="191" t="s">
        <v>2719</v>
      </c>
      <c r="F1450" s="191" t="s">
        <v>2608</v>
      </c>
      <c r="G1450" s="191">
        <v>21</v>
      </c>
      <c r="H1450" s="192">
        <v>100</v>
      </c>
      <c r="I1450" s="192">
        <v>404.64</v>
      </c>
      <c r="J1450" s="192">
        <f>SUM(H1450:I1450)</f>
        <v>504.64</v>
      </c>
    </row>
    <row r="1451" spans="1:10" outlineLevel="2">
      <c r="A1451" s="191" t="s">
        <v>2939</v>
      </c>
      <c r="B1451" s="191" t="s">
        <v>111</v>
      </c>
      <c r="C1451" s="191" t="s">
        <v>673</v>
      </c>
      <c r="D1451" s="191" t="s">
        <v>2315</v>
      </c>
      <c r="E1451" s="191" t="s">
        <v>2645</v>
      </c>
      <c r="F1451" s="191" t="s">
        <v>2640</v>
      </c>
      <c r="G1451" s="191">
        <v>14</v>
      </c>
      <c r="H1451" s="192">
        <v>0</v>
      </c>
      <c r="I1451" s="192">
        <v>271.08</v>
      </c>
      <c r="J1451" s="192">
        <f>SUM(H1451:I1451)</f>
        <v>271.08</v>
      </c>
    </row>
    <row r="1452" spans="1:10" outlineLevel="2">
      <c r="A1452" s="191" t="s">
        <v>704</v>
      </c>
      <c r="B1452" s="191" t="s">
        <v>111</v>
      </c>
      <c r="C1452" s="191" t="s">
        <v>673</v>
      </c>
      <c r="D1452" s="191" t="s">
        <v>1526</v>
      </c>
      <c r="E1452" s="191" t="s">
        <v>2616</v>
      </c>
      <c r="F1452" s="191" t="s">
        <v>2616</v>
      </c>
      <c r="G1452" s="191">
        <v>7</v>
      </c>
      <c r="H1452" s="192">
        <v>0</v>
      </c>
      <c r="I1452" s="192">
        <v>160.35</v>
      </c>
      <c r="J1452" s="192">
        <f>SUM(H1452:I1452)</f>
        <v>160.35</v>
      </c>
    </row>
    <row r="1453" spans="1:10" outlineLevel="2">
      <c r="A1453" s="191" t="s">
        <v>704</v>
      </c>
      <c r="B1453" s="191" t="s">
        <v>111</v>
      </c>
      <c r="C1453" s="191" t="s">
        <v>673</v>
      </c>
      <c r="D1453" s="191" t="s">
        <v>2350</v>
      </c>
      <c r="E1453" s="191" t="s">
        <v>2609</v>
      </c>
      <c r="F1453" s="191" t="s">
        <v>2609</v>
      </c>
      <c r="G1453" s="191">
        <v>7</v>
      </c>
      <c r="H1453" s="192">
        <v>0</v>
      </c>
      <c r="I1453" s="192">
        <v>161.13</v>
      </c>
      <c r="J1453" s="192">
        <f>SUM(H1453:I1453)</f>
        <v>161.13</v>
      </c>
    </row>
    <row r="1454" spans="1:10" outlineLevel="2">
      <c r="A1454" s="191" t="s">
        <v>704</v>
      </c>
      <c r="B1454" s="191" t="s">
        <v>111</v>
      </c>
      <c r="C1454" s="191" t="s">
        <v>673</v>
      </c>
      <c r="D1454" s="191" t="s">
        <v>1529</v>
      </c>
      <c r="E1454" s="191" t="s">
        <v>2593</v>
      </c>
      <c r="F1454" s="191" t="s">
        <v>1487</v>
      </c>
      <c r="G1454" s="191">
        <v>14</v>
      </c>
      <c r="H1454" s="192">
        <v>0</v>
      </c>
      <c r="I1454" s="192">
        <v>320.7</v>
      </c>
      <c r="J1454" s="192">
        <f>SUM(H1454:I1454)</f>
        <v>320.7</v>
      </c>
    </row>
    <row r="1455" spans="1:10" outlineLevel="2">
      <c r="A1455" s="191" t="s">
        <v>704</v>
      </c>
      <c r="B1455" s="191" t="s">
        <v>111</v>
      </c>
      <c r="C1455" s="191" t="s">
        <v>673</v>
      </c>
      <c r="D1455" s="191" t="s">
        <v>2329</v>
      </c>
      <c r="E1455" s="191" t="s">
        <v>2645</v>
      </c>
      <c r="F1455" s="191" t="s">
        <v>2640</v>
      </c>
      <c r="G1455" s="191">
        <v>14</v>
      </c>
      <c r="H1455" s="192">
        <v>0</v>
      </c>
      <c r="I1455" s="192">
        <v>322.26</v>
      </c>
      <c r="J1455" s="192">
        <f>SUM(H1455:I1455)</f>
        <v>322.26</v>
      </c>
    </row>
    <row r="1456" spans="1:10" outlineLevel="2">
      <c r="A1456" s="191" t="s">
        <v>705</v>
      </c>
      <c r="B1456" s="191" t="s">
        <v>106</v>
      </c>
      <c r="C1456" s="191" t="s">
        <v>673</v>
      </c>
      <c r="D1456" s="191" t="s">
        <v>2351</v>
      </c>
      <c r="E1456" s="191" t="s">
        <v>2700</v>
      </c>
      <c r="F1456" s="191" t="s">
        <v>2614</v>
      </c>
      <c r="G1456" s="191">
        <v>14</v>
      </c>
      <c r="H1456" s="192">
        <v>0</v>
      </c>
      <c r="I1456" s="192">
        <v>273.18</v>
      </c>
      <c r="J1456" s="192">
        <f>SUM(H1456:I1456)</f>
        <v>273.18</v>
      </c>
    </row>
    <row r="1457" spans="1:10" outlineLevel="2">
      <c r="A1457" s="191" t="s">
        <v>706</v>
      </c>
      <c r="B1457" s="191" t="s">
        <v>106</v>
      </c>
      <c r="C1457" s="191" t="s">
        <v>673</v>
      </c>
      <c r="D1457" s="191" t="s">
        <v>1518</v>
      </c>
      <c r="E1457" s="191" t="s">
        <v>2602</v>
      </c>
      <c r="F1457" s="191" t="s">
        <v>2603</v>
      </c>
      <c r="G1457" s="191">
        <v>21</v>
      </c>
      <c r="H1457" s="192">
        <v>0</v>
      </c>
      <c r="I1457" s="192">
        <v>495.06</v>
      </c>
      <c r="J1457" s="192">
        <f>SUM(H1457:I1457)</f>
        <v>495.06</v>
      </c>
    </row>
    <row r="1458" spans="1:10" outlineLevel="2">
      <c r="A1458" s="191" t="s">
        <v>2940</v>
      </c>
      <c r="B1458" s="191" t="s">
        <v>681</v>
      </c>
      <c r="C1458" s="191" t="s">
        <v>673</v>
      </c>
      <c r="D1458" s="191" t="s">
        <v>2347</v>
      </c>
      <c r="E1458" s="191" t="s">
        <v>2747</v>
      </c>
      <c r="F1458" s="191" t="s">
        <v>2747</v>
      </c>
      <c r="G1458" s="191">
        <v>7</v>
      </c>
      <c r="H1458" s="192">
        <v>0</v>
      </c>
      <c r="I1458" s="192">
        <v>59.68</v>
      </c>
      <c r="J1458" s="192">
        <f>SUM(H1458:I1458)</f>
        <v>59.68</v>
      </c>
    </row>
    <row r="1459" spans="1:10" outlineLevel="2">
      <c r="A1459" s="191" t="s">
        <v>2940</v>
      </c>
      <c r="B1459" s="191" t="s">
        <v>681</v>
      </c>
      <c r="C1459" s="191" t="s">
        <v>673</v>
      </c>
      <c r="D1459" s="191" t="s">
        <v>1528</v>
      </c>
      <c r="E1459" s="191" t="s">
        <v>2617</v>
      </c>
      <c r="F1459" s="191" t="s">
        <v>2617</v>
      </c>
      <c r="G1459" s="191" t="s">
        <v>2760</v>
      </c>
      <c r="H1459" s="192">
        <v>0</v>
      </c>
      <c r="I1459" s="192">
        <v>0</v>
      </c>
      <c r="J1459" s="192">
        <f>SUM(H1459:I1459)</f>
        <v>0</v>
      </c>
    </row>
    <row r="1460" spans="1:10" outlineLevel="2">
      <c r="A1460" s="191" t="s">
        <v>707</v>
      </c>
      <c r="B1460" s="191" t="s">
        <v>106</v>
      </c>
      <c r="C1460" s="191" t="s">
        <v>673</v>
      </c>
      <c r="D1460" s="191" t="s">
        <v>2352</v>
      </c>
      <c r="E1460" s="191" t="s">
        <v>2719</v>
      </c>
      <c r="F1460" s="191" t="s">
        <v>2608</v>
      </c>
      <c r="G1460" s="191">
        <v>21</v>
      </c>
      <c r="H1460" s="192">
        <v>0</v>
      </c>
      <c r="I1460" s="192">
        <v>449.19</v>
      </c>
      <c r="J1460" s="192">
        <f>SUM(H1460:I1460)</f>
        <v>449.19</v>
      </c>
    </row>
    <row r="1461" spans="1:10" outlineLevel="2">
      <c r="A1461" s="191" t="s">
        <v>708</v>
      </c>
      <c r="B1461" s="191" t="s">
        <v>111</v>
      </c>
      <c r="C1461" s="191" t="s">
        <v>673</v>
      </c>
      <c r="D1461" s="191" t="s">
        <v>2353</v>
      </c>
      <c r="E1461" s="191" t="s">
        <v>2608</v>
      </c>
      <c r="F1461" s="191" t="s">
        <v>2608</v>
      </c>
      <c r="G1461" s="191">
        <v>7</v>
      </c>
      <c r="H1461" s="192">
        <v>0</v>
      </c>
      <c r="I1461" s="192">
        <v>176.2</v>
      </c>
      <c r="J1461" s="192">
        <f>SUM(H1461:I1461)</f>
        <v>176.2</v>
      </c>
    </row>
    <row r="1462" spans="1:10" outlineLevel="2">
      <c r="A1462" s="191" t="s">
        <v>708</v>
      </c>
      <c r="B1462" s="191" t="s">
        <v>111</v>
      </c>
      <c r="C1462" s="191" t="s">
        <v>673</v>
      </c>
      <c r="D1462" s="191" t="s">
        <v>2076</v>
      </c>
      <c r="E1462" s="191" t="s">
        <v>2722</v>
      </c>
      <c r="F1462" s="191" t="s">
        <v>2722</v>
      </c>
      <c r="G1462" s="191">
        <v>7</v>
      </c>
      <c r="H1462" s="192">
        <v>0</v>
      </c>
      <c r="I1462" s="192">
        <v>177.06</v>
      </c>
      <c r="J1462" s="192">
        <f>SUM(H1462:I1462)</f>
        <v>177.06</v>
      </c>
    </row>
    <row r="1463" spans="1:10" outlineLevel="2">
      <c r="A1463" s="191" t="s">
        <v>708</v>
      </c>
      <c r="B1463" s="191" t="s">
        <v>111</v>
      </c>
      <c r="C1463" s="191" t="s">
        <v>673</v>
      </c>
      <c r="D1463" s="191" t="s">
        <v>2076</v>
      </c>
      <c r="E1463" s="191" t="s">
        <v>2650</v>
      </c>
      <c r="F1463" s="191" t="s">
        <v>2650</v>
      </c>
      <c r="G1463" s="191">
        <v>7</v>
      </c>
      <c r="H1463" s="192">
        <v>0</v>
      </c>
      <c r="I1463" s="192">
        <v>177.06</v>
      </c>
      <c r="J1463" s="192">
        <f>SUM(H1463:I1463)</f>
        <v>177.06</v>
      </c>
    </row>
    <row r="1464" spans="1:10" outlineLevel="2">
      <c r="A1464" s="191" t="s">
        <v>708</v>
      </c>
      <c r="B1464" s="191" t="s">
        <v>111</v>
      </c>
      <c r="C1464" s="191" t="s">
        <v>673</v>
      </c>
      <c r="D1464" s="191" t="s">
        <v>2076</v>
      </c>
      <c r="E1464" s="191" t="s">
        <v>2680</v>
      </c>
      <c r="F1464" s="191" t="s">
        <v>2680</v>
      </c>
      <c r="G1464" s="191">
        <v>7</v>
      </c>
      <c r="H1464" s="192">
        <v>0</v>
      </c>
      <c r="I1464" s="192">
        <v>177.06</v>
      </c>
      <c r="J1464" s="192">
        <f>SUM(H1464:I1464)</f>
        <v>177.06</v>
      </c>
    </row>
    <row r="1465" spans="1:10" outlineLevel="2">
      <c r="A1465" s="191" t="s">
        <v>708</v>
      </c>
      <c r="B1465" s="191" t="s">
        <v>111</v>
      </c>
      <c r="C1465" s="191" t="s">
        <v>673</v>
      </c>
      <c r="D1465" s="191" t="s">
        <v>2076</v>
      </c>
      <c r="E1465" s="191" t="s">
        <v>2603</v>
      </c>
      <c r="F1465" s="191" t="s">
        <v>2603</v>
      </c>
      <c r="G1465" s="191">
        <v>7</v>
      </c>
      <c r="H1465" s="192">
        <v>0</v>
      </c>
      <c r="I1465" s="192">
        <v>177.06</v>
      </c>
      <c r="J1465" s="192">
        <f>SUM(H1465:I1465)</f>
        <v>177.06</v>
      </c>
    </row>
    <row r="1466" spans="1:10" outlineLevel="2">
      <c r="A1466" s="191" t="s">
        <v>708</v>
      </c>
      <c r="B1466" s="191" t="s">
        <v>111</v>
      </c>
      <c r="C1466" s="191" t="s">
        <v>673</v>
      </c>
      <c r="D1466" s="191" t="s">
        <v>2322</v>
      </c>
      <c r="E1466" s="191" t="s">
        <v>1490</v>
      </c>
      <c r="F1466" s="191" t="s">
        <v>1490</v>
      </c>
      <c r="G1466" s="191">
        <v>7</v>
      </c>
      <c r="H1466" s="192">
        <v>0</v>
      </c>
      <c r="I1466" s="192">
        <v>177.06</v>
      </c>
      <c r="J1466" s="192">
        <f>SUM(H1466:I1466)</f>
        <v>177.06</v>
      </c>
    </row>
    <row r="1467" spans="1:10" outlineLevel="2">
      <c r="A1467" s="191" t="s">
        <v>709</v>
      </c>
      <c r="B1467" s="191" t="s">
        <v>694</v>
      </c>
      <c r="C1467" s="191" t="s">
        <v>673</v>
      </c>
      <c r="D1467" s="191" t="s">
        <v>2316</v>
      </c>
      <c r="E1467" s="191" t="s">
        <v>2719</v>
      </c>
      <c r="F1467" s="191" t="s">
        <v>2608</v>
      </c>
      <c r="G1467" s="191">
        <v>21</v>
      </c>
      <c r="H1467" s="192">
        <v>100</v>
      </c>
      <c r="I1467" s="192">
        <v>176.07</v>
      </c>
      <c r="J1467" s="192">
        <f>SUM(H1467:I1467)</f>
        <v>276.07</v>
      </c>
    </row>
    <row r="1468" spans="1:10" outlineLevel="2">
      <c r="A1468" s="191" t="s">
        <v>709</v>
      </c>
      <c r="B1468" s="191" t="s">
        <v>695</v>
      </c>
      <c r="C1468" s="191" t="s">
        <v>673</v>
      </c>
      <c r="D1468" s="191" t="s">
        <v>2354</v>
      </c>
      <c r="E1468" s="191" t="s">
        <v>2650</v>
      </c>
      <c r="F1468" s="191" t="s">
        <v>2646</v>
      </c>
      <c r="G1468" s="191">
        <v>14</v>
      </c>
      <c r="H1468" s="192">
        <v>100</v>
      </c>
      <c r="I1468" s="192">
        <v>126.84</v>
      </c>
      <c r="J1468" s="192">
        <f>SUM(H1468:I1468)</f>
        <v>226.84</v>
      </c>
    </row>
    <row r="1469" spans="1:10" outlineLevel="2">
      <c r="A1469" s="191" t="s">
        <v>710</v>
      </c>
      <c r="B1469" s="191" t="s">
        <v>106</v>
      </c>
      <c r="C1469" s="191" t="s">
        <v>673</v>
      </c>
      <c r="D1469" s="191" t="s">
        <v>1526</v>
      </c>
      <c r="E1469" s="191" t="s">
        <v>2616</v>
      </c>
      <c r="F1469" s="191" t="s">
        <v>2616</v>
      </c>
      <c r="G1469" s="191">
        <v>7</v>
      </c>
      <c r="H1469" s="192">
        <v>0</v>
      </c>
      <c r="I1469" s="192">
        <v>136.59</v>
      </c>
      <c r="J1469" s="192">
        <f>SUM(H1469:I1469)</f>
        <v>136.59</v>
      </c>
    </row>
    <row r="1470" spans="1:10" outlineLevel="2">
      <c r="A1470" s="191" t="s">
        <v>710</v>
      </c>
      <c r="B1470" s="191" t="s">
        <v>106</v>
      </c>
      <c r="C1470" s="191" t="s">
        <v>673</v>
      </c>
      <c r="D1470" s="191" t="s">
        <v>2355</v>
      </c>
      <c r="E1470" s="191" t="s">
        <v>2612</v>
      </c>
      <c r="F1470" s="191" t="s">
        <v>2612</v>
      </c>
      <c r="G1470" s="191">
        <v>7</v>
      </c>
      <c r="H1470" s="192">
        <v>0</v>
      </c>
      <c r="I1470" s="192">
        <v>136.59</v>
      </c>
      <c r="J1470" s="192">
        <f>SUM(H1470:I1470)</f>
        <v>136.59</v>
      </c>
    </row>
    <row r="1471" spans="1:10" outlineLevel="2">
      <c r="A1471" s="191" t="s">
        <v>710</v>
      </c>
      <c r="B1471" s="191" t="s">
        <v>106</v>
      </c>
      <c r="C1471" s="191" t="s">
        <v>673</v>
      </c>
      <c r="D1471" s="191" t="s">
        <v>2356</v>
      </c>
      <c r="E1471" s="191" t="s">
        <v>1494</v>
      </c>
      <c r="F1471" s="191" t="s">
        <v>1494</v>
      </c>
      <c r="G1471" s="191">
        <v>7</v>
      </c>
      <c r="H1471" s="192">
        <v>0</v>
      </c>
      <c r="I1471" s="192">
        <v>138.97</v>
      </c>
      <c r="J1471" s="192">
        <f>SUM(H1471:I1471)</f>
        <v>138.97</v>
      </c>
    </row>
    <row r="1472" spans="1:10" outlineLevel="2">
      <c r="A1472" s="191" t="s">
        <v>710</v>
      </c>
      <c r="B1472" s="191" t="s">
        <v>106</v>
      </c>
      <c r="C1472" s="191" t="s">
        <v>673</v>
      </c>
      <c r="D1472" s="191" t="s">
        <v>2357</v>
      </c>
      <c r="E1472" s="191" t="s">
        <v>2675</v>
      </c>
      <c r="F1472" s="191" t="s">
        <v>1504</v>
      </c>
      <c r="G1472" s="191">
        <v>14</v>
      </c>
      <c r="H1472" s="192">
        <v>0</v>
      </c>
      <c r="I1472" s="192">
        <v>273.18</v>
      </c>
      <c r="J1472" s="192">
        <f>SUM(H1472:I1472)</f>
        <v>273.18</v>
      </c>
    </row>
    <row r="1473" spans="1:10" outlineLevel="2">
      <c r="A1473" s="191" t="s">
        <v>710</v>
      </c>
      <c r="B1473" s="191" t="s">
        <v>106</v>
      </c>
      <c r="C1473" s="191" t="s">
        <v>673</v>
      </c>
      <c r="D1473" s="191" t="s">
        <v>2328</v>
      </c>
      <c r="E1473" s="191" t="s">
        <v>2645</v>
      </c>
      <c r="F1473" s="191" t="s">
        <v>2640</v>
      </c>
      <c r="G1473" s="191">
        <v>14</v>
      </c>
      <c r="H1473" s="192">
        <v>0</v>
      </c>
      <c r="I1473" s="192">
        <v>277.94</v>
      </c>
      <c r="J1473" s="192">
        <f>SUM(H1473:I1473)</f>
        <v>277.94</v>
      </c>
    </row>
    <row r="1474" spans="1:10" outlineLevel="2">
      <c r="A1474" s="191" t="s">
        <v>711</v>
      </c>
      <c r="B1474" s="191" t="s">
        <v>106</v>
      </c>
      <c r="C1474" s="191" t="s">
        <v>673</v>
      </c>
      <c r="D1474" s="191" t="s">
        <v>2338</v>
      </c>
      <c r="E1474" s="191" t="s">
        <v>2660</v>
      </c>
      <c r="F1474" s="191" t="s">
        <v>2660</v>
      </c>
      <c r="G1474" s="191">
        <v>7</v>
      </c>
      <c r="H1474" s="192">
        <v>0</v>
      </c>
      <c r="I1474" s="192">
        <v>162.13999999999999</v>
      </c>
      <c r="J1474" s="192">
        <f>SUM(H1474:I1474)</f>
        <v>162.13999999999999</v>
      </c>
    </row>
    <row r="1475" spans="1:10" outlineLevel="2">
      <c r="A1475" s="191" t="s">
        <v>711</v>
      </c>
      <c r="B1475" s="191" t="s">
        <v>106</v>
      </c>
      <c r="C1475" s="191" t="s">
        <v>673</v>
      </c>
      <c r="D1475" s="191" t="s">
        <v>2328</v>
      </c>
      <c r="E1475" s="191" t="s">
        <v>2645</v>
      </c>
      <c r="F1475" s="191" t="s">
        <v>2640</v>
      </c>
      <c r="G1475" s="191">
        <v>14</v>
      </c>
      <c r="H1475" s="192">
        <v>0</v>
      </c>
      <c r="I1475" s="192">
        <v>325.88</v>
      </c>
      <c r="J1475" s="192">
        <f>SUM(H1475:I1475)</f>
        <v>325.88</v>
      </c>
    </row>
    <row r="1476" spans="1:10" outlineLevel="1">
      <c r="A1476" s="193" t="s">
        <v>3031</v>
      </c>
      <c r="B1476" s="194"/>
      <c r="C1476" s="194"/>
      <c r="D1476" s="194"/>
      <c r="E1476" s="194"/>
      <c r="F1476" s="194"/>
      <c r="G1476" s="194">
        <f>SUBTOTAL(9,G1345:G1475)</f>
        <v>1386</v>
      </c>
      <c r="H1476" s="195">
        <f>SUBTOTAL(9,H1345:H1475)</f>
        <v>1000</v>
      </c>
      <c r="I1476" s="195">
        <f>SUBTOTAL(9,I1345:I1475)</f>
        <v>26683.920000000006</v>
      </c>
      <c r="J1476" s="195">
        <f>SUBTOTAL(9,J1345:J1475)</f>
        <v>27683.920000000006</v>
      </c>
    </row>
    <row r="1477" spans="1:10" outlineLevel="2">
      <c r="A1477" s="191" t="s">
        <v>2941</v>
      </c>
      <c r="B1477" s="191" t="s">
        <v>715</v>
      </c>
      <c r="C1477" s="191" t="s">
        <v>713</v>
      </c>
      <c r="D1477" s="191" t="s">
        <v>2358</v>
      </c>
      <c r="E1477" s="191" t="s">
        <v>2659</v>
      </c>
      <c r="F1477" s="191" t="s">
        <v>2628</v>
      </c>
      <c r="G1477" s="191">
        <v>14</v>
      </c>
      <c r="H1477" s="192">
        <v>0</v>
      </c>
      <c r="I1477" s="192">
        <v>279.98</v>
      </c>
      <c r="J1477" s="192">
        <f>SUM(H1477:I1477)</f>
        <v>279.98</v>
      </c>
    </row>
    <row r="1478" spans="1:10" outlineLevel="2">
      <c r="A1478" s="191" t="s">
        <v>712</v>
      </c>
      <c r="B1478" s="191" t="s">
        <v>715</v>
      </c>
      <c r="C1478" s="191" t="s">
        <v>713</v>
      </c>
      <c r="D1478" s="191" t="s">
        <v>2359</v>
      </c>
      <c r="E1478" s="191" t="s">
        <v>1495</v>
      </c>
      <c r="F1478" s="191" t="s">
        <v>1496</v>
      </c>
      <c r="G1478" s="191">
        <v>14</v>
      </c>
      <c r="H1478" s="192">
        <v>0</v>
      </c>
      <c r="I1478" s="192">
        <v>266.36</v>
      </c>
      <c r="J1478" s="192">
        <f>SUM(H1478:I1478)</f>
        <v>266.36</v>
      </c>
    </row>
    <row r="1479" spans="1:10" outlineLevel="2">
      <c r="A1479" s="191" t="s">
        <v>714</v>
      </c>
      <c r="B1479" s="191" t="s">
        <v>715</v>
      </c>
      <c r="C1479" s="191" t="s">
        <v>713</v>
      </c>
      <c r="D1479" s="191" t="s">
        <v>2360</v>
      </c>
      <c r="E1479" s="191" t="s">
        <v>2659</v>
      </c>
      <c r="F1479" s="191" t="s">
        <v>2628</v>
      </c>
      <c r="G1479" s="191">
        <v>14</v>
      </c>
      <c r="H1479" s="192">
        <v>0</v>
      </c>
      <c r="I1479" s="192">
        <v>314.06</v>
      </c>
      <c r="J1479" s="192">
        <f>SUM(H1479:I1479)</f>
        <v>314.06</v>
      </c>
    </row>
    <row r="1480" spans="1:10" outlineLevel="2">
      <c r="A1480" s="191" t="s">
        <v>2942</v>
      </c>
      <c r="B1480" s="191" t="s">
        <v>2943</v>
      </c>
      <c r="C1480" s="191" t="s">
        <v>713</v>
      </c>
      <c r="D1480" s="191" t="s">
        <v>2361</v>
      </c>
      <c r="E1480" s="191" t="s">
        <v>2623</v>
      </c>
      <c r="F1480" s="191" t="s">
        <v>2627</v>
      </c>
      <c r="G1480" s="191">
        <v>21</v>
      </c>
      <c r="H1480" s="192">
        <v>0</v>
      </c>
      <c r="I1480" s="192">
        <v>649.65</v>
      </c>
      <c r="J1480" s="192">
        <f>SUM(H1480:I1480)</f>
        <v>649.65</v>
      </c>
    </row>
    <row r="1481" spans="1:10" outlineLevel="2">
      <c r="A1481" s="191" t="s">
        <v>716</v>
      </c>
      <c r="B1481" s="191" t="s">
        <v>715</v>
      </c>
      <c r="C1481" s="191" t="s">
        <v>713</v>
      </c>
      <c r="D1481" s="191" t="s">
        <v>2362</v>
      </c>
      <c r="E1481" s="191" t="s">
        <v>2652</v>
      </c>
      <c r="F1481" s="191" t="s">
        <v>1481</v>
      </c>
      <c r="G1481" s="191">
        <v>14</v>
      </c>
      <c r="H1481" s="192">
        <v>0</v>
      </c>
      <c r="I1481" s="192">
        <v>269.76</v>
      </c>
      <c r="J1481" s="192">
        <f>SUM(H1481:I1481)</f>
        <v>269.76</v>
      </c>
    </row>
    <row r="1482" spans="1:10" outlineLevel="2">
      <c r="A1482" s="191" t="s">
        <v>717</v>
      </c>
      <c r="B1482" s="191" t="s">
        <v>112</v>
      </c>
      <c r="C1482" s="191" t="s">
        <v>713</v>
      </c>
      <c r="D1482" s="191" t="s">
        <v>2363</v>
      </c>
      <c r="E1482" s="191" t="s">
        <v>2751</v>
      </c>
      <c r="F1482" s="191" t="s">
        <v>2595</v>
      </c>
      <c r="G1482" s="191">
        <v>21</v>
      </c>
      <c r="H1482" s="192">
        <v>0</v>
      </c>
      <c r="I1482" s="192">
        <v>176.07</v>
      </c>
      <c r="J1482" s="192">
        <f>SUM(H1482:I1482)</f>
        <v>176.07</v>
      </c>
    </row>
    <row r="1483" spans="1:10" outlineLevel="2">
      <c r="A1483" s="191" t="s">
        <v>2944</v>
      </c>
      <c r="B1483" s="191" t="s">
        <v>715</v>
      </c>
      <c r="C1483" s="191" t="s">
        <v>713</v>
      </c>
      <c r="D1483" s="191" t="s">
        <v>2364</v>
      </c>
      <c r="E1483" s="191" t="s">
        <v>2666</v>
      </c>
      <c r="F1483" s="191" t="s">
        <v>2588</v>
      </c>
      <c r="G1483" s="191">
        <v>21</v>
      </c>
      <c r="H1483" s="192">
        <v>0</v>
      </c>
      <c r="I1483" s="192">
        <v>202.68</v>
      </c>
      <c r="J1483" s="192">
        <f>SUM(H1483:I1483)</f>
        <v>202.68</v>
      </c>
    </row>
    <row r="1484" spans="1:10" outlineLevel="2">
      <c r="A1484" s="191" t="s">
        <v>718</v>
      </c>
      <c r="B1484" s="191" t="s">
        <v>715</v>
      </c>
      <c r="C1484" s="191" t="s">
        <v>713</v>
      </c>
      <c r="D1484" s="191" t="s">
        <v>2365</v>
      </c>
      <c r="E1484" s="191" t="s">
        <v>2598</v>
      </c>
      <c r="F1484" s="191" t="s">
        <v>2598</v>
      </c>
      <c r="G1484" s="191">
        <v>7</v>
      </c>
      <c r="H1484" s="192">
        <v>0</v>
      </c>
      <c r="I1484" s="192">
        <v>133.83000000000001</v>
      </c>
      <c r="J1484" s="192">
        <f>SUM(H1484:I1484)</f>
        <v>133.83000000000001</v>
      </c>
    </row>
    <row r="1485" spans="1:10" outlineLevel="2">
      <c r="A1485" s="191" t="s">
        <v>718</v>
      </c>
      <c r="B1485" s="191" t="s">
        <v>715</v>
      </c>
      <c r="C1485" s="191" t="s">
        <v>713</v>
      </c>
      <c r="D1485" s="191" t="s">
        <v>2365</v>
      </c>
      <c r="E1485" s="191" t="s">
        <v>2625</v>
      </c>
      <c r="F1485" s="191" t="s">
        <v>2708</v>
      </c>
      <c r="G1485" s="191">
        <v>14</v>
      </c>
      <c r="H1485" s="192">
        <v>0</v>
      </c>
      <c r="I1485" s="192">
        <v>267.66000000000003</v>
      </c>
      <c r="J1485" s="192">
        <f>SUM(H1485:I1485)</f>
        <v>267.66000000000003</v>
      </c>
    </row>
    <row r="1486" spans="1:10" outlineLevel="2">
      <c r="A1486" s="191" t="s">
        <v>718</v>
      </c>
      <c r="B1486" s="191" t="s">
        <v>715</v>
      </c>
      <c r="C1486" s="191" t="s">
        <v>713</v>
      </c>
      <c r="D1486" s="191" t="s">
        <v>2366</v>
      </c>
      <c r="E1486" s="191" t="s">
        <v>2731</v>
      </c>
      <c r="F1486" s="191" t="s">
        <v>2593</v>
      </c>
      <c r="G1486" s="191">
        <v>28</v>
      </c>
      <c r="H1486" s="192">
        <v>0</v>
      </c>
      <c r="I1486" s="192">
        <v>532.72</v>
      </c>
      <c r="J1486" s="192">
        <f>SUM(H1486:I1486)</f>
        <v>532.72</v>
      </c>
    </row>
    <row r="1487" spans="1:10" outlineLevel="2">
      <c r="A1487" s="191" t="s">
        <v>2945</v>
      </c>
      <c r="B1487" s="191" t="s">
        <v>715</v>
      </c>
      <c r="C1487" s="191" t="s">
        <v>713</v>
      </c>
      <c r="D1487" s="191" t="s">
        <v>2367</v>
      </c>
      <c r="E1487" s="191" t="s">
        <v>2631</v>
      </c>
      <c r="F1487" s="191" t="s">
        <v>2617</v>
      </c>
      <c r="G1487" s="191">
        <v>21</v>
      </c>
      <c r="H1487" s="192">
        <v>0</v>
      </c>
      <c r="I1487" s="192">
        <v>508.08</v>
      </c>
      <c r="J1487" s="192">
        <f>SUM(H1487:I1487)</f>
        <v>508.08</v>
      </c>
    </row>
    <row r="1488" spans="1:10" outlineLevel="2">
      <c r="A1488" s="191" t="s">
        <v>719</v>
      </c>
      <c r="B1488" s="191" t="s">
        <v>715</v>
      </c>
      <c r="C1488" s="191" t="s">
        <v>713</v>
      </c>
      <c r="D1488" s="191" t="s">
        <v>2368</v>
      </c>
      <c r="E1488" s="191" t="s">
        <v>1481</v>
      </c>
      <c r="F1488" s="191" t="s">
        <v>1481</v>
      </c>
      <c r="G1488" s="191">
        <v>7</v>
      </c>
      <c r="H1488" s="192">
        <v>0</v>
      </c>
      <c r="I1488" s="192">
        <v>191.44</v>
      </c>
      <c r="J1488" s="192">
        <f>SUM(H1488:I1488)</f>
        <v>191.44</v>
      </c>
    </row>
    <row r="1489" spans="1:10" outlineLevel="2">
      <c r="A1489" s="191" t="s">
        <v>719</v>
      </c>
      <c r="B1489" s="191" t="s">
        <v>715</v>
      </c>
      <c r="C1489" s="191" t="s">
        <v>713</v>
      </c>
      <c r="D1489" s="191" t="s">
        <v>2369</v>
      </c>
      <c r="E1489" s="191" t="s">
        <v>2614</v>
      </c>
      <c r="F1489" s="191" t="s">
        <v>2614</v>
      </c>
      <c r="G1489" s="191">
        <v>7</v>
      </c>
      <c r="H1489" s="192">
        <v>0</v>
      </c>
      <c r="I1489" s="192">
        <v>191.44</v>
      </c>
      <c r="J1489" s="192">
        <f>SUM(H1489:I1489)</f>
        <v>191.44</v>
      </c>
    </row>
    <row r="1490" spans="1:10" outlineLevel="2">
      <c r="A1490" s="191" t="s">
        <v>719</v>
      </c>
      <c r="B1490" s="191" t="s">
        <v>715</v>
      </c>
      <c r="C1490" s="191" t="s">
        <v>713</v>
      </c>
      <c r="D1490" s="191" t="s">
        <v>2370</v>
      </c>
      <c r="E1490" s="191" t="s">
        <v>1499</v>
      </c>
      <c r="F1490" s="191" t="s">
        <v>1499</v>
      </c>
      <c r="G1490" s="191">
        <v>7</v>
      </c>
      <c r="H1490" s="192">
        <v>0</v>
      </c>
      <c r="I1490" s="192">
        <v>194.51</v>
      </c>
      <c r="J1490" s="192">
        <f>SUM(H1490:I1490)</f>
        <v>194.51</v>
      </c>
    </row>
    <row r="1491" spans="1:10" outlineLevel="2">
      <c r="A1491" s="191" t="s">
        <v>2946</v>
      </c>
      <c r="B1491" s="191" t="s">
        <v>141</v>
      </c>
      <c r="C1491" s="191" t="s">
        <v>713</v>
      </c>
      <c r="D1491" s="191" t="s">
        <v>2367</v>
      </c>
      <c r="E1491" s="191" t="s">
        <v>2631</v>
      </c>
      <c r="F1491" s="191" t="s">
        <v>2617</v>
      </c>
      <c r="G1491" s="191">
        <v>21</v>
      </c>
      <c r="H1491" s="192">
        <v>0</v>
      </c>
      <c r="I1491" s="192">
        <v>152.91</v>
      </c>
      <c r="J1491" s="192">
        <f>SUM(H1491:I1491)</f>
        <v>152.91</v>
      </c>
    </row>
    <row r="1492" spans="1:10" outlineLevel="2">
      <c r="A1492" s="191" t="s">
        <v>720</v>
      </c>
      <c r="B1492" s="191" t="s">
        <v>715</v>
      </c>
      <c r="C1492" s="191" t="s">
        <v>713</v>
      </c>
      <c r="D1492" s="191" t="s">
        <v>2259</v>
      </c>
      <c r="E1492" s="191" t="s">
        <v>1487</v>
      </c>
      <c r="F1492" s="191" t="s">
        <v>1487</v>
      </c>
      <c r="G1492" s="191">
        <v>7</v>
      </c>
      <c r="H1492" s="192">
        <v>0</v>
      </c>
      <c r="I1492" s="192">
        <v>202.19</v>
      </c>
      <c r="J1492" s="192">
        <f>SUM(H1492:I1492)</f>
        <v>202.19</v>
      </c>
    </row>
    <row r="1493" spans="1:10" outlineLevel="2">
      <c r="A1493" s="191" t="s">
        <v>720</v>
      </c>
      <c r="B1493" s="191" t="s">
        <v>715</v>
      </c>
      <c r="C1493" s="191" t="s">
        <v>713</v>
      </c>
      <c r="D1493" s="191" t="s">
        <v>1936</v>
      </c>
      <c r="E1493" s="191" t="s">
        <v>2631</v>
      </c>
      <c r="F1493" s="191" t="s">
        <v>2617</v>
      </c>
      <c r="G1493" s="191">
        <v>21</v>
      </c>
      <c r="H1493" s="192">
        <v>0</v>
      </c>
      <c r="I1493" s="192">
        <v>609.57000000000005</v>
      </c>
      <c r="J1493" s="192">
        <f>SUM(H1493:I1493)</f>
        <v>609.57000000000005</v>
      </c>
    </row>
    <row r="1494" spans="1:10" outlineLevel="2">
      <c r="A1494" s="191" t="s">
        <v>721</v>
      </c>
      <c r="B1494" s="191" t="s">
        <v>141</v>
      </c>
      <c r="C1494" s="191" t="s">
        <v>713</v>
      </c>
      <c r="D1494" s="191" t="s">
        <v>2371</v>
      </c>
      <c r="E1494" s="191" t="s">
        <v>2733</v>
      </c>
      <c r="F1494" s="191" t="s">
        <v>2713</v>
      </c>
      <c r="G1494" s="191">
        <v>21</v>
      </c>
      <c r="H1494" s="192">
        <v>0</v>
      </c>
      <c r="I1494" s="192">
        <v>152.16</v>
      </c>
      <c r="J1494" s="192">
        <f>SUM(H1494:I1494)</f>
        <v>152.16</v>
      </c>
    </row>
    <row r="1495" spans="1:10" outlineLevel="2">
      <c r="A1495" s="191" t="s">
        <v>721</v>
      </c>
      <c r="B1495" s="191" t="s">
        <v>147</v>
      </c>
      <c r="C1495" s="191" t="s">
        <v>713</v>
      </c>
      <c r="D1495" s="191" t="s">
        <v>2367</v>
      </c>
      <c r="E1495" s="191" t="s">
        <v>2631</v>
      </c>
      <c r="F1495" s="191" t="s">
        <v>2617</v>
      </c>
      <c r="G1495" s="191">
        <v>21</v>
      </c>
      <c r="H1495" s="192">
        <v>0</v>
      </c>
      <c r="I1495" s="192">
        <v>163.59</v>
      </c>
      <c r="J1495" s="192">
        <f>SUM(H1495:I1495)</f>
        <v>163.59</v>
      </c>
    </row>
    <row r="1496" spans="1:10" outlineLevel="2">
      <c r="A1496" s="191" t="s">
        <v>2947</v>
      </c>
      <c r="B1496" s="191" t="s">
        <v>715</v>
      </c>
      <c r="C1496" s="191" t="s">
        <v>713</v>
      </c>
      <c r="D1496" s="191" t="s">
        <v>2372</v>
      </c>
      <c r="E1496" s="191" t="s">
        <v>1502</v>
      </c>
      <c r="F1496" s="191" t="s">
        <v>2681</v>
      </c>
      <c r="G1496" s="191">
        <v>21</v>
      </c>
      <c r="H1496" s="192">
        <v>0</v>
      </c>
      <c r="I1496" s="192">
        <v>454.14</v>
      </c>
      <c r="J1496" s="192">
        <f>SUM(H1496:I1496)</f>
        <v>454.14</v>
      </c>
    </row>
    <row r="1497" spans="1:10" outlineLevel="2">
      <c r="A1497" s="191" t="s">
        <v>722</v>
      </c>
      <c r="B1497" s="191" t="s">
        <v>715</v>
      </c>
      <c r="C1497" s="191" t="s">
        <v>713</v>
      </c>
      <c r="D1497" s="191" t="s">
        <v>2373</v>
      </c>
      <c r="E1497" s="191" t="s">
        <v>2607</v>
      </c>
      <c r="F1497" s="191" t="s">
        <v>1500</v>
      </c>
      <c r="G1497" s="191">
        <v>21</v>
      </c>
      <c r="H1497" s="192">
        <v>0</v>
      </c>
      <c r="I1497" s="192">
        <v>416.91</v>
      </c>
      <c r="J1497" s="192">
        <f>SUM(H1497:I1497)</f>
        <v>416.91</v>
      </c>
    </row>
    <row r="1498" spans="1:10" outlineLevel="2">
      <c r="A1498" s="191" t="s">
        <v>724</v>
      </c>
      <c r="B1498" s="191" t="s">
        <v>715</v>
      </c>
      <c r="C1498" s="191" t="s">
        <v>713</v>
      </c>
      <c r="D1498" s="191" t="s">
        <v>2374</v>
      </c>
      <c r="E1498" s="191" t="s">
        <v>2594</v>
      </c>
      <c r="F1498" s="191" t="s">
        <v>2588</v>
      </c>
      <c r="G1498" s="191">
        <v>14</v>
      </c>
      <c r="H1498" s="192">
        <v>0</v>
      </c>
      <c r="I1498" s="192">
        <v>276.58</v>
      </c>
      <c r="J1498" s="192">
        <f>SUM(H1498:I1498)</f>
        <v>276.58</v>
      </c>
    </row>
    <row r="1499" spans="1:10" outlineLevel="2">
      <c r="A1499" s="191" t="s">
        <v>2948</v>
      </c>
      <c r="B1499" s="191" t="s">
        <v>141</v>
      </c>
      <c r="C1499" s="191" t="s">
        <v>713</v>
      </c>
      <c r="D1499" s="191" t="s">
        <v>2367</v>
      </c>
      <c r="E1499" s="191" t="s">
        <v>2631</v>
      </c>
      <c r="F1499" s="191" t="s">
        <v>2617</v>
      </c>
      <c r="G1499" s="191">
        <v>21</v>
      </c>
      <c r="H1499" s="192">
        <v>0</v>
      </c>
      <c r="I1499" s="192">
        <v>152.91</v>
      </c>
      <c r="J1499" s="192">
        <f>SUM(H1499:I1499)</f>
        <v>152.91</v>
      </c>
    </row>
    <row r="1500" spans="1:10" outlineLevel="2">
      <c r="A1500" s="191" t="s">
        <v>725</v>
      </c>
      <c r="B1500" s="191" t="s">
        <v>715</v>
      </c>
      <c r="C1500" s="191" t="s">
        <v>713</v>
      </c>
      <c r="D1500" s="191" t="s">
        <v>2368</v>
      </c>
      <c r="E1500" s="191" t="s">
        <v>1481</v>
      </c>
      <c r="F1500" s="191" t="s">
        <v>1481</v>
      </c>
      <c r="G1500" s="191">
        <v>7</v>
      </c>
      <c r="H1500" s="192">
        <v>0</v>
      </c>
      <c r="I1500" s="192">
        <v>134.88</v>
      </c>
      <c r="J1500" s="192">
        <f>SUM(H1500:I1500)</f>
        <v>134.88</v>
      </c>
    </row>
    <row r="1501" spans="1:10" outlineLevel="2">
      <c r="A1501" s="191" t="s">
        <v>725</v>
      </c>
      <c r="B1501" s="191" t="s">
        <v>715</v>
      </c>
      <c r="C1501" s="191" t="s">
        <v>713</v>
      </c>
      <c r="D1501" s="191" t="s">
        <v>2369</v>
      </c>
      <c r="E1501" s="191" t="s">
        <v>2614</v>
      </c>
      <c r="F1501" s="191" t="s">
        <v>2614</v>
      </c>
      <c r="G1501" s="191">
        <v>7</v>
      </c>
      <c r="H1501" s="192">
        <v>0</v>
      </c>
      <c r="I1501" s="192">
        <v>134.88</v>
      </c>
      <c r="J1501" s="192">
        <f>SUM(H1501:I1501)</f>
        <v>134.88</v>
      </c>
    </row>
    <row r="1502" spans="1:10" outlineLevel="2">
      <c r="A1502" s="191" t="s">
        <v>725</v>
      </c>
      <c r="B1502" s="191" t="s">
        <v>715</v>
      </c>
      <c r="C1502" s="191" t="s">
        <v>713</v>
      </c>
      <c r="D1502" s="191" t="s">
        <v>2375</v>
      </c>
      <c r="E1502" s="191" t="s">
        <v>1499</v>
      </c>
      <c r="F1502" s="191" t="s">
        <v>1500</v>
      </c>
      <c r="G1502" s="191">
        <v>14</v>
      </c>
      <c r="H1502" s="192">
        <v>0</v>
      </c>
      <c r="I1502" s="192">
        <v>274.45999999999998</v>
      </c>
      <c r="J1502" s="192">
        <f>SUM(H1502:I1502)</f>
        <v>274.45999999999998</v>
      </c>
    </row>
    <row r="1503" spans="1:10" outlineLevel="2">
      <c r="A1503" s="191" t="s">
        <v>726</v>
      </c>
      <c r="B1503" s="191" t="s">
        <v>116</v>
      </c>
      <c r="C1503" s="191" t="s">
        <v>713</v>
      </c>
      <c r="D1503" s="191" t="s">
        <v>2376</v>
      </c>
      <c r="E1503" s="191" t="s">
        <v>2741</v>
      </c>
      <c r="F1503" s="191" t="s">
        <v>2663</v>
      </c>
      <c r="G1503" s="191">
        <v>35</v>
      </c>
      <c r="H1503" s="192">
        <v>0</v>
      </c>
      <c r="I1503" s="192">
        <v>407.6</v>
      </c>
      <c r="J1503" s="192">
        <f>SUM(H1503:I1503)</f>
        <v>407.6</v>
      </c>
    </row>
    <row r="1504" spans="1:10" outlineLevel="2">
      <c r="A1504" s="191" t="s">
        <v>2949</v>
      </c>
      <c r="B1504" s="191" t="s">
        <v>715</v>
      </c>
      <c r="C1504" s="191" t="s">
        <v>713</v>
      </c>
      <c r="D1504" s="191" t="s">
        <v>2377</v>
      </c>
      <c r="E1504" s="191" t="s">
        <v>2675</v>
      </c>
      <c r="F1504" s="191" t="s">
        <v>2675</v>
      </c>
      <c r="G1504" s="191">
        <v>7</v>
      </c>
      <c r="H1504" s="192">
        <v>0</v>
      </c>
      <c r="I1504" s="192">
        <v>139.99</v>
      </c>
      <c r="J1504" s="192">
        <f>SUM(H1504:I1504)</f>
        <v>139.99</v>
      </c>
    </row>
    <row r="1505" spans="1:10" outlineLevel="2">
      <c r="A1505" s="191" t="s">
        <v>2949</v>
      </c>
      <c r="B1505" s="191" t="s">
        <v>715</v>
      </c>
      <c r="C1505" s="191" t="s">
        <v>713</v>
      </c>
      <c r="D1505" s="191" t="s">
        <v>2364</v>
      </c>
      <c r="E1505" s="191" t="s">
        <v>1478</v>
      </c>
      <c r="F1505" s="191" t="s">
        <v>2588</v>
      </c>
      <c r="G1505" s="191">
        <v>28</v>
      </c>
      <c r="H1505" s="192">
        <v>0</v>
      </c>
      <c r="I1505" s="192">
        <v>559.96</v>
      </c>
      <c r="J1505" s="192">
        <f>SUM(H1505:I1505)</f>
        <v>559.96</v>
      </c>
    </row>
    <row r="1506" spans="1:10" outlineLevel="2">
      <c r="A1506" s="191" t="s">
        <v>727</v>
      </c>
      <c r="B1506" s="191" t="s">
        <v>715</v>
      </c>
      <c r="C1506" s="191" t="s">
        <v>713</v>
      </c>
      <c r="D1506" s="191" t="s">
        <v>2378</v>
      </c>
      <c r="E1506" s="191" t="s">
        <v>2625</v>
      </c>
      <c r="F1506" s="191" t="s">
        <v>2626</v>
      </c>
      <c r="G1506" s="191">
        <v>28</v>
      </c>
      <c r="H1506" s="192">
        <v>0</v>
      </c>
      <c r="I1506" s="192">
        <v>647.67999999999995</v>
      </c>
      <c r="J1506" s="192">
        <f>SUM(H1506:I1506)</f>
        <v>647.67999999999995</v>
      </c>
    </row>
    <row r="1507" spans="1:10" outlineLevel="2">
      <c r="A1507" s="191" t="s">
        <v>2950</v>
      </c>
      <c r="B1507" s="191" t="s">
        <v>715</v>
      </c>
      <c r="C1507" s="191" t="s">
        <v>713</v>
      </c>
      <c r="D1507" s="191" t="s">
        <v>2362</v>
      </c>
      <c r="E1507" s="191" t="s">
        <v>2684</v>
      </c>
      <c r="F1507" s="191" t="s">
        <v>1481</v>
      </c>
      <c r="G1507" s="191">
        <v>21</v>
      </c>
      <c r="H1507" s="192">
        <v>0</v>
      </c>
      <c r="I1507" s="192">
        <v>404.64</v>
      </c>
      <c r="J1507" s="192">
        <f>SUM(H1507:I1507)</f>
        <v>404.64</v>
      </c>
    </row>
    <row r="1508" spans="1:10" outlineLevel="2">
      <c r="A1508" s="191" t="s">
        <v>2951</v>
      </c>
      <c r="B1508" s="191" t="s">
        <v>112</v>
      </c>
      <c r="C1508" s="191" t="s">
        <v>713</v>
      </c>
      <c r="D1508" s="191" t="s">
        <v>2379</v>
      </c>
      <c r="E1508" s="191" t="s">
        <v>1499</v>
      </c>
      <c r="F1508" s="191" t="s">
        <v>1500</v>
      </c>
      <c r="G1508" s="191">
        <v>14</v>
      </c>
      <c r="H1508" s="192">
        <v>0</v>
      </c>
      <c r="I1508" s="192">
        <v>117.94</v>
      </c>
      <c r="J1508" s="192">
        <f>SUM(H1508:I1508)</f>
        <v>117.94</v>
      </c>
    </row>
    <row r="1509" spans="1:10" outlineLevel="2">
      <c r="A1509" s="191" t="s">
        <v>728</v>
      </c>
      <c r="B1509" s="191" t="s">
        <v>147</v>
      </c>
      <c r="C1509" s="191" t="s">
        <v>713</v>
      </c>
      <c r="D1509" s="191" t="s">
        <v>2367</v>
      </c>
      <c r="E1509" s="191" t="s">
        <v>2631</v>
      </c>
      <c r="F1509" s="191" t="s">
        <v>2617</v>
      </c>
      <c r="G1509" s="191">
        <v>21</v>
      </c>
      <c r="H1509" s="192">
        <v>0</v>
      </c>
      <c r="I1509" s="192">
        <v>163.59</v>
      </c>
      <c r="J1509" s="192">
        <f>SUM(H1509:I1509)</f>
        <v>163.59</v>
      </c>
    </row>
    <row r="1510" spans="1:10" outlineLevel="1">
      <c r="A1510" s="193" t="s">
        <v>3032</v>
      </c>
      <c r="B1510" s="194"/>
      <c r="C1510" s="194"/>
      <c r="D1510" s="194"/>
      <c r="E1510" s="194"/>
      <c r="F1510" s="194"/>
      <c r="G1510" s="194">
        <f>SUBTOTAL(9,G1477:G1509)</f>
        <v>560</v>
      </c>
      <c r="H1510" s="195">
        <f>SUBTOTAL(9,H1477:H1509)</f>
        <v>0</v>
      </c>
      <c r="I1510" s="195">
        <f>SUBTOTAL(9,I1477:I1509)</f>
        <v>9744.82</v>
      </c>
      <c r="J1510" s="195">
        <f>SUBTOTAL(9,J1477:J1509)</f>
        <v>9744.82</v>
      </c>
    </row>
    <row r="1511" spans="1:10" outlineLevel="2">
      <c r="A1511" s="191" t="s">
        <v>729</v>
      </c>
      <c r="B1511" s="191" t="s">
        <v>723</v>
      </c>
      <c r="C1511" s="191" t="s">
        <v>730</v>
      </c>
      <c r="D1511" s="191" t="s">
        <v>2380</v>
      </c>
      <c r="E1511" s="191" t="s">
        <v>2620</v>
      </c>
      <c r="F1511" s="191" t="s">
        <v>2620</v>
      </c>
      <c r="G1511" s="191">
        <v>7</v>
      </c>
      <c r="H1511" s="192">
        <v>0</v>
      </c>
      <c r="I1511" s="192">
        <v>199.83</v>
      </c>
      <c r="J1511" s="192">
        <f>SUM(H1511:I1511)</f>
        <v>199.83</v>
      </c>
    </row>
    <row r="1512" spans="1:10" outlineLevel="2">
      <c r="A1512" s="191" t="s">
        <v>729</v>
      </c>
      <c r="B1512" s="191" t="s">
        <v>723</v>
      </c>
      <c r="C1512" s="191" t="s">
        <v>730</v>
      </c>
      <c r="D1512" s="191" t="s">
        <v>2380</v>
      </c>
      <c r="E1512" s="191" t="s">
        <v>1494</v>
      </c>
      <c r="F1512" s="191" t="s">
        <v>1480</v>
      </c>
      <c r="G1512" s="191">
        <v>14</v>
      </c>
      <c r="H1512" s="192">
        <v>0</v>
      </c>
      <c r="I1512" s="192">
        <v>399.66</v>
      </c>
      <c r="J1512" s="192">
        <f>SUM(H1512:I1512)</f>
        <v>399.66</v>
      </c>
    </row>
    <row r="1513" spans="1:10" outlineLevel="2">
      <c r="A1513" s="191" t="s">
        <v>729</v>
      </c>
      <c r="B1513" s="191" t="s">
        <v>723</v>
      </c>
      <c r="C1513" s="191" t="s">
        <v>730</v>
      </c>
      <c r="D1513" s="191" t="s">
        <v>2381</v>
      </c>
      <c r="E1513" s="191" t="s">
        <v>2752</v>
      </c>
      <c r="F1513" s="191" t="s">
        <v>2628</v>
      </c>
      <c r="G1513" s="191">
        <v>35</v>
      </c>
      <c r="H1513" s="192">
        <v>0</v>
      </c>
      <c r="I1513" s="192">
        <v>994.3</v>
      </c>
      <c r="J1513" s="192">
        <f>SUM(H1513:I1513)</f>
        <v>994.3</v>
      </c>
    </row>
    <row r="1514" spans="1:10" outlineLevel="1">
      <c r="A1514" s="193" t="s">
        <v>3033</v>
      </c>
      <c r="B1514" s="194"/>
      <c r="C1514" s="194"/>
      <c r="D1514" s="194"/>
      <c r="E1514" s="194"/>
      <c r="F1514" s="194"/>
      <c r="G1514" s="194">
        <f>SUBTOTAL(9,G1511:G1513)</f>
        <v>56</v>
      </c>
      <c r="H1514" s="195">
        <f>SUBTOTAL(9,H1511:H1513)</f>
        <v>0</v>
      </c>
      <c r="I1514" s="195">
        <f>SUBTOTAL(9,I1511:I1513)</f>
        <v>1593.79</v>
      </c>
      <c r="J1514" s="195">
        <f>SUBTOTAL(9,J1511:J1513)</f>
        <v>1593.79</v>
      </c>
    </row>
    <row r="1515" spans="1:10" outlineLevel="2">
      <c r="A1515" s="191" t="s">
        <v>733</v>
      </c>
      <c r="B1515" s="191" t="s">
        <v>734</v>
      </c>
      <c r="C1515" s="191" t="s">
        <v>731</v>
      </c>
      <c r="D1515" s="191" t="s">
        <v>2382</v>
      </c>
      <c r="E1515" s="191" t="s">
        <v>1494</v>
      </c>
      <c r="F1515" s="191" t="s">
        <v>1480</v>
      </c>
      <c r="G1515" s="191">
        <v>14</v>
      </c>
      <c r="H1515" s="192">
        <v>0</v>
      </c>
      <c r="I1515" s="192">
        <v>322.45999999999998</v>
      </c>
      <c r="J1515" s="192">
        <f>SUM(H1515:I1515)</f>
        <v>322.45999999999998</v>
      </c>
    </row>
    <row r="1516" spans="1:10" outlineLevel="2">
      <c r="A1516" s="191" t="s">
        <v>733</v>
      </c>
      <c r="B1516" s="191" t="s">
        <v>734</v>
      </c>
      <c r="C1516" s="191" t="s">
        <v>731</v>
      </c>
      <c r="D1516" s="191" t="s">
        <v>2383</v>
      </c>
      <c r="E1516" s="191" t="s">
        <v>2625</v>
      </c>
      <c r="F1516" s="191" t="s">
        <v>2626</v>
      </c>
      <c r="G1516" s="191">
        <v>28</v>
      </c>
      <c r="H1516" s="192">
        <v>0</v>
      </c>
      <c r="I1516" s="192">
        <v>644.91999999999996</v>
      </c>
      <c r="J1516" s="192">
        <f>SUM(H1516:I1516)</f>
        <v>644.91999999999996</v>
      </c>
    </row>
    <row r="1517" spans="1:10" outlineLevel="2">
      <c r="A1517" s="191" t="s">
        <v>735</v>
      </c>
      <c r="B1517" s="191" t="s">
        <v>112</v>
      </c>
      <c r="C1517" s="191" t="s">
        <v>731</v>
      </c>
      <c r="D1517" s="191" t="s">
        <v>2384</v>
      </c>
      <c r="E1517" s="191" t="s">
        <v>2710</v>
      </c>
      <c r="F1517" s="191" t="s">
        <v>2660</v>
      </c>
      <c r="G1517" s="191">
        <v>14</v>
      </c>
      <c r="H1517" s="192">
        <v>0</v>
      </c>
      <c r="I1517" s="192">
        <v>117.38</v>
      </c>
      <c r="J1517" s="192">
        <f>SUM(H1517:I1517)</f>
        <v>117.38</v>
      </c>
    </row>
    <row r="1518" spans="1:10" outlineLevel="2">
      <c r="A1518" s="191" t="s">
        <v>736</v>
      </c>
      <c r="B1518" s="191" t="s">
        <v>734</v>
      </c>
      <c r="C1518" s="191" t="s">
        <v>731</v>
      </c>
      <c r="D1518" s="191" t="s">
        <v>2382</v>
      </c>
      <c r="E1518" s="191" t="s">
        <v>1494</v>
      </c>
      <c r="F1518" s="191" t="s">
        <v>1480</v>
      </c>
      <c r="G1518" s="191">
        <v>14</v>
      </c>
      <c r="H1518" s="192">
        <v>0</v>
      </c>
      <c r="I1518" s="192">
        <v>271.08</v>
      </c>
      <c r="J1518" s="192">
        <f>SUM(H1518:I1518)</f>
        <v>271.08</v>
      </c>
    </row>
    <row r="1519" spans="1:10" outlineLevel="2">
      <c r="A1519" s="191" t="s">
        <v>2952</v>
      </c>
      <c r="B1519" s="191" t="s">
        <v>147</v>
      </c>
      <c r="C1519" s="191" t="s">
        <v>731</v>
      </c>
      <c r="D1519" s="191" t="s">
        <v>2385</v>
      </c>
      <c r="E1519" s="191" t="s">
        <v>2751</v>
      </c>
      <c r="F1519" s="191" t="s">
        <v>2595</v>
      </c>
      <c r="G1519" s="191" t="s">
        <v>2760</v>
      </c>
      <c r="H1519" s="192">
        <v>0</v>
      </c>
      <c r="I1519" s="192">
        <v>0</v>
      </c>
      <c r="J1519" s="192">
        <f>SUM(H1519:I1519)</f>
        <v>0</v>
      </c>
    </row>
    <row r="1520" spans="1:10" outlineLevel="2">
      <c r="A1520" s="191" t="s">
        <v>2952</v>
      </c>
      <c r="B1520" s="191" t="s">
        <v>112</v>
      </c>
      <c r="C1520" s="191" t="s">
        <v>731</v>
      </c>
      <c r="D1520" s="191" t="s">
        <v>2386</v>
      </c>
      <c r="E1520" s="191" t="s">
        <v>2629</v>
      </c>
      <c r="F1520" s="191" t="s">
        <v>1504</v>
      </c>
      <c r="G1520" s="191">
        <v>35</v>
      </c>
      <c r="H1520" s="192">
        <v>0</v>
      </c>
      <c r="I1520" s="192">
        <v>283.95</v>
      </c>
      <c r="J1520" s="192">
        <f>SUM(H1520:I1520)</f>
        <v>283.95</v>
      </c>
    </row>
    <row r="1521" spans="1:10" outlineLevel="2">
      <c r="A1521" s="191" t="s">
        <v>737</v>
      </c>
      <c r="B1521" s="191" t="s">
        <v>734</v>
      </c>
      <c r="C1521" s="191" t="s">
        <v>731</v>
      </c>
      <c r="D1521" s="191" t="s">
        <v>2387</v>
      </c>
      <c r="E1521" s="191" t="s">
        <v>2632</v>
      </c>
      <c r="F1521" s="191" t="s">
        <v>2632</v>
      </c>
      <c r="G1521" s="191">
        <v>7</v>
      </c>
      <c r="H1521" s="192">
        <v>0</v>
      </c>
      <c r="I1521" s="192">
        <v>171.94</v>
      </c>
      <c r="J1521" s="192">
        <f>SUM(H1521:I1521)</f>
        <v>171.94</v>
      </c>
    </row>
    <row r="1522" spans="1:10" outlineLevel="2">
      <c r="A1522" s="191" t="s">
        <v>737</v>
      </c>
      <c r="B1522" s="191" t="s">
        <v>734</v>
      </c>
      <c r="C1522" s="191" t="s">
        <v>731</v>
      </c>
      <c r="D1522" s="191" t="s">
        <v>2387</v>
      </c>
      <c r="E1522" s="191" t="s">
        <v>1484</v>
      </c>
      <c r="F1522" s="191" t="s">
        <v>2618</v>
      </c>
      <c r="G1522" s="191">
        <v>14</v>
      </c>
      <c r="H1522" s="192">
        <v>0</v>
      </c>
      <c r="I1522" s="192">
        <v>343.88</v>
      </c>
      <c r="J1522" s="192">
        <f>SUM(H1522:I1522)</f>
        <v>343.88</v>
      </c>
    </row>
    <row r="1523" spans="1:10" outlineLevel="2">
      <c r="A1523" s="191" t="s">
        <v>737</v>
      </c>
      <c r="B1523" s="191" t="s">
        <v>734</v>
      </c>
      <c r="C1523" s="191" t="s">
        <v>731</v>
      </c>
      <c r="D1523" s="191" t="s">
        <v>2388</v>
      </c>
      <c r="E1523" s="191" t="s">
        <v>2650</v>
      </c>
      <c r="F1523" s="191" t="s">
        <v>2646</v>
      </c>
      <c r="G1523" s="191">
        <v>14</v>
      </c>
      <c r="H1523" s="192">
        <v>0</v>
      </c>
      <c r="I1523" s="192">
        <v>345.56</v>
      </c>
      <c r="J1523" s="192">
        <f>SUM(H1523:I1523)</f>
        <v>345.56</v>
      </c>
    </row>
    <row r="1524" spans="1:10" outlineLevel="2">
      <c r="A1524" s="191" t="s">
        <v>2953</v>
      </c>
      <c r="B1524" s="191" t="s">
        <v>141</v>
      </c>
      <c r="C1524" s="191" t="s">
        <v>731</v>
      </c>
      <c r="D1524" s="191" t="s">
        <v>2389</v>
      </c>
      <c r="E1524" s="191" t="s">
        <v>2614</v>
      </c>
      <c r="F1524" s="191" t="s">
        <v>2614</v>
      </c>
      <c r="G1524" s="191">
        <v>7</v>
      </c>
      <c r="H1524" s="192">
        <v>0</v>
      </c>
      <c r="I1524" s="192">
        <v>49.09</v>
      </c>
      <c r="J1524" s="192">
        <f>SUM(H1524:I1524)</f>
        <v>49.09</v>
      </c>
    </row>
    <row r="1525" spans="1:10" outlineLevel="2">
      <c r="A1525" s="191" t="s">
        <v>738</v>
      </c>
      <c r="B1525" s="191" t="s">
        <v>739</v>
      </c>
      <c r="C1525" s="191" t="s">
        <v>731</v>
      </c>
      <c r="D1525" s="191" t="s">
        <v>1535</v>
      </c>
      <c r="E1525" s="191" t="s">
        <v>2624</v>
      </c>
      <c r="F1525" s="191" t="s">
        <v>1496</v>
      </c>
      <c r="G1525" s="191">
        <v>21</v>
      </c>
      <c r="H1525" s="192">
        <v>0</v>
      </c>
      <c r="I1525" s="192">
        <v>451.92</v>
      </c>
      <c r="J1525" s="192">
        <f>SUM(H1525:I1525)</f>
        <v>451.92</v>
      </c>
    </row>
    <row r="1526" spans="1:10" outlineLevel="2">
      <c r="A1526" s="191" t="s">
        <v>2954</v>
      </c>
      <c r="B1526" s="191" t="s">
        <v>739</v>
      </c>
      <c r="C1526" s="191" t="s">
        <v>731</v>
      </c>
      <c r="D1526" s="191" t="s">
        <v>1535</v>
      </c>
      <c r="E1526" s="191" t="s">
        <v>2624</v>
      </c>
      <c r="F1526" s="191" t="s">
        <v>1496</v>
      </c>
      <c r="G1526" s="191">
        <v>21</v>
      </c>
      <c r="H1526" s="192">
        <v>0</v>
      </c>
      <c r="I1526" s="192">
        <v>451.92</v>
      </c>
      <c r="J1526" s="192">
        <f>SUM(H1526:I1526)</f>
        <v>451.92</v>
      </c>
    </row>
    <row r="1527" spans="1:10" outlineLevel="2">
      <c r="A1527" s="191" t="s">
        <v>740</v>
      </c>
      <c r="B1527" s="191" t="s">
        <v>2955</v>
      </c>
      <c r="C1527" s="191" t="s">
        <v>731</v>
      </c>
      <c r="D1527" s="191" t="s">
        <v>2390</v>
      </c>
      <c r="E1527" s="191" t="s">
        <v>2700</v>
      </c>
      <c r="F1527" s="191" t="s">
        <v>2614</v>
      </c>
      <c r="G1527" s="191">
        <v>14</v>
      </c>
      <c r="H1527" s="192">
        <v>0</v>
      </c>
      <c r="I1527" s="192">
        <v>417.76</v>
      </c>
      <c r="J1527" s="192">
        <f>SUM(H1527:I1527)</f>
        <v>417.76</v>
      </c>
    </row>
    <row r="1528" spans="1:10" outlineLevel="2">
      <c r="A1528" s="191" t="s">
        <v>740</v>
      </c>
      <c r="B1528" s="191" t="s">
        <v>2955</v>
      </c>
      <c r="C1528" s="191" t="s">
        <v>731</v>
      </c>
      <c r="D1528" s="191" t="s">
        <v>2383</v>
      </c>
      <c r="E1528" s="191" t="s">
        <v>2625</v>
      </c>
      <c r="F1528" s="191" t="s">
        <v>2626</v>
      </c>
      <c r="G1528" s="191">
        <v>28</v>
      </c>
      <c r="H1528" s="192">
        <v>0</v>
      </c>
      <c r="I1528" s="192">
        <v>839.64</v>
      </c>
      <c r="J1528" s="192">
        <f>SUM(H1528:I1528)</f>
        <v>839.64</v>
      </c>
    </row>
    <row r="1529" spans="1:10" outlineLevel="2">
      <c r="A1529" s="191" t="s">
        <v>741</v>
      </c>
      <c r="B1529" s="191" t="s">
        <v>2956</v>
      </c>
      <c r="C1529" s="191" t="s">
        <v>731</v>
      </c>
      <c r="D1529" s="191" t="s">
        <v>2391</v>
      </c>
      <c r="E1529" s="191" t="s">
        <v>2591</v>
      </c>
      <c r="F1529" s="191" t="s">
        <v>1486</v>
      </c>
      <c r="G1529" s="191">
        <v>14</v>
      </c>
      <c r="H1529" s="192">
        <v>0</v>
      </c>
      <c r="I1529" s="192">
        <v>301.26</v>
      </c>
      <c r="J1529" s="192">
        <f>SUM(H1529:I1529)</f>
        <v>301.26</v>
      </c>
    </row>
    <row r="1530" spans="1:10" outlineLevel="2">
      <c r="A1530" s="191" t="s">
        <v>742</v>
      </c>
      <c r="B1530" s="191" t="s">
        <v>734</v>
      </c>
      <c r="C1530" s="191" t="s">
        <v>731</v>
      </c>
      <c r="D1530" s="191" t="s">
        <v>2387</v>
      </c>
      <c r="E1530" s="191" t="s">
        <v>2632</v>
      </c>
      <c r="F1530" s="191" t="s">
        <v>2632</v>
      </c>
      <c r="G1530" s="191">
        <v>7</v>
      </c>
      <c r="H1530" s="192">
        <v>0</v>
      </c>
      <c r="I1530" s="192">
        <v>179.6</v>
      </c>
      <c r="J1530" s="192">
        <f>SUM(H1530:I1530)</f>
        <v>179.6</v>
      </c>
    </row>
    <row r="1531" spans="1:10" outlineLevel="2">
      <c r="A1531" s="191" t="s">
        <v>742</v>
      </c>
      <c r="B1531" s="191" t="s">
        <v>734</v>
      </c>
      <c r="C1531" s="191" t="s">
        <v>731</v>
      </c>
      <c r="D1531" s="191" t="s">
        <v>2387</v>
      </c>
      <c r="E1531" s="191" t="s">
        <v>1484</v>
      </c>
      <c r="F1531" s="191" t="s">
        <v>1484</v>
      </c>
      <c r="G1531" s="191">
        <v>7</v>
      </c>
      <c r="H1531" s="192">
        <v>0</v>
      </c>
      <c r="I1531" s="192">
        <v>179.6</v>
      </c>
      <c r="J1531" s="192">
        <f>SUM(H1531:I1531)</f>
        <v>179.6</v>
      </c>
    </row>
    <row r="1532" spans="1:10" outlineLevel="2">
      <c r="A1532" s="191" t="s">
        <v>743</v>
      </c>
      <c r="B1532" s="191" t="s">
        <v>734</v>
      </c>
      <c r="C1532" s="191" t="s">
        <v>731</v>
      </c>
      <c r="D1532" s="191" t="s">
        <v>2392</v>
      </c>
      <c r="E1532" s="191" t="s">
        <v>2645</v>
      </c>
      <c r="F1532" s="191" t="s">
        <v>2645</v>
      </c>
      <c r="G1532" s="191">
        <v>7</v>
      </c>
      <c r="H1532" s="192">
        <v>0</v>
      </c>
      <c r="I1532" s="192">
        <v>137.25</v>
      </c>
      <c r="J1532" s="192">
        <f>SUM(H1532:I1532)</f>
        <v>137.25</v>
      </c>
    </row>
    <row r="1533" spans="1:10" outlineLevel="2">
      <c r="A1533" s="191" t="s">
        <v>2957</v>
      </c>
      <c r="B1533" s="191" t="s">
        <v>734</v>
      </c>
      <c r="C1533" s="191" t="s">
        <v>731</v>
      </c>
      <c r="D1533" s="191" t="s">
        <v>2392</v>
      </c>
      <c r="E1533" s="191" t="s">
        <v>2645</v>
      </c>
      <c r="F1533" s="191" t="s">
        <v>2645</v>
      </c>
      <c r="G1533" s="191">
        <v>7</v>
      </c>
      <c r="H1533" s="192">
        <v>0</v>
      </c>
      <c r="I1533" s="192">
        <v>162.94</v>
      </c>
      <c r="J1533" s="192">
        <f>SUM(H1533:I1533)</f>
        <v>162.94</v>
      </c>
    </row>
    <row r="1534" spans="1:10" outlineLevel="2">
      <c r="A1534" s="191" t="s">
        <v>744</v>
      </c>
      <c r="B1534" s="191" t="s">
        <v>734</v>
      </c>
      <c r="C1534" s="191" t="s">
        <v>731</v>
      </c>
      <c r="D1534" s="191" t="s">
        <v>2393</v>
      </c>
      <c r="E1534" s="191" t="s">
        <v>2650</v>
      </c>
      <c r="F1534" s="191" t="s">
        <v>2646</v>
      </c>
      <c r="G1534" s="191">
        <v>14</v>
      </c>
      <c r="H1534" s="192">
        <v>0</v>
      </c>
      <c r="I1534" s="192">
        <v>340.3</v>
      </c>
      <c r="J1534" s="192">
        <f>SUM(H1534:I1534)</f>
        <v>340.3</v>
      </c>
    </row>
    <row r="1535" spans="1:10" outlineLevel="1">
      <c r="A1535" s="193" t="s">
        <v>3034</v>
      </c>
      <c r="B1535" s="194"/>
      <c r="C1535" s="194"/>
      <c r="D1535" s="194"/>
      <c r="E1535" s="194"/>
      <c r="F1535" s="194"/>
      <c r="G1535" s="194">
        <f>SUBTOTAL(9,G1515:G1534)</f>
        <v>287</v>
      </c>
      <c r="H1535" s="195">
        <f>SUBTOTAL(9,H1515:H1534)</f>
        <v>0</v>
      </c>
      <c r="I1535" s="195">
        <f>SUBTOTAL(9,I1515:I1534)</f>
        <v>6012.4500000000007</v>
      </c>
      <c r="J1535" s="195">
        <f>SUBTOTAL(9,J1515:J1534)</f>
        <v>6012.4500000000007</v>
      </c>
    </row>
    <row r="1536" spans="1:10" outlineLevel="2">
      <c r="A1536" s="191" t="s">
        <v>747</v>
      </c>
      <c r="B1536" s="191" t="s">
        <v>748</v>
      </c>
      <c r="C1536" s="191" t="s">
        <v>746</v>
      </c>
      <c r="D1536" s="191" t="s">
        <v>2394</v>
      </c>
      <c r="E1536" s="191" t="s">
        <v>1492</v>
      </c>
      <c r="F1536" s="191" t="s">
        <v>1492</v>
      </c>
      <c r="G1536" s="191">
        <v>7</v>
      </c>
      <c r="H1536" s="192">
        <v>0</v>
      </c>
      <c r="I1536" s="192">
        <v>169.36</v>
      </c>
      <c r="J1536" s="192">
        <f>SUM(H1536:I1536)</f>
        <v>169.36</v>
      </c>
    </row>
    <row r="1537" spans="1:10" outlineLevel="2">
      <c r="A1537" s="191" t="s">
        <v>2958</v>
      </c>
      <c r="B1537" s="191" t="s">
        <v>745</v>
      </c>
      <c r="C1537" s="191" t="s">
        <v>746</v>
      </c>
      <c r="D1537" s="191" t="s">
        <v>2395</v>
      </c>
      <c r="E1537" s="191" t="s">
        <v>2589</v>
      </c>
      <c r="F1537" s="191" t="s">
        <v>2589</v>
      </c>
      <c r="G1537" s="191">
        <v>7</v>
      </c>
      <c r="H1537" s="192">
        <v>0</v>
      </c>
      <c r="I1537" s="192">
        <v>160.44</v>
      </c>
      <c r="J1537" s="192">
        <f>SUM(H1537:I1537)</f>
        <v>160.44</v>
      </c>
    </row>
    <row r="1538" spans="1:10" outlineLevel="2">
      <c r="A1538" s="191" t="s">
        <v>749</v>
      </c>
      <c r="B1538" s="191" t="s">
        <v>748</v>
      </c>
      <c r="C1538" s="191" t="s">
        <v>746</v>
      </c>
      <c r="D1538" s="191" t="s">
        <v>2396</v>
      </c>
      <c r="E1538" s="191" t="s">
        <v>1492</v>
      </c>
      <c r="F1538" s="191" t="s">
        <v>1492</v>
      </c>
      <c r="G1538" s="191">
        <v>7</v>
      </c>
      <c r="H1538" s="192">
        <v>0</v>
      </c>
      <c r="I1538" s="192">
        <v>169.36</v>
      </c>
      <c r="J1538" s="192">
        <f>SUM(H1538:I1538)</f>
        <v>169.36</v>
      </c>
    </row>
    <row r="1539" spans="1:10" outlineLevel="2">
      <c r="A1539" s="191" t="s">
        <v>750</v>
      </c>
      <c r="B1539" s="191" t="s">
        <v>745</v>
      </c>
      <c r="C1539" s="191" t="s">
        <v>746</v>
      </c>
      <c r="D1539" s="191" t="s">
        <v>2397</v>
      </c>
      <c r="E1539" s="191" t="s">
        <v>2755</v>
      </c>
      <c r="F1539" s="191" t="s">
        <v>2756</v>
      </c>
      <c r="G1539" s="191">
        <v>21</v>
      </c>
      <c r="H1539" s="192">
        <v>0</v>
      </c>
      <c r="I1539" s="192">
        <v>430.62</v>
      </c>
      <c r="J1539" s="192">
        <f>SUM(H1539:I1539)</f>
        <v>430.62</v>
      </c>
    </row>
    <row r="1540" spans="1:10" outlineLevel="2">
      <c r="A1540" s="191" t="s">
        <v>750</v>
      </c>
      <c r="B1540" s="191" t="s">
        <v>745</v>
      </c>
      <c r="C1540" s="191" t="s">
        <v>746</v>
      </c>
      <c r="D1540" s="191" t="s">
        <v>2398</v>
      </c>
      <c r="E1540" s="191" t="s">
        <v>2725</v>
      </c>
      <c r="F1540" s="191" t="s">
        <v>2653</v>
      </c>
      <c r="G1540" s="191">
        <v>21</v>
      </c>
      <c r="H1540" s="192">
        <v>0</v>
      </c>
      <c r="I1540" s="192">
        <v>454.14</v>
      </c>
      <c r="J1540" s="192">
        <f>SUM(H1540:I1540)</f>
        <v>454.14</v>
      </c>
    </row>
    <row r="1541" spans="1:10" outlineLevel="2">
      <c r="A1541" s="191" t="s">
        <v>751</v>
      </c>
      <c r="B1541" s="191" t="s">
        <v>745</v>
      </c>
      <c r="C1541" s="191" t="s">
        <v>746</v>
      </c>
      <c r="D1541" s="191" t="s">
        <v>2399</v>
      </c>
      <c r="E1541" s="191" t="s">
        <v>2658</v>
      </c>
      <c r="F1541" s="191" t="s">
        <v>1482</v>
      </c>
      <c r="G1541" s="191">
        <v>14</v>
      </c>
      <c r="H1541" s="192">
        <v>0</v>
      </c>
      <c r="I1541" s="192">
        <v>273.18</v>
      </c>
      <c r="J1541" s="192">
        <f>SUM(H1541:I1541)</f>
        <v>273.18</v>
      </c>
    </row>
    <row r="1542" spans="1:10" outlineLevel="2">
      <c r="A1542" s="191" t="s">
        <v>751</v>
      </c>
      <c r="B1542" s="191" t="s">
        <v>745</v>
      </c>
      <c r="C1542" s="191" t="s">
        <v>746</v>
      </c>
      <c r="D1542" s="191" t="s">
        <v>2400</v>
      </c>
      <c r="E1542" s="191" t="s">
        <v>1495</v>
      </c>
      <c r="F1542" s="191" t="s">
        <v>1496</v>
      </c>
      <c r="G1542" s="191">
        <v>14</v>
      </c>
      <c r="H1542" s="192">
        <v>0</v>
      </c>
      <c r="I1542" s="192">
        <v>273.18</v>
      </c>
      <c r="J1542" s="192">
        <f>SUM(H1542:I1542)</f>
        <v>273.18</v>
      </c>
    </row>
    <row r="1543" spans="1:10" outlineLevel="2">
      <c r="A1543" s="191" t="s">
        <v>752</v>
      </c>
      <c r="B1543" s="191" t="s">
        <v>745</v>
      </c>
      <c r="C1543" s="191" t="s">
        <v>746</v>
      </c>
      <c r="D1543" s="191" t="s">
        <v>1603</v>
      </c>
      <c r="E1543" s="191" t="s">
        <v>1482</v>
      </c>
      <c r="F1543" s="191" t="s">
        <v>1482</v>
      </c>
      <c r="G1543" s="191">
        <v>7</v>
      </c>
      <c r="H1543" s="192">
        <v>0</v>
      </c>
      <c r="I1543" s="192">
        <v>152.35</v>
      </c>
      <c r="J1543" s="192">
        <f>SUM(H1543:I1543)</f>
        <v>152.35</v>
      </c>
    </row>
    <row r="1544" spans="1:10" outlineLevel="2">
      <c r="A1544" s="191" t="s">
        <v>752</v>
      </c>
      <c r="B1544" s="191" t="s">
        <v>745</v>
      </c>
      <c r="C1544" s="191" t="s">
        <v>746</v>
      </c>
      <c r="D1544" s="191" t="s">
        <v>2401</v>
      </c>
      <c r="E1544" s="191" t="s">
        <v>2661</v>
      </c>
      <c r="F1544" s="191" t="s">
        <v>2661</v>
      </c>
      <c r="G1544" s="191">
        <v>7</v>
      </c>
      <c r="H1544" s="192">
        <v>0</v>
      </c>
      <c r="I1544" s="192">
        <v>152.35</v>
      </c>
      <c r="J1544" s="192">
        <f>SUM(H1544:I1544)</f>
        <v>152.35</v>
      </c>
    </row>
    <row r="1545" spans="1:10" outlineLevel="2">
      <c r="A1545" s="191" t="s">
        <v>752</v>
      </c>
      <c r="B1545" s="191" t="s">
        <v>745</v>
      </c>
      <c r="C1545" s="191" t="s">
        <v>746</v>
      </c>
      <c r="D1545" s="191" t="s">
        <v>2402</v>
      </c>
      <c r="E1545" s="191" t="s">
        <v>2701</v>
      </c>
      <c r="F1545" s="191" t="s">
        <v>2737</v>
      </c>
      <c r="G1545" s="191">
        <v>14</v>
      </c>
      <c r="H1545" s="192">
        <v>0</v>
      </c>
      <c r="I1545" s="192">
        <v>306.18</v>
      </c>
      <c r="J1545" s="192">
        <f>SUM(H1545:I1545)</f>
        <v>306.18</v>
      </c>
    </row>
    <row r="1546" spans="1:10" outlineLevel="2">
      <c r="A1546" s="191" t="s">
        <v>753</v>
      </c>
      <c r="B1546" s="191" t="s">
        <v>745</v>
      </c>
      <c r="C1546" s="191" t="s">
        <v>746</v>
      </c>
      <c r="D1546" s="191" t="s">
        <v>2403</v>
      </c>
      <c r="E1546" s="191" t="s">
        <v>2646</v>
      </c>
      <c r="F1546" s="191" t="s">
        <v>2646</v>
      </c>
      <c r="G1546" s="191">
        <v>7</v>
      </c>
      <c r="H1546" s="192">
        <v>0</v>
      </c>
      <c r="I1546" s="192">
        <v>149.66999999999999</v>
      </c>
      <c r="J1546" s="192">
        <f>SUM(H1546:I1546)</f>
        <v>149.66999999999999</v>
      </c>
    </row>
    <row r="1547" spans="1:10" outlineLevel="2">
      <c r="A1547" s="191" t="s">
        <v>753</v>
      </c>
      <c r="B1547" s="191" t="s">
        <v>745</v>
      </c>
      <c r="C1547" s="191" t="s">
        <v>746</v>
      </c>
      <c r="D1547" s="191" t="s">
        <v>2399</v>
      </c>
      <c r="E1547" s="191" t="s">
        <v>2658</v>
      </c>
      <c r="F1547" s="191" t="s">
        <v>1482</v>
      </c>
      <c r="G1547" s="191">
        <v>14</v>
      </c>
      <c r="H1547" s="192">
        <v>0</v>
      </c>
      <c r="I1547" s="192">
        <v>297.88</v>
      </c>
      <c r="J1547" s="192">
        <f>SUM(H1547:I1547)</f>
        <v>297.88</v>
      </c>
    </row>
    <row r="1548" spans="1:10" outlineLevel="2">
      <c r="A1548" s="191" t="s">
        <v>753</v>
      </c>
      <c r="B1548" s="191" t="s">
        <v>745</v>
      </c>
      <c r="C1548" s="191" t="s">
        <v>746</v>
      </c>
      <c r="D1548" s="191" t="s">
        <v>2404</v>
      </c>
      <c r="E1548" s="191" t="s">
        <v>1495</v>
      </c>
      <c r="F1548" s="191" t="s">
        <v>1496</v>
      </c>
      <c r="G1548" s="191">
        <v>14</v>
      </c>
      <c r="H1548" s="192">
        <v>0</v>
      </c>
      <c r="I1548" s="192">
        <v>297.88</v>
      </c>
      <c r="J1548" s="192">
        <f>SUM(H1548:I1548)</f>
        <v>297.88</v>
      </c>
    </row>
    <row r="1549" spans="1:10" outlineLevel="2">
      <c r="A1549" s="191" t="s">
        <v>754</v>
      </c>
      <c r="B1549" s="191" t="s">
        <v>745</v>
      </c>
      <c r="C1549" s="191" t="s">
        <v>746</v>
      </c>
      <c r="D1549" s="191" t="s">
        <v>2395</v>
      </c>
      <c r="E1549" s="191" t="s">
        <v>2589</v>
      </c>
      <c r="F1549" s="191" t="s">
        <v>2589</v>
      </c>
      <c r="G1549" s="191">
        <v>7</v>
      </c>
      <c r="H1549" s="192">
        <v>0</v>
      </c>
      <c r="I1549" s="192">
        <v>160.24</v>
      </c>
      <c r="J1549" s="192">
        <f>SUM(H1549:I1549)</f>
        <v>160.24</v>
      </c>
    </row>
    <row r="1550" spans="1:10" outlineLevel="2">
      <c r="A1550" s="191" t="s">
        <v>755</v>
      </c>
      <c r="B1550" s="191" t="s">
        <v>748</v>
      </c>
      <c r="C1550" s="191" t="s">
        <v>746</v>
      </c>
      <c r="D1550" s="191" t="s">
        <v>2405</v>
      </c>
      <c r="E1550" s="191" t="s">
        <v>2678</v>
      </c>
      <c r="F1550" s="191" t="s">
        <v>2609</v>
      </c>
      <c r="G1550" s="191">
        <v>28</v>
      </c>
      <c r="H1550" s="192">
        <v>0</v>
      </c>
      <c r="I1550" s="192">
        <v>684.28</v>
      </c>
      <c r="J1550" s="192">
        <f>SUM(H1550:I1550)</f>
        <v>684.28</v>
      </c>
    </row>
    <row r="1551" spans="1:10" outlineLevel="2">
      <c r="A1551" s="191" t="s">
        <v>756</v>
      </c>
      <c r="B1551" s="191" t="s">
        <v>745</v>
      </c>
      <c r="C1551" s="191" t="s">
        <v>746</v>
      </c>
      <c r="D1551" s="191" t="s">
        <v>1603</v>
      </c>
      <c r="E1551" s="191" t="s">
        <v>1482</v>
      </c>
      <c r="F1551" s="191" t="s">
        <v>1482</v>
      </c>
      <c r="G1551" s="191">
        <v>7</v>
      </c>
      <c r="H1551" s="192">
        <v>0</v>
      </c>
      <c r="I1551" s="192">
        <v>133.18</v>
      </c>
      <c r="J1551" s="192">
        <f>SUM(H1551:I1551)</f>
        <v>133.18</v>
      </c>
    </row>
    <row r="1552" spans="1:10" outlineLevel="2">
      <c r="A1552" s="191" t="s">
        <v>756</v>
      </c>
      <c r="B1552" s="191" t="s">
        <v>745</v>
      </c>
      <c r="C1552" s="191" t="s">
        <v>746</v>
      </c>
      <c r="D1552" s="191" t="s">
        <v>2401</v>
      </c>
      <c r="E1552" s="191" t="s">
        <v>2661</v>
      </c>
      <c r="F1552" s="191" t="s">
        <v>2661</v>
      </c>
      <c r="G1552" s="191">
        <v>7</v>
      </c>
      <c r="H1552" s="192">
        <v>0</v>
      </c>
      <c r="I1552" s="192">
        <v>133.18</v>
      </c>
      <c r="J1552" s="192">
        <f>SUM(H1552:I1552)</f>
        <v>133.18</v>
      </c>
    </row>
    <row r="1553" spans="1:10" outlineLevel="2">
      <c r="A1553" s="191" t="s">
        <v>756</v>
      </c>
      <c r="B1553" s="191" t="s">
        <v>745</v>
      </c>
      <c r="C1553" s="191" t="s">
        <v>746</v>
      </c>
      <c r="D1553" s="191" t="s">
        <v>2406</v>
      </c>
      <c r="E1553" s="191" t="s">
        <v>2744</v>
      </c>
      <c r="F1553" s="191" t="s">
        <v>2744</v>
      </c>
      <c r="G1553" s="191">
        <v>7</v>
      </c>
      <c r="H1553" s="192">
        <v>0</v>
      </c>
      <c r="I1553" s="192">
        <v>133.18</v>
      </c>
      <c r="J1553" s="192">
        <f>SUM(H1553:I1553)</f>
        <v>133.18</v>
      </c>
    </row>
    <row r="1554" spans="1:10" outlineLevel="2">
      <c r="A1554" s="191" t="s">
        <v>756</v>
      </c>
      <c r="B1554" s="191" t="s">
        <v>745</v>
      </c>
      <c r="C1554" s="191" t="s">
        <v>746</v>
      </c>
      <c r="D1554" s="191" t="s">
        <v>2402</v>
      </c>
      <c r="E1554" s="191" t="s">
        <v>2701</v>
      </c>
      <c r="F1554" s="191" t="s">
        <v>2737</v>
      </c>
      <c r="G1554" s="191">
        <v>14</v>
      </c>
      <c r="H1554" s="192">
        <v>0</v>
      </c>
      <c r="I1554" s="192">
        <v>267.66000000000003</v>
      </c>
      <c r="J1554" s="192">
        <f>SUM(H1554:I1554)</f>
        <v>267.66000000000003</v>
      </c>
    </row>
    <row r="1555" spans="1:10" outlineLevel="2">
      <c r="A1555" s="191" t="s">
        <v>757</v>
      </c>
      <c r="B1555" s="191" t="s">
        <v>62</v>
      </c>
      <c r="C1555" s="191" t="s">
        <v>746</v>
      </c>
      <c r="D1555" s="191" t="s">
        <v>2399</v>
      </c>
      <c r="E1555" s="191" t="s">
        <v>2658</v>
      </c>
      <c r="F1555" s="191" t="s">
        <v>1482</v>
      </c>
      <c r="G1555" s="191">
        <v>14</v>
      </c>
      <c r="H1555" s="192">
        <v>0</v>
      </c>
      <c r="I1555" s="192">
        <v>401.58</v>
      </c>
      <c r="J1555" s="192">
        <f>SUM(H1555:I1555)</f>
        <v>401.58</v>
      </c>
    </row>
    <row r="1556" spans="1:10" outlineLevel="1">
      <c r="A1556" s="193" t="s">
        <v>3035</v>
      </c>
      <c r="B1556" s="194"/>
      <c r="C1556" s="194"/>
      <c r="D1556" s="194"/>
      <c r="E1556" s="194"/>
      <c r="F1556" s="194"/>
      <c r="G1556" s="194">
        <f>SUBTOTAL(9,G1536:G1555)</f>
        <v>238</v>
      </c>
      <c r="H1556" s="195">
        <f>SUBTOTAL(9,H1536:H1555)</f>
        <v>0</v>
      </c>
      <c r="I1556" s="195">
        <f>SUBTOTAL(9,I1536:I1555)</f>
        <v>5199.8900000000003</v>
      </c>
      <c r="J1556" s="195">
        <f>SUBTOTAL(9,J1536:J1555)</f>
        <v>5199.8900000000003</v>
      </c>
    </row>
    <row r="1557" spans="1:10" outlineLevel="2">
      <c r="A1557" s="191" t="s">
        <v>2959</v>
      </c>
      <c r="B1557" s="191" t="s">
        <v>381</v>
      </c>
      <c r="C1557" s="191" t="s">
        <v>2764</v>
      </c>
      <c r="D1557" s="191" t="s">
        <v>1852</v>
      </c>
      <c r="E1557" s="191" t="s">
        <v>2603</v>
      </c>
      <c r="F1557" s="191" t="s">
        <v>2603</v>
      </c>
      <c r="G1557" s="191">
        <v>7</v>
      </c>
      <c r="H1557" s="192">
        <v>0</v>
      </c>
      <c r="I1557" s="192">
        <v>159.51</v>
      </c>
      <c r="J1557" s="192">
        <f>SUM(H1557:I1557)</f>
        <v>159.51</v>
      </c>
    </row>
    <row r="1558" spans="1:10" outlineLevel="1">
      <c r="A1558" s="193" t="s">
        <v>3036</v>
      </c>
      <c r="B1558" s="194"/>
      <c r="C1558" s="194"/>
      <c r="D1558" s="194"/>
      <c r="E1558" s="194"/>
      <c r="F1558" s="194"/>
      <c r="G1558" s="194">
        <f>SUBTOTAL(9,G1557:G1557)</f>
        <v>7</v>
      </c>
      <c r="H1558" s="195">
        <f>SUBTOTAL(9,H1557:H1557)</f>
        <v>0</v>
      </c>
      <c r="I1558" s="195">
        <f>SUBTOTAL(9,I1557:I1557)</f>
        <v>159.51</v>
      </c>
      <c r="J1558" s="195">
        <f>SUBTOTAL(9,J1557:J1557)</f>
        <v>159.51</v>
      </c>
    </row>
    <row r="1559" spans="1:10" outlineLevel="2">
      <c r="A1559" s="191" t="s">
        <v>2960</v>
      </c>
      <c r="B1559" s="191" t="s">
        <v>147</v>
      </c>
      <c r="C1559" s="191" t="s">
        <v>760</v>
      </c>
      <c r="D1559" s="191" t="s">
        <v>2407</v>
      </c>
      <c r="E1559" s="191" t="s">
        <v>2603</v>
      </c>
      <c r="F1559" s="191" t="s">
        <v>2603</v>
      </c>
      <c r="G1559" s="191">
        <v>7</v>
      </c>
      <c r="H1559" s="192">
        <v>0</v>
      </c>
      <c r="I1559" s="192">
        <v>54.53</v>
      </c>
      <c r="J1559" s="192">
        <f>SUM(H1559:I1559)</f>
        <v>54.53</v>
      </c>
    </row>
    <row r="1560" spans="1:10" outlineLevel="2">
      <c r="A1560" s="191" t="s">
        <v>2960</v>
      </c>
      <c r="B1560" s="191" t="s">
        <v>147</v>
      </c>
      <c r="C1560" s="191" t="s">
        <v>760</v>
      </c>
      <c r="D1560" s="191" t="s">
        <v>2408</v>
      </c>
      <c r="E1560" s="191" t="s">
        <v>1489</v>
      </c>
      <c r="F1560" s="191" t="s">
        <v>1490</v>
      </c>
      <c r="G1560" s="191">
        <v>14</v>
      </c>
      <c r="H1560" s="192">
        <v>0</v>
      </c>
      <c r="I1560" s="192">
        <v>109.06</v>
      </c>
      <c r="J1560" s="192">
        <f>SUM(H1560:I1560)</f>
        <v>109.06</v>
      </c>
    </row>
    <row r="1561" spans="1:10" outlineLevel="2">
      <c r="A1561" s="191" t="s">
        <v>758</v>
      </c>
      <c r="B1561" s="191" t="s">
        <v>759</v>
      </c>
      <c r="C1561" s="191" t="s">
        <v>760</v>
      </c>
      <c r="D1561" s="191" t="s">
        <v>2409</v>
      </c>
      <c r="E1561" s="191" t="s">
        <v>2594</v>
      </c>
      <c r="F1561" s="191" t="s">
        <v>2588</v>
      </c>
      <c r="G1561" s="191">
        <v>14</v>
      </c>
      <c r="H1561" s="192">
        <v>0</v>
      </c>
      <c r="I1561" s="192">
        <v>297.88</v>
      </c>
      <c r="J1561" s="192">
        <f>SUM(H1561:I1561)</f>
        <v>297.88</v>
      </c>
    </row>
    <row r="1562" spans="1:10" outlineLevel="2">
      <c r="A1562" s="191" t="s">
        <v>758</v>
      </c>
      <c r="B1562" s="191" t="s">
        <v>759</v>
      </c>
      <c r="C1562" s="191" t="s">
        <v>760</v>
      </c>
      <c r="D1562" s="191" t="s">
        <v>2410</v>
      </c>
      <c r="E1562" s="191" t="s">
        <v>1479</v>
      </c>
      <c r="F1562" s="191" t="s">
        <v>2611</v>
      </c>
      <c r="G1562" s="191">
        <v>21</v>
      </c>
      <c r="H1562" s="192">
        <v>0</v>
      </c>
      <c r="I1562" s="192">
        <v>446.82</v>
      </c>
      <c r="J1562" s="192">
        <f>SUM(H1562:I1562)</f>
        <v>446.82</v>
      </c>
    </row>
    <row r="1563" spans="1:10" outlineLevel="2">
      <c r="A1563" s="191" t="s">
        <v>761</v>
      </c>
      <c r="B1563" s="191" t="s">
        <v>759</v>
      </c>
      <c r="C1563" s="191" t="s">
        <v>760</v>
      </c>
      <c r="D1563" s="191" t="s">
        <v>2411</v>
      </c>
      <c r="E1563" s="191" t="s">
        <v>2661</v>
      </c>
      <c r="F1563" s="191" t="s">
        <v>2661</v>
      </c>
      <c r="G1563" s="191">
        <v>7</v>
      </c>
      <c r="H1563" s="192">
        <v>0</v>
      </c>
      <c r="I1563" s="192">
        <v>168.53</v>
      </c>
      <c r="J1563" s="192">
        <f>SUM(H1563:I1563)</f>
        <v>168.53</v>
      </c>
    </row>
    <row r="1564" spans="1:10" outlineLevel="2">
      <c r="A1564" s="191" t="s">
        <v>761</v>
      </c>
      <c r="B1564" s="191" t="s">
        <v>759</v>
      </c>
      <c r="C1564" s="191" t="s">
        <v>760</v>
      </c>
      <c r="D1564" s="191" t="s">
        <v>2410</v>
      </c>
      <c r="E1564" s="191" t="s">
        <v>1479</v>
      </c>
      <c r="F1564" s="191" t="s">
        <v>2612</v>
      </c>
      <c r="G1564" s="191">
        <v>28</v>
      </c>
      <c r="H1564" s="192">
        <v>0</v>
      </c>
      <c r="I1564" s="192">
        <v>760.64</v>
      </c>
      <c r="J1564" s="192">
        <f>SUM(H1564:I1564)</f>
        <v>760.64</v>
      </c>
    </row>
    <row r="1565" spans="1:10" outlineLevel="2">
      <c r="A1565" s="191" t="s">
        <v>2961</v>
      </c>
      <c r="B1565" s="191" t="s">
        <v>759</v>
      </c>
      <c r="C1565" s="191" t="s">
        <v>760</v>
      </c>
      <c r="D1565" s="191" t="s">
        <v>2412</v>
      </c>
      <c r="E1565" s="191" t="s">
        <v>2640</v>
      </c>
      <c r="F1565" s="191" t="s">
        <v>2640</v>
      </c>
      <c r="G1565" s="191">
        <v>7</v>
      </c>
      <c r="H1565" s="192">
        <v>0</v>
      </c>
      <c r="I1565" s="192">
        <v>161.18</v>
      </c>
      <c r="J1565" s="192">
        <f>SUM(H1565:I1565)</f>
        <v>161.18</v>
      </c>
    </row>
    <row r="1566" spans="1:10" outlineLevel="2">
      <c r="A1566" s="191" t="s">
        <v>763</v>
      </c>
      <c r="B1566" s="191" t="s">
        <v>764</v>
      </c>
      <c r="C1566" s="191" t="s">
        <v>760</v>
      </c>
      <c r="D1566" s="191" t="s">
        <v>2413</v>
      </c>
      <c r="E1566" s="191" t="s">
        <v>2646</v>
      </c>
      <c r="F1566" s="191" t="s">
        <v>2646</v>
      </c>
      <c r="G1566" s="191">
        <v>7</v>
      </c>
      <c r="H1566" s="192">
        <v>0</v>
      </c>
      <c r="I1566" s="192">
        <v>140.58000000000001</v>
      </c>
      <c r="J1566" s="192">
        <f>SUM(H1566:I1566)</f>
        <v>140.58000000000001</v>
      </c>
    </row>
    <row r="1567" spans="1:10" outlineLevel="2">
      <c r="A1567" s="191" t="s">
        <v>763</v>
      </c>
      <c r="B1567" s="191" t="s">
        <v>764</v>
      </c>
      <c r="C1567" s="191" t="s">
        <v>760</v>
      </c>
      <c r="D1567" s="191" t="s">
        <v>2414</v>
      </c>
      <c r="E1567" s="191" t="s">
        <v>2700</v>
      </c>
      <c r="F1567" s="191" t="s">
        <v>2614</v>
      </c>
      <c r="G1567" s="191">
        <v>14</v>
      </c>
      <c r="H1567" s="192">
        <v>0</v>
      </c>
      <c r="I1567" s="192">
        <v>255.46</v>
      </c>
      <c r="J1567" s="192">
        <f>SUM(H1567:I1567)</f>
        <v>255.46</v>
      </c>
    </row>
    <row r="1568" spans="1:10" outlineLevel="2">
      <c r="A1568" s="191" t="s">
        <v>763</v>
      </c>
      <c r="B1568" s="191" t="s">
        <v>764</v>
      </c>
      <c r="C1568" s="191" t="s">
        <v>760</v>
      </c>
      <c r="D1568" s="191" t="s">
        <v>2410</v>
      </c>
      <c r="E1568" s="191" t="s">
        <v>2683</v>
      </c>
      <c r="F1568" s="191" t="s">
        <v>2612</v>
      </c>
      <c r="G1568" s="191">
        <v>21</v>
      </c>
      <c r="H1568" s="192">
        <v>0</v>
      </c>
      <c r="I1568" s="192">
        <v>699.9</v>
      </c>
      <c r="J1568" s="192">
        <f>SUM(H1568:I1568)</f>
        <v>699.9</v>
      </c>
    </row>
    <row r="1569" spans="1:10" outlineLevel="2">
      <c r="A1569" s="191" t="s">
        <v>763</v>
      </c>
      <c r="B1569" s="191" t="s">
        <v>764</v>
      </c>
      <c r="C1569" s="191" t="s">
        <v>760</v>
      </c>
      <c r="D1569" s="191" t="s">
        <v>2413</v>
      </c>
      <c r="E1569" s="191" t="s">
        <v>1501</v>
      </c>
      <c r="F1569" s="191" t="s">
        <v>2680</v>
      </c>
      <c r="G1569" s="191">
        <v>28</v>
      </c>
      <c r="H1569" s="192">
        <v>0</v>
      </c>
      <c r="I1569" s="192">
        <v>562.32000000000005</v>
      </c>
      <c r="J1569" s="192">
        <f>SUM(H1569:I1569)</f>
        <v>562.32000000000005</v>
      </c>
    </row>
    <row r="1570" spans="1:10" outlineLevel="2">
      <c r="A1570" s="191" t="s">
        <v>765</v>
      </c>
      <c r="B1570" s="191" t="s">
        <v>759</v>
      </c>
      <c r="C1570" s="191" t="s">
        <v>760</v>
      </c>
      <c r="D1570" s="191" t="s">
        <v>2415</v>
      </c>
      <c r="E1570" s="191" t="s">
        <v>2660</v>
      </c>
      <c r="F1570" s="191" t="s">
        <v>2660</v>
      </c>
      <c r="G1570" s="191">
        <v>7</v>
      </c>
      <c r="H1570" s="192">
        <v>0</v>
      </c>
      <c r="I1570" s="192">
        <v>148.94</v>
      </c>
      <c r="J1570" s="192">
        <f>SUM(H1570:I1570)</f>
        <v>148.94</v>
      </c>
    </row>
    <row r="1571" spans="1:10" outlineLevel="2">
      <c r="A1571" s="191" t="s">
        <v>765</v>
      </c>
      <c r="B1571" s="191" t="s">
        <v>759</v>
      </c>
      <c r="C1571" s="191" t="s">
        <v>760</v>
      </c>
      <c r="D1571" s="191" t="s">
        <v>2416</v>
      </c>
      <c r="E1571" s="191" t="s">
        <v>2600</v>
      </c>
      <c r="F1571" s="191" t="s">
        <v>2600</v>
      </c>
      <c r="G1571" s="191">
        <v>7</v>
      </c>
      <c r="H1571" s="192">
        <v>0</v>
      </c>
      <c r="I1571" s="192">
        <v>148.94</v>
      </c>
      <c r="J1571" s="192">
        <f>SUM(H1571:I1571)</f>
        <v>148.94</v>
      </c>
    </row>
    <row r="1572" spans="1:10" outlineLevel="2">
      <c r="A1572" s="191" t="s">
        <v>765</v>
      </c>
      <c r="B1572" s="191" t="s">
        <v>759</v>
      </c>
      <c r="C1572" s="191" t="s">
        <v>760</v>
      </c>
      <c r="D1572" s="191" t="s">
        <v>2407</v>
      </c>
      <c r="E1572" s="191" t="s">
        <v>2603</v>
      </c>
      <c r="F1572" s="191" t="s">
        <v>2603</v>
      </c>
      <c r="G1572" s="191">
        <v>7</v>
      </c>
      <c r="H1572" s="192">
        <v>0</v>
      </c>
      <c r="I1572" s="192">
        <v>151.38</v>
      </c>
      <c r="J1572" s="192">
        <f>SUM(H1572:I1572)</f>
        <v>151.38</v>
      </c>
    </row>
    <row r="1573" spans="1:10" outlineLevel="2">
      <c r="A1573" s="191" t="s">
        <v>765</v>
      </c>
      <c r="B1573" s="191" t="s">
        <v>759</v>
      </c>
      <c r="C1573" s="191" t="s">
        <v>760</v>
      </c>
      <c r="D1573" s="191" t="s">
        <v>583</v>
      </c>
      <c r="E1573" s="191" t="s">
        <v>1489</v>
      </c>
      <c r="F1573" s="191" t="s">
        <v>1490</v>
      </c>
      <c r="G1573" s="191">
        <v>14</v>
      </c>
      <c r="H1573" s="192">
        <v>0</v>
      </c>
      <c r="I1573" s="192">
        <v>302.76</v>
      </c>
      <c r="J1573" s="192">
        <f>SUM(H1573:I1573)</f>
        <v>302.76</v>
      </c>
    </row>
    <row r="1574" spans="1:10" outlineLevel="2">
      <c r="A1574" s="191" t="s">
        <v>765</v>
      </c>
      <c r="B1574" s="191" t="s">
        <v>759</v>
      </c>
      <c r="C1574" s="191" t="s">
        <v>760</v>
      </c>
      <c r="D1574" s="191" t="s">
        <v>2410</v>
      </c>
      <c r="E1574" s="191" t="s">
        <v>2683</v>
      </c>
      <c r="F1574" s="191" t="s">
        <v>2612</v>
      </c>
      <c r="G1574" s="191">
        <v>21</v>
      </c>
      <c r="H1574" s="192">
        <v>0</v>
      </c>
      <c r="I1574" s="192">
        <v>446.82</v>
      </c>
      <c r="J1574" s="192">
        <f>SUM(H1574:I1574)</f>
        <v>446.82</v>
      </c>
    </row>
    <row r="1575" spans="1:10" outlineLevel="2">
      <c r="A1575" s="191" t="s">
        <v>766</v>
      </c>
      <c r="B1575" s="191" t="s">
        <v>759</v>
      </c>
      <c r="C1575" s="191" t="s">
        <v>760</v>
      </c>
      <c r="D1575" s="191" t="s">
        <v>2417</v>
      </c>
      <c r="E1575" s="191" t="s">
        <v>2608</v>
      </c>
      <c r="F1575" s="191" t="s">
        <v>2608</v>
      </c>
      <c r="G1575" s="191">
        <v>7</v>
      </c>
      <c r="H1575" s="192">
        <v>0</v>
      </c>
      <c r="I1575" s="192">
        <v>170.23</v>
      </c>
      <c r="J1575" s="192">
        <f>SUM(H1575:I1575)</f>
        <v>170.23</v>
      </c>
    </row>
    <row r="1576" spans="1:10" outlineLevel="2">
      <c r="A1576" s="191" t="s">
        <v>766</v>
      </c>
      <c r="B1576" s="191" t="s">
        <v>759</v>
      </c>
      <c r="C1576" s="191" t="s">
        <v>760</v>
      </c>
      <c r="D1576" s="191" t="s">
        <v>2410</v>
      </c>
      <c r="E1576" s="191" t="s">
        <v>2683</v>
      </c>
      <c r="F1576" s="191" t="s">
        <v>2612</v>
      </c>
      <c r="G1576" s="191">
        <v>21</v>
      </c>
      <c r="H1576" s="192">
        <v>0</v>
      </c>
      <c r="I1576" s="192">
        <v>510.69</v>
      </c>
      <c r="J1576" s="192">
        <f>SUM(H1576:I1576)</f>
        <v>510.69</v>
      </c>
    </row>
    <row r="1577" spans="1:10" outlineLevel="2">
      <c r="A1577" s="191" t="s">
        <v>766</v>
      </c>
      <c r="B1577" s="191" t="s">
        <v>759</v>
      </c>
      <c r="C1577" s="191" t="s">
        <v>760</v>
      </c>
      <c r="D1577" s="191" t="s">
        <v>2418</v>
      </c>
      <c r="E1577" s="191" t="s">
        <v>1501</v>
      </c>
      <c r="F1577" s="191" t="s">
        <v>2680</v>
      </c>
      <c r="G1577" s="191">
        <v>28</v>
      </c>
      <c r="H1577" s="192">
        <v>0</v>
      </c>
      <c r="I1577" s="192">
        <v>684.28</v>
      </c>
      <c r="J1577" s="192">
        <f>SUM(H1577:I1577)</f>
        <v>684.28</v>
      </c>
    </row>
    <row r="1578" spans="1:10" outlineLevel="2">
      <c r="A1578" s="191" t="s">
        <v>767</v>
      </c>
      <c r="B1578" s="191" t="s">
        <v>759</v>
      </c>
      <c r="C1578" s="191" t="s">
        <v>760</v>
      </c>
      <c r="D1578" s="191" t="s">
        <v>2419</v>
      </c>
      <c r="E1578" s="191" t="s">
        <v>2695</v>
      </c>
      <c r="F1578" s="191" t="s">
        <v>2696</v>
      </c>
      <c r="G1578" s="191">
        <v>28</v>
      </c>
      <c r="H1578" s="192">
        <v>0</v>
      </c>
      <c r="I1578" s="192">
        <v>651.76</v>
      </c>
      <c r="J1578" s="192">
        <f>SUM(H1578:I1578)</f>
        <v>651.76</v>
      </c>
    </row>
    <row r="1579" spans="1:10" outlineLevel="2">
      <c r="A1579" s="191" t="s">
        <v>767</v>
      </c>
      <c r="B1579" s="191" t="s">
        <v>759</v>
      </c>
      <c r="C1579" s="191" t="s">
        <v>760</v>
      </c>
      <c r="D1579" s="191" t="s">
        <v>2420</v>
      </c>
      <c r="E1579" s="191" t="s">
        <v>2622</v>
      </c>
      <c r="F1579" s="191" t="s">
        <v>2660</v>
      </c>
      <c r="G1579" s="191">
        <v>35</v>
      </c>
      <c r="H1579" s="192">
        <v>0</v>
      </c>
      <c r="I1579" s="192">
        <v>810.7</v>
      </c>
      <c r="J1579" s="192">
        <f>SUM(H1579:I1579)</f>
        <v>810.7</v>
      </c>
    </row>
    <row r="1580" spans="1:10" outlineLevel="2">
      <c r="A1580" s="191" t="s">
        <v>768</v>
      </c>
      <c r="B1580" s="191" t="s">
        <v>759</v>
      </c>
      <c r="C1580" s="191" t="s">
        <v>760</v>
      </c>
      <c r="D1580" s="191" t="s">
        <v>2409</v>
      </c>
      <c r="E1580" s="191" t="s">
        <v>2594</v>
      </c>
      <c r="F1580" s="191" t="s">
        <v>2588</v>
      </c>
      <c r="G1580" s="191">
        <v>14</v>
      </c>
      <c r="H1580" s="192">
        <v>0</v>
      </c>
      <c r="I1580" s="192">
        <v>272.54000000000002</v>
      </c>
      <c r="J1580" s="192">
        <f>SUM(H1580:I1580)</f>
        <v>272.54000000000002</v>
      </c>
    </row>
    <row r="1581" spans="1:10" outlineLevel="2">
      <c r="A1581" s="191" t="s">
        <v>768</v>
      </c>
      <c r="B1581" s="191" t="s">
        <v>759</v>
      </c>
      <c r="C1581" s="191" t="s">
        <v>760</v>
      </c>
      <c r="D1581" s="191" t="s">
        <v>2410</v>
      </c>
      <c r="E1581" s="191" t="s">
        <v>2683</v>
      </c>
      <c r="F1581" s="191" t="s">
        <v>2612</v>
      </c>
      <c r="G1581" s="191">
        <v>21</v>
      </c>
      <c r="H1581" s="192">
        <v>0</v>
      </c>
      <c r="I1581" s="192">
        <v>408.81</v>
      </c>
      <c r="J1581" s="192">
        <f>SUM(H1581:I1581)</f>
        <v>408.81</v>
      </c>
    </row>
    <row r="1582" spans="1:10" outlineLevel="2">
      <c r="A1582" s="191" t="s">
        <v>769</v>
      </c>
      <c r="B1582" s="191" t="s">
        <v>759</v>
      </c>
      <c r="C1582" s="191" t="s">
        <v>760</v>
      </c>
      <c r="D1582" s="191" t="s">
        <v>2421</v>
      </c>
      <c r="E1582" s="191" t="s">
        <v>2594</v>
      </c>
      <c r="F1582" s="191" t="s">
        <v>2588</v>
      </c>
      <c r="G1582" s="191">
        <v>14</v>
      </c>
      <c r="H1582" s="192">
        <v>0</v>
      </c>
      <c r="I1582" s="192">
        <v>301.27999999999997</v>
      </c>
      <c r="J1582" s="192">
        <f>SUM(H1582:I1582)</f>
        <v>301.27999999999997</v>
      </c>
    </row>
    <row r="1583" spans="1:10" outlineLevel="2">
      <c r="A1583" s="191" t="s">
        <v>769</v>
      </c>
      <c r="B1583" s="191" t="s">
        <v>759</v>
      </c>
      <c r="C1583" s="191" t="s">
        <v>760</v>
      </c>
      <c r="D1583" s="191" t="s">
        <v>2422</v>
      </c>
      <c r="E1583" s="191" t="s">
        <v>2630</v>
      </c>
      <c r="F1583" s="191" t="s">
        <v>2617</v>
      </c>
      <c r="G1583" s="191">
        <v>14</v>
      </c>
      <c r="H1583" s="192">
        <v>0</v>
      </c>
      <c r="I1583" s="192">
        <v>302.76</v>
      </c>
      <c r="J1583" s="192">
        <f>SUM(H1583:I1583)</f>
        <v>302.76</v>
      </c>
    </row>
    <row r="1584" spans="1:10" outlineLevel="2">
      <c r="A1584" s="191" t="s">
        <v>770</v>
      </c>
      <c r="B1584" s="191" t="s">
        <v>116</v>
      </c>
      <c r="C1584" s="191" t="s">
        <v>760</v>
      </c>
      <c r="D1584" s="191" t="s">
        <v>2410</v>
      </c>
      <c r="E1584" s="191" t="s">
        <v>1479</v>
      </c>
      <c r="F1584" s="191" t="s">
        <v>2612</v>
      </c>
      <c r="G1584" s="191">
        <v>28</v>
      </c>
      <c r="H1584" s="192">
        <v>0</v>
      </c>
      <c r="I1584" s="192">
        <v>252.44</v>
      </c>
      <c r="J1584" s="192">
        <f>SUM(H1584:I1584)</f>
        <v>252.44</v>
      </c>
    </row>
    <row r="1585" spans="1:10" outlineLevel="2">
      <c r="A1585" s="191" t="s">
        <v>771</v>
      </c>
      <c r="B1585" s="191" t="s">
        <v>759</v>
      </c>
      <c r="C1585" s="191" t="s">
        <v>760</v>
      </c>
      <c r="D1585" s="191" t="s">
        <v>2409</v>
      </c>
      <c r="E1585" s="191" t="s">
        <v>2594</v>
      </c>
      <c r="F1585" s="191" t="s">
        <v>2588</v>
      </c>
      <c r="G1585" s="191">
        <v>14</v>
      </c>
      <c r="H1585" s="192">
        <v>0</v>
      </c>
      <c r="I1585" s="192">
        <v>273.18</v>
      </c>
      <c r="J1585" s="192">
        <f>SUM(H1585:I1585)</f>
        <v>273.18</v>
      </c>
    </row>
    <row r="1586" spans="1:10" outlineLevel="2">
      <c r="A1586" s="191" t="s">
        <v>771</v>
      </c>
      <c r="B1586" s="191" t="s">
        <v>759</v>
      </c>
      <c r="C1586" s="191" t="s">
        <v>760</v>
      </c>
      <c r="D1586" s="191" t="s">
        <v>2422</v>
      </c>
      <c r="E1586" s="191" t="s">
        <v>2630</v>
      </c>
      <c r="F1586" s="191" t="s">
        <v>2617</v>
      </c>
      <c r="G1586" s="191">
        <v>14</v>
      </c>
      <c r="H1586" s="192">
        <v>0</v>
      </c>
      <c r="I1586" s="192">
        <v>274.5</v>
      </c>
      <c r="J1586" s="192">
        <f>SUM(H1586:I1586)</f>
        <v>274.5</v>
      </c>
    </row>
    <row r="1587" spans="1:10" outlineLevel="2">
      <c r="A1587" s="191" t="s">
        <v>771</v>
      </c>
      <c r="B1587" s="191" t="s">
        <v>759</v>
      </c>
      <c r="C1587" s="191" t="s">
        <v>760</v>
      </c>
      <c r="D1587" s="191" t="s">
        <v>2410</v>
      </c>
      <c r="E1587" s="191" t="s">
        <v>2683</v>
      </c>
      <c r="F1587" s="191" t="s">
        <v>2612</v>
      </c>
      <c r="G1587" s="191">
        <v>21</v>
      </c>
      <c r="H1587" s="192">
        <v>0</v>
      </c>
      <c r="I1587" s="192">
        <v>409.77</v>
      </c>
      <c r="J1587" s="192">
        <f>SUM(H1587:I1587)</f>
        <v>409.77</v>
      </c>
    </row>
    <row r="1588" spans="1:10" outlineLevel="2">
      <c r="A1588" s="191" t="s">
        <v>2962</v>
      </c>
      <c r="B1588" s="191" t="s">
        <v>147</v>
      </c>
      <c r="C1588" s="191" t="s">
        <v>760</v>
      </c>
      <c r="D1588" s="191" t="s">
        <v>2410</v>
      </c>
      <c r="E1588" s="191" t="s">
        <v>1479</v>
      </c>
      <c r="F1588" s="191" t="s">
        <v>2611</v>
      </c>
      <c r="G1588" s="191">
        <v>21</v>
      </c>
      <c r="H1588" s="192">
        <v>0</v>
      </c>
      <c r="I1588" s="192">
        <v>166.32</v>
      </c>
      <c r="J1588" s="192">
        <f>SUM(H1588:I1588)</f>
        <v>166.32</v>
      </c>
    </row>
    <row r="1589" spans="1:10" outlineLevel="2">
      <c r="A1589" s="191" t="s">
        <v>772</v>
      </c>
      <c r="B1589" s="191" t="s">
        <v>759</v>
      </c>
      <c r="C1589" s="191" t="s">
        <v>760</v>
      </c>
      <c r="D1589" s="191" t="s">
        <v>2410</v>
      </c>
      <c r="E1589" s="191" t="s">
        <v>2683</v>
      </c>
      <c r="F1589" s="191" t="s">
        <v>2683</v>
      </c>
      <c r="G1589" s="191">
        <v>7</v>
      </c>
      <c r="H1589" s="192">
        <v>0</v>
      </c>
      <c r="I1589" s="192">
        <v>159.47999999999999</v>
      </c>
      <c r="J1589" s="192">
        <f>SUM(H1589:I1589)</f>
        <v>159.47999999999999</v>
      </c>
    </row>
    <row r="1590" spans="1:10" outlineLevel="2">
      <c r="A1590" s="191" t="s">
        <v>772</v>
      </c>
      <c r="B1590" s="191" t="s">
        <v>759</v>
      </c>
      <c r="C1590" s="191" t="s">
        <v>760</v>
      </c>
      <c r="D1590" s="191" t="s">
        <v>2413</v>
      </c>
      <c r="E1590" s="191" t="s">
        <v>2646</v>
      </c>
      <c r="F1590" s="191" t="s">
        <v>2646</v>
      </c>
      <c r="G1590" s="191">
        <v>7</v>
      </c>
      <c r="H1590" s="192">
        <v>0</v>
      </c>
      <c r="I1590" s="192">
        <v>160.26</v>
      </c>
      <c r="J1590" s="192">
        <f>SUM(H1590:I1590)</f>
        <v>160.26</v>
      </c>
    </row>
    <row r="1591" spans="1:10" outlineLevel="2">
      <c r="A1591" s="191" t="s">
        <v>772</v>
      </c>
      <c r="B1591" s="191" t="s">
        <v>759</v>
      </c>
      <c r="C1591" s="191" t="s">
        <v>760</v>
      </c>
      <c r="D1591" s="191" t="s">
        <v>2414</v>
      </c>
      <c r="E1591" s="191" t="s">
        <v>2700</v>
      </c>
      <c r="F1591" s="191" t="s">
        <v>2614</v>
      </c>
      <c r="G1591" s="191">
        <v>14</v>
      </c>
      <c r="H1591" s="192">
        <v>0</v>
      </c>
      <c r="I1591" s="192">
        <v>318.95999999999998</v>
      </c>
      <c r="J1591" s="192">
        <f>SUM(H1591:I1591)</f>
        <v>318.95999999999998</v>
      </c>
    </row>
    <row r="1592" spans="1:10" outlineLevel="2">
      <c r="A1592" s="191" t="s">
        <v>772</v>
      </c>
      <c r="B1592" s="191" t="s">
        <v>759</v>
      </c>
      <c r="C1592" s="191" t="s">
        <v>760</v>
      </c>
      <c r="D1592" s="191" t="s">
        <v>2413</v>
      </c>
      <c r="E1592" s="191" t="s">
        <v>1501</v>
      </c>
      <c r="F1592" s="191" t="s">
        <v>2680</v>
      </c>
      <c r="G1592" s="191">
        <v>28</v>
      </c>
      <c r="H1592" s="192">
        <v>0</v>
      </c>
      <c r="I1592" s="192">
        <v>641.04</v>
      </c>
      <c r="J1592" s="192">
        <f>SUM(H1592:I1592)</f>
        <v>641.04</v>
      </c>
    </row>
    <row r="1593" spans="1:10" outlineLevel="2">
      <c r="A1593" s="191" t="s">
        <v>773</v>
      </c>
      <c r="B1593" s="191" t="s">
        <v>759</v>
      </c>
      <c r="C1593" s="191" t="s">
        <v>760</v>
      </c>
      <c r="D1593" s="191" t="s">
        <v>2422</v>
      </c>
      <c r="E1593" s="191" t="s">
        <v>2630</v>
      </c>
      <c r="F1593" s="191" t="s">
        <v>2617</v>
      </c>
      <c r="G1593" s="191">
        <v>14</v>
      </c>
      <c r="H1593" s="192">
        <v>0</v>
      </c>
      <c r="I1593" s="192">
        <v>271.08</v>
      </c>
      <c r="J1593" s="192">
        <f>SUM(H1593:I1593)</f>
        <v>271.08</v>
      </c>
    </row>
    <row r="1594" spans="1:10" outlineLevel="2">
      <c r="A1594" s="191" t="s">
        <v>773</v>
      </c>
      <c r="B1594" s="191" t="s">
        <v>759</v>
      </c>
      <c r="C1594" s="191" t="s">
        <v>760</v>
      </c>
      <c r="D1594" s="191" t="s">
        <v>2423</v>
      </c>
      <c r="E1594" s="191" t="s">
        <v>1489</v>
      </c>
      <c r="F1594" s="191" t="s">
        <v>1490</v>
      </c>
      <c r="G1594" s="191">
        <v>14</v>
      </c>
      <c r="H1594" s="192">
        <v>0</v>
      </c>
      <c r="I1594" s="192">
        <v>271.08</v>
      </c>
      <c r="J1594" s="192">
        <f>SUM(H1594:I1594)</f>
        <v>271.08</v>
      </c>
    </row>
    <row r="1595" spans="1:10" outlineLevel="2">
      <c r="A1595" s="191" t="s">
        <v>773</v>
      </c>
      <c r="B1595" s="191" t="s">
        <v>759</v>
      </c>
      <c r="C1595" s="191" t="s">
        <v>760</v>
      </c>
      <c r="D1595" s="191" t="s">
        <v>2410</v>
      </c>
      <c r="E1595" s="191" t="s">
        <v>1479</v>
      </c>
      <c r="F1595" s="191" t="s">
        <v>2612</v>
      </c>
      <c r="G1595" s="191">
        <v>28</v>
      </c>
      <c r="H1595" s="192">
        <v>0</v>
      </c>
      <c r="I1595" s="192">
        <v>539.52</v>
      </c>
      <c r="J1595" s="192">
        <f>SUM(H1595:I1595)</f>
        <v>539.52</v>
      </c>
    </row>
    <row r="1596" spans="1:10" outlineLevel="2">
      <c r="A1596" s="191" t="s">
        <v>774</v>
      </c>
      <c r="B1596" s="191" t="s">
        <v>112</v>
      </c>
      <c r="C1596" s="191" t="s">
        <v>760</v>
      </c>
      <c r="D1596" s="191" t="s">
        <v>2411</v>
      </c>
      <c r="E1596" s="191" t="s">
        <v>2661</v>
      </c>
      <c r="F1596" s="191" t="s">
        <v>2661</v>
      </c>
      <c r="G1596" s="191">
        <v>7</v>
      </c>
      <c r="H1596" s="192">
        <v>0</v>
      </c>
      <c r="I1596" s="192">
        <v>58.69</v>
      </c>
      <c r="J1596" s="192">
        <f>SUM(H1596:I1596)</f>
        <v>58.69</v>
      </c>
    </row>
    <row r="1597" spans="1:10" outlineLevel="2">
      <c r="A1597" s="191" t="s">
        <v>774</v>
      </c>
      <c r="B1597" s="191" t="s">
        <v>112</v>
      </c>
      <c r="C1597" s="191" t="s">
        <v>760</v>
      </c>
      <c r="D1597" s="191" t="s">
        <v>2410</v>
      </c>
      <c r="E1597" s="191" t="s">
        <v>1479</v>
      </c>
      <c r="F1597" s="191" t="s">
        <v>1479</v>
      </c>
      <c r="G1597" s="191">
        <v>7</v>
      </c>
      <c r="H1597" s="192">
        <v>0</v>
      </c>
      <c r="I1597" s="192">
        <v>58.69</v>
      </c>
      <c r="J1597" s="192">
        <f>SUM(H1597:I1597)</f>
        <v>58.69</v>
      </c>
    </row>
    <row r="1598" spans="1:10" outlineLevel="2">
      <c r="A1598" s="191" t="s">
        <v>774</v>
      </c>
      <c r="B1598" s="191" t="s">
        <v>112</v>
      </c>
      <c r="C1598" s="191" t="s">
        <v>760</v>
      </c>
      <c r="D1598" s="191" t="s">
        <v>2414</v>
      </c>
      <c r="E1598" s="191" t="s">
        <v>2700</v>
      </c>
      <c r="F1598" s="191" t="s">
        <v>2614</v>
      </c>
      <c r="G1598" s="191">
        <v>14</v>
      </c>
      <c r="H1598" s="192">
        <v>0</v>
      </c>
      <c r="I1598" s="192">
        <v>117.38</v>
      </c>
      <c r="J1598" s="192">
        <f>SUM(H1598:I1598)</f>
        <v>117.38</v>
      </c>
    </row>
    <row r="1599" spans="1:10" outlineLevel="2">
      <c r="A1599" s="191" t="s">
        <v>774</v>
      </c>
      <c r="B1599" s="191" t="s">
        <v>116</v>
      </c>
      <c r="C1599" s="191" t="s">
        <v>760</v>
      </c>
      <c r="D1599" s="191" t="s">
        <v>762</v>
      </c>
      <c r="E1599" s="191" t="s">
        <v>2585</v>
      </c>
      <c r="F1599" s="191" t="s">
        <v>2586</v>
      </c>
      <c r="G1599" s="191">
        <v>14</v>
      </c>
      <c r="H1599" s="192">
        <v>0</v>
      </c>
      <c r="I1599" s="192">
        <v>126.22</v>
      </c>
      <c r="J1599" s="192">
        <f>SUM(H1599:I1599)</f>
        <v>126.22</v>
      </c>
    </row>
    <row r="1600" spans="1:10" outlineLevel="2">
      <c r="A1600" s="191" t="s">
        <v>774</v>
      </c>
      <c r="B1600" s="191" t="s">
        <v>116</v>
      </c>
      <c r="C1600" s="191" t="s">
        <v>760</v>
      </c>
      <c r="D1600" s="191" t="s">
        <v>2424</v>
      </c>
      <c r="E1600" s="191" t="s">
        <v>1489</v>
      </c>
      <c r="F1600" s="191" t="s">
        <v>1490</v>
      </c>
      <c r="G1600" s="191">
        <v>14</v>
      </c>
      <c r="H1600" s="192">
        <v>0</v>
      </c>
      <c r="I1600" s="192">
        <v>126.84</v>
      </c>
      <c r="J1600" s="192">
        <f>SUM(H1600:I1600)</f>
        <v>126.84</v>
      </c>
    </row>
    <row r="1601" spans="1:10" outlineLevel="2">
      <c r="A1601" s="191" t="s">
        <v>775</v>
      </c>
      <c r="B1601" s="191" t="s">
        <v>183</v>
      </c>
      <c r="C1601" s="191" t="s">
        <v>760</v>
      </c>
      <c r="D1601" s="191" t="s">
        <v>2425</v>
      </c>
      <c r="E1601" s="191" t="s">
        <v>2617</v>
      </c>
      <c r="F1601" s="191" t="s">
        <v>2617</v>
      </c>
      <c r="G1601" s="191">
        <v>7</v>
      </c>
      <c r="H1601" s="192">
        <v>0</v>
      </c>
      <c r="I1601" s="192">
        <v>201.54</v>
      </c>
      <c r="J1601" s="192">
        <f>SUM(H1601:I1601)</f>
        <v>201.54</v>
      </c>
    </row>
    <row r="1602" spans="1:10" outlineLevel="2">
      <c r="A1602" s="191" t="s">
        <v>775</v>
      </c>
      <c r="B1602" s="191" t="s">
        <v>183</v>
      </c>
      <c r="C1602" s="191" t="s">
        <v>760</v>
      </c>
      <c r="D1602" s="191" t="s">
        <v>2426</v>
      </c>
      <c r="E1602" s="191" t="s">
        <v>1489</v>
      </c>
      <c r="F1602" s="191" t="s">
        <v>1489</v>
      </c>
      <c r="G1602" s="191">
        <v>7</v>
      </c>
      <c r="H1602" s="192">
        <v>0</v>
      </c>
      <c r="I1602" s="192">
        <v>201.54</v>
      </c>
      <c r="J1602" s="192">
        <f>SUM(H1602:I1602)</f>
        <v>201.54</v>
      </c>
    </row>
    <row r="1603" spans="1:10" outlineLevel="2">
      <c r="A1603" s="191" t="s">
        <v>775</v>
      </c>
      <c r="B1603" s="191" t="s">
        <v>183</v>
      </c>
      <c r="C1603" s="191" t="s">
        <v>760</v>
      </c>
      <c r="D1603" s="191" t="s">
        <v>2392</v>
      </c>
      <c r="E1603" s="191" t="s">
        <v>2645</v>
      </c>
      <c r="F1603" s="191" t="s">
        <v>2645</v>
      </c>
      <c r="G1603" s="191">
        <v>7</v>
      </c>
      <c r="H1603" s="192">
        <v>0</v>
      </c>
      <c r="I1603" s="192">
        <v>201.54</v>
      </c>
      <c r="J1603" s="192">
        <f>SUM(H1603:I1603)</f>
        <v>201.54</v>
      </c>
    </row>
    <row r="1604" spans="1:10" outlineLevel="2">
      <c r="A1604" s="191" t="s">
        <v>775</v>
      </c>
      <c r="B1604" s="191" t="s">
        <v>183</v>
      </c>
      <c r="C1604" s="191" t="s">
        <v>760</v>
      </c>
      <c r="D1604" s="191" t="s">
        <v>2410</v>
      </c>
      <c r="E1604" s="191" t="s">
        <v>1479</v>
      </c>
      <c r="F1604" s="191" t="s">
        <v>2612</v>
      </c>
      <c r="G1604" s="191">
        <v>28</v>
      </c>
      <c r="H1604" s="192">
        <v>0</v>
      </c>
      <c r="I1604" s="192">
        <v>802.24</v>
      </c>
      <c r="J1604" s="192">
        <f>SUM(H1604:I1604)</f>
        <v>802.24</v>
      </c>
    </row>
    <row r="1605" spans="1:10" outlineLevel="2">
      <c r="A1605" s="191" t="s">
        <v>776</v>
      </c>
      <c r="B1605" s="191" t="s">
        <v>759</v>
      </c>
      <c r="C1605" s="191" t="s">
        <v>760</v>
      </c>
      <c r="D1605" s="191" t="s">
        <v>2422</v>
      </c>
      <c r="E1605" s="191" t="s">
        <v>2630</v>
      </c>
      <c r="F1605" s="191" t="s">
        <v>2617</v>
      </c>
      <c r="G1605" s="191">
        <v>14</v>
      </c>
      <c r="H1605" s="192">
        <v>0</v>
      </c>
      <c r="I1605" s="192">
        <v>274.5</v>
      </c>
      <c r="J1605" s="192">
        <f>SUM(H1605:I1605)</f>
        <v>274.5</v>
      </c>
    </row>
    <row r="1606" spans="1:10" outlineLevel="2">
      <c r="A1606" s="191" t="s">
        <v>776</v>
      </c>
      <c r="B1606" s="191" t="s">
        <v>759</v>
      </c>
      <c r="C1606" s="191" t="s">
        <v>760</v>
      </c>
      <c r="D1606" s="191" t="s">
        <v>2427</v>
      </c>
      <c r="E1606" s="191" t="s">
        <v>2682</v>
      </c>
      <c r="F1606" s="191" t="s">
        <v>2603</v>
      </c>
      <c r="G1606" s="191">
        <v>28</v>
      </c>
      <c r="H1606" s="192">
        <v>0</v>
      </c>
      <c r="I1606" s="192">
        <v>549</v>
      </c>
      <c r="J1606" s="192">
        <f>SUM(H1606:I1606)</f>
        <v>549</v>
      </c>
    </row>
    <row r="1607" spans="1:10" outlineLevel="2">
      <c r="A1607" s="191" t="s">
        <v>777</v>
      </c>
      <c r="B1607" s="191" t="s">
        <v>759</v>
      </c>
      <c r="C1607" s="191" t="s">
        <v>760</v>
      </c>
      <c r="D1607" s="191" t="s">
        <v>2428</v>
      </c>
      <c r="E1607" s="191" t="s">
        <v>1479</v>
      </c>
      <c r="F1607" s="191" t="s">
        <v>1479</v>
      </c>
      <c r="G1607" s="191">
        <v>7</v>
      </c>
      <c r="H1607" s="192">
        <v>0</v>
      </c>
      <c r="I1607" s="192">
        <v>175.28</v>
      </c>
      <c r="J1607" s="192">
        <f>SUM(H1607:I1607)</f>
        <v>175.28</v>
      </c>
    </row>
    <row r="1608" spans="1:10" outlineLevel="2">
      <c r="A1608" s="191" t="s">
        <v>777</v>
      </c>
      <c r="B1608" s="191" t="s">
        <v>759</v>
      </c>
      <c r="C1608" s="191" t="s">
        <v>760</v>
      </c>
      <c r="D1608" s="191" t="s">
        <v>2429</v>
      </c>
      <c r="E1608" s="191" t="s">
        <v>2608</v>
      </c>
      <c r="F1608" s="191" t="s">
        <v>2608</v>
      </c>
      <c r="G1608" s="191">
        <v>7</v>
      </c>
      <c r="H1608" s="192">
        <v>0</v>
      </c>
      <c r="I1608" s="192">
        <v>175.28</v>
      </c>
      <c r="J1608" s="192">
        <f>SUM(H1608:I1608)</f>
        <v>175.28</v>
      </c>
    </row>
    <row r="1609" spans="1:10" outlineLevel="2">
      <c r="A1609" s="191" t="s">
        <v>777</v>
      </c>
      <c r="B1609" s="191" t="s">
        <v>759</v>
      </c>
      <c r="C1609" s="191" t="s">
        <v>760</v>
      </c>
      <c r="D1609" s="191" t="s">
        <v>2430</v>
      </c>
      <c r="E1609" s="191" t="s">
        <v>2630</v>
      </c>
      <c r="F1609" s="191" t="s">
        <v>2617</v>
      </c>
      <c r="G1609" s="191">
        <v>14</v>
      </c>
      <c r="H1609" s="192">
        <v>0</v>
      </c>
      <c r="I1609" s="192">
        <v>352.28</v>
      </c>
      <c r="J1609" s="192">
        <f>SUM(H1609:I1609)</f>
        <v>352.28</v>
      </c>
    </row>
    <row r="1610" spans="1:10" outlineLevel="2">
      <c r="A1610" s="191" t="s">
        <v>777</v>
      </c>
      <c r="B1610" s="191" t="s">
        <v>759</v>
      </c>
      <c r="C1610" s="191" t="s">
        <v>760</v>
      </c>
      <c r="D1610" s="191" t="s">
        <v>2431</v>
      </c>
      <c r="E1610" s="191" t="s">
        <v>1501</v>
      </c>
      <c r="F1610" s="191" t="s">
        <v>2680</v>
      </c>
      <c r="G1610" s="191">
        <v>28</v>
      </c>
      <c r="H1610" s="192">
        <v>0</v>
      </c>
      <c r="I1610" s="192">
        <v>704.56</v>
      </c>
      <c r="J1610" s="192">
        <f>SUM(H1610:I1610)</f>
        <v>704.56</v>
      </c>
    </row>
    <row r="1611" spans="1:10" outlineLevel="2">
      <c r="A1611" s="191" t="s">
        <v>778</v>
      </c>
      <c r="B1611" s="191" t="s">
        <v>759</v>
      </c>
      <c r="C1611" s="191" t="s">
        <v>760</v>
      </c>
      <c r="D1611" s="191" t="s">
        <v>2432</v>
      </c>
      <c r="E1611" s="191" t="s">
        <v>1481</v>
      </c>
      <c r="F1611" s="191" t="s">
        <v>1481</v>
      </c>
      <c r="G1611" s="191">
        <v>7</v>
      </c>
      <c r="H1611" s="192">
        <v>0</v>
      </c>
      <c r="I1611" s="192">
        <v>138.29</v>
      </c>
      <c r="J1611" s="192">
        <f>SUM(H1611:I1611)</f>
        <v>138.29</v>
      </c>
    </row>
    <row r="1612" spans="1:10" outlineLevel="2">
      <c r="A1612" s="191" t="s">
        <v>778</v>
      </c>
      <c r="B1612" s="191" t="s">
        <v>759</v>
      </c>
      <c r="C1612" s="191" t="s">
        <v>760</v>
      </c>
      <c r="D1612" s="191" t="s">
        <v>2433</v>
      </c>
      <c r="E1612" s="191" t="s">
        <v>2590</v>
      </c>
      <c r="F1612" s="191" t="s">
        <v>2590</v>
      </c>
      <c r="G1612" s="191">
        <v>7</v>
      </c>
      <c r="H1612" s="192">
        <v>0</v>
      </c>
      <c r="I1612" s="192">
        <v>138.97</v>
      </c>
      <c r="J1612" s="192">
        <f>SUM(H1612:I1612)</f>
        <v>138.97</v>
      </c>
    </row>
    <row r="1613" spans="1:10" outlineLevel="2">
      <c r="A1613" s="191" t="s">
        <v>778</v>
      </c>
      <c r="B1613" s="191" t="s">
        <v>759</v>
      </c>
      <c r="C1613" s="191" t="s">
        <v>760</v>
      </c>
      <c r="D1613" s="191" t="s">
        <v>2431</v>
      </c>
      <c r="E1613" s="191" t="s">
        <v>2646</v>
      </c>
      <c r="F1613" s="191" t="s">
        <v>2646</v>
      </c>
      <c r="G1613" s="191">
        <v>7</v>
      </c>
      <c r="H1613" s="192">
        <v>0</v>
      </c>
      <c r="I1613" s="192">
        <v>138.97</v>
      </c>
      <c r="J1613" s="192">
        <f>SUM(H1613:I1613)</f>
        <v>138.97</v>
      </c>
    </row>
    <row r="1614" spans="1:10" outlineLevel="2">
      <c r="A1614" s="191" t="s">
        <v>778</v>
      </c>
      <c r="B1614" s="191" t="s">
        <v>759</v>
      </c>
      <c r="C1614" s="191" t="s">
        <v>760</v>
      </c>
      <c r="D1614" s="191" t="s">
        <v>2431</v>
      </c>
      <c r="E1614" s="191" t="s">
        <v>1501</v>
      </c>
      <c r="F1614" s="191" t="s">
        <v>1502</v>
      </c>
      <c r="G1614" s="191">
        <v>21</v>
      </c>
      <c r="H1614" s="192">
        <v>0</v>
      </c>
      <c r="I1614" s="192">
        <v>416.91</v>
      </c>
      <c r="J1614" s="192">
        <f>SUM(H1614:I1614)</f>
        <v>416.91</v>
      </c>
    </row>
    <row r="1615" spans="1:10" outlineLevel="1">
      <c r="A1615" s="193" t="s">
        <v>3037</v>
      </c>
      <c r="B1615" s="194"/>
      <c r="C1615" s="194"/>
      <c r="D1615" s="194"/>
      <c r="E1615" s="194"/>
      <c r="F1615" s="194"/>
      <c r="G1615" s="194">
        <f>SUBTOTAL(9,G1559:G1614)</f>
        <v>861</v>
      </c>
      <c r="H1615" s="195">
        <f>SUBTOTAL(9,H1559:H1614)</f>
        <v>0</v>
      </c>
      <c r="I1615" s="195">
        <f>SUBTOTAL(9,I1559:I1614)</f>
        <v>17665.14000000001</v>
      </c>
      <c r="J1615" s="195">
        <f>SUBTOTAL(9,J1559:J1614)</f>
        <v>17665.14000000001</v>
      </c>
    </row>
    <row r="1616" spans="1:10" outlineLevel="2">
      <c r="A1616" s="191" t="s">
        <v>2963</v>
      </c>
      <c r="B1616" s="191" t="s">
        <v>723</v>
      </c>
      <c r="C1616" s="191" t="s">
        <v>2765</v>
      </c>
      <c r="D1616" s="191" t="s">
        <v>2060</v>
      </c>
      <c r="E1616" s="191" t="s">
        <v>2710</v>
      </c>
      <c r="F1616" s="191" t="s">
        <v>2660</v>
      </c>
      <c r="G1616" s="191">
        <v>14</v>
      </c>
      <c r="H1616" s="192">
        <v>0</v>
      </c>
      <c r="I1616" s="192">
        <v>389.18</v>
      </c>
      <c r="J1616" s="192">
        <f>SUM(H1616:I1616)</f>
        <v>389.18</v>
      </c>
    </row>
    <row r="1617" spans="1:10" outlineLevel="2">
      <c r="A1617" s="191" t="s">
        <v>2963</v>
      </c>
      <c r="B1617" s="191" t="s">
        <v>723</v>
      </c>
      <c r="C1617" s="191" t="s">
        <v>2765</v>
      </c>
      <c r="D1617" s="191" t="s">
        <v>2434</v>
      </c>
      <c r="E1617" s="191" t="s">
        <v>2741</v>
      </c>
      <c r="F1617" s="191" t="s">
        <v>2662</v>
      </c>
      <c r="G1617" s="191">
        <v>28</v>
      </c>
      <c r="H1617" s="192">
        <v>0</v>
      </c>
      <c r="I1617" s="192">
        <v>1016.68</v>
      </c>
      <c r="J1617" s="192">
        <f>SUM(H1617:I1617)</f>
        <v>1016.68</v>
      </c>
    </row>
    <row r="1618" spans="1:10" outlineLevel="1">
      <c r="A1618" s="193" t="s">
        <v>3038</v>
      </c>
      <c r="B1618" s="194"/>
      <c r="C1618" s="194"/>
      <c r="D1618" s="194"/>
      <c r="E1618" s="194"/>
      <c r="F1618" s="194"/>
      <c r="G1618" s="194">
        <f>SUBTOTAL(9,G1616:G1617)</f>
        <v>42</v>
      </c>
      <c r="H1618" s="195">
        <f>SUBTOTAL(9,H1616:H1617)</f>
        <v>0</v>
      </c>
      <c r="I1618" s="195">
        <f>SUBTOTAL(9,I1616:I1617)</f>
        <v>1405.86</v>
      </c>
      <c r="J1618" s="195">
        <f>SUBTOTAL(9,J1616:J1617)</f>
        <v>1405.86</v>
      </c>
    </row>
    <row r="1619" spans="1:10" outlineLevel="2">
      <c r="A1619" s="191" t="s">
        <v>779</v>
      </c>
      <c r="B1619" s="191" t="s">
        <v>780</v>
      </c>
      <c r="C1619" s="191" t="s">
        <v>781</v>
      </c>
      <c r="D1619" s="191" t="s">
        <v>2435</v>
      </c>
      <c r="E1619" s="191" t="s">
        <v>2715</v>
      </c>
      <c r="F1619" s="191" t="s">
        <v>2715</v>
      </c>
      <c r="G1619" s="191">
        <v>7</v>
      </c>
      <c r="H1619" s="192">
        <v>0</v>
      </c>
      <c r="I1619" s="192">
        <v>150.63999999999999</v>
      </c>
      <c r="J1619" s="192">
        <f>SUM(H1619:I1619)</f>
        <v>150.63999999999999</v>
      </c>
    </row>
    <row r="1620" spans="1:10" outlineLevel="2">
      <c r="A1620" s="191" t="s">
        <v>779</v>
      </c>
      <c r="B1620" s="191" t="s">
        <v>780</v>
      </c>
      <c r="C1620" s="191" t="s">
        <v>781</v>
      </c>
      <c r="D1620" s="191" t="s">
        <v>2436</v>
      </c>
      <c r="E1620" s="191" t="s">
        <v>2619</v>
      </c>
      <c r="F1620" s="191" t="s">
        <v>2619</v>
      </c>
      <c r="G1620" s="191">
        <v>7</v>
      </c>
      <c r="H1620" s="192">
        <v>0</v>
      </c>
      <c r="I1620" s="192">
        <v>150.63999999999999</v>
      </c>
      <c r="J1620" s="192">
        <f>SUM(H1620:I1620)</f>
        <v>150.63999999999999</v>
      </c>
    </row>
    <row r="1621" spans="1:10" outlineLevel="2">
      <c r="A1621" s="191" t="s">
        <v>779</v>
      </c>
      <c r="B1621" s="191" t="s">
        <v>780</v>
      </c>
      <c r="C1621" s="191" t="s">
        <v>781</v>
      </c>
      <c r="D1621" s="191" t="s">
        <v>2437</v>
      </c>
      <c r="E1621" s="191" t="s">
        <v>2590</v>
      </c>
      <c r="F1621" s="191" t="s">
        <v>2590</v>
      </c>
      <c r="G1621" s="191">
        <v>7</v>
      </c>
      <c r="H1621" s="192">
        <v>0</v>
      </c>
      <c r="I1621" s="192">
        <v>151.38</v>
      </c>
      <c r="J1621" s="192">
        <f>SUM(H1621:I1621)</f>
        <v>151.38</v>
      </c>
    </row>
    <row r="1622" spans="1:10" outlineLevel="2">
      <c r="A1622" s="191" t="s">
        <v>779</v>
      </c>
      <c r="B1622" s="191" t="s">
        <v>780</v>
      </c>
      <c r="C1622" s="191" t="s">
        <v>781</v>
      </c>
      <c r="D1622" s="191" t="s">
        <v>2438</v>
      </c>
      <c r="E1622" s="191" t="s">
        <v>2602</v>
      </c>
      <c r="F1622" s="191" t="s">
        <v>2602</v>
      </c>
      <c r="G1622" s="191">
        <v>7</v>
      </c>
      <c r="H1622" s="192">
        <v>0</v>
      </c>
      <c r="I1622" s="192">
        <v>151.38</v>
      </c>
      <c r="J1622" s="192">
        <f>SUM(H1622:I1622)</f>
        <v>151.38</v>
      </c>
    </row>
    <row r="1623" spans="1:10" outlineLevel="2">
      <c r="A1623" s="191" t="s">
        <v>779</v>
      </c>
      <c r="B1623" s="191" t="s">
        <v>780</v>
      </c>
      <c r="C1623" s="191" t="s">
        <v>781</v>
      </c>
      <c r="D1623" s="191" t="s">
        <v>2439</v>
      </c>
      <c r="E1623" s="191" t="s">
        <v>2639</v>
      </c>
      <c r="F1623" s="191" t="s">
        <v>2608</v>
      </c>
      <c r="G1623" s="191">
        <v>14</v>
      </c>
      <c r="H1623" s="192">
        <v>0</v>
      </c>
      <c r="I1623" s="192">
        <v>301.27999999999997</v>
      </c>
      <c r="J1623" s="192">
        <f>SUM(H1623:I1623)</f>
        <v>301.27999999999997</v>
      </c>
    </row>
    <row r="1624" spans="1:10" outlineLevel="2">
      <c r="A1624" s="191" t="s">
        <v>779</v>
      </c>
      <c r="B1624" s="191" t="s">
        <v>780</v>
      </c>
      <c r="C1624" s="191" t="s">
        <v>781</v>
      </c>
      <c r="D1624" s="191" t="s">
        <v>2440</v>
      </c>
      <c r="E1624" s="191" t="s">
        <v>2645</v>
      </c>
      <c r="F1624" s="191" t="s">
        <v>2640</v>
      </c>
      <c r="G1624" s="191">
        <v>14</v>
      </c>
      <c r="H1624" s="192">
        <v>0</v>
      </c>
      <c r="I1624" s="192">
        <v>302.76</v>
      </c>
      <c r="J1624" s="192">
        <f>SUM(H1624:I1624)</f>
        <v>302.76</v>
      </c>
    </row>
    <row r="1625" spans="1:10" outlineLevel="2">
      <c r="A1625" s="191" t="s">
        <v>2964</v>
      </c>
      <c r="B1625" s="191" t="s">
        <v>780</v>
      </c>
      <c r="C1625" s="191" t="s">
        <v>781</v>
      </c>
      <c r="D1625" s="191" t="s">
        <v>2441</v>
      </c>
      <c r="E1625" s="191" t="s">
        <v>2700</v>
      </c>
      <c r="F1625" s="191" t="s">
        <v>2614</v>
      </c>
      <c r="G1625" s="191">
        <v>14</v>
      </c>
      <c r="H1625" s="192">
        <v>0</v>
      </c>
      <c r="I1625" s="192">
        <v>269.76</v>
      </c>
      <c r="J1625" s="192">
        <f>SUM(H1625:I1625)</f>
        <v>269.76</v>
      </c>
    </row>
    <row r="1626" spans="1:10" outlineLevel="2">
      <c r="A1626" s="191" t="s">
        <v>2964</v>
      </c>
      <c r="B1626" s="191" t="s">
        <v>780</v>
      </c>
      <c r="C1626" s="191" t="s">
        <v>781</v>
      </c>
      <c r="D1626" s="191" t="s">
        <v>2442</v>
      </c>
      <c r="E1626" s="191" t="s">
        <v>1485</v>
      </c>
      <c r="F1626" s="191" t="s">
        <v>2591</v>
      </c>
      <c r="G1626" s="191" t="s">
        <v>2760</v>
      </c>
      <c r="H1626" s="192">
        <v>0</v>
      </c>
      <c r="I1626" s="192">
        <v>0</v>
      </c>
      <c r="J1626" s="192">
        <f>SUM(H1626:I1626)</f>
        <v>0</v>
      </c>
    </row>
    <row r="1627" spans="1:10" outlineLevel="2">
      <c r="A1627" s="191" t="s">
        <v>782</v>
      </c>
      <c r="B1627" s="191" t="s">
        <v>189</v>
      </c>
      <c r="C1627" s="191" t="s">
        <v>781</v>
      </c>
      <c r="D1627" s="191" t="s">
        <v>2443</v>
      </c>
      <c r="E1627" s="191" t="s">
        <v>2632</v>
      </c>
      <c r="F1627" s="191" t="s">
        <v>2632</v>
      </c>
      <c r="G1627" s="191">
        <v>7</v>
      </c>
      <c r="H1627" s="192">
        <v>0</v>
      </c>
      <c r="I1627" s="192">
        <v>72.36</v>
      </c>
      <c r="J1627" s="192">
        <f>SUM(H1627:I1627)</f>
        <v>72.36</v>
      </c>
    </row>
    <row r="1628" spans="1:10" outlineLevel="2">
      <c r="A1628" s="191" t="s">
        <v>782</v>
      </c>
      <c r="B1628" s="191" t="s">
        <v>189</v>
      </c>
      <c r="C1628" s="191" t="s">
        <v>781</v>
      </c>
      <c r="D1628" s="191" t="s">
        <v>2444</v>
      </c>
      <c r="E1628" s="191" t="s">
        <v>2651</v>
      </c>
      <c r="F1628" s="191" t="s">
        <v>2684</v>
      </c>
      <c r="G1628" s="191">
        <v>14</v>
      </c>
      <c r="H1628" s="192">
        <v>0</v>
      </c>
      <c r="I1628" s="192">
        <v>135.06</v>
      </c>
      <c r="J1628" s="192">
        <f>SUM(H1628:I1628)</f>
        <v>135.06</v>
      </c>
    </row>
    <row r="1629" spans="1:10" outlineLevel="2">
      <c r="A1629" s="191" t="s">
        <v>782</v>
      </c>
      <c r="B1629" s="191" t="s">
        <v>189</v>
      </c>
      <c r="C1629" s="191" t="s">
        <v>781</v>
      </c>
      <c r="D1629" s="191" t="s">
        <v>2445</v>
      </c>
      <c r="E1629" s="191" t="s">
        <v>2593</v>
      </c>
      <c r="F1629" s="191" t="s">
        <v>1487</v>
      </c>
      <c r="G1629" s="191">
        <v>14</v>
      </c>
      <c r="H1629" s="192">
        <v>0</v>
      </c>
      <c r="I1629" s="192">
        <v>135.06</v>
      </c>
      <c r="J1629" s="192">
        <f>SUM(H1629:I1629)</f>
        <v>135.06</v>
      </c>
    </row>
    <row r="1630" spans="1:10" outlineLevel="2">
      <c r="A1630" s="191" t="s">
        <v>782</v>
      </c>
      <c r="B1630" s="191" t="s">
        <v>780</v>
      </c>
      <c r="C1630" s="191" t="s">
        <v>781</v>
      </c>
      <c r="D1630" s="191" t="s">
        <v>2446</v>
      </c>
      <c r="E1630" s="191" t="s">
        <v>2706</v>
      </c>
      <c r="F1630" s="191" t="s">
        <v>2663</v>
      </c>
      <c r="G1630" s="191">
        <v>21</v>
      </c>
      <c r="H1630" s="192">
        <v>0</v>
      </c>
      <c r="I1630" s="192">
        <v>483.96</v>
      </c>
      <c r="J1630" s="192">
        <f>SUM(H1630:I1630)</f>
        <v>483.96</v>
      </c>
    </row>
    <row r="1631" spans="1:10" outlineLevel="2">
      <c r="A1631" s="191" t="s">
        <v>783</v>
      </c>
      <c r="B1631" s="191" t="s">
        <v>780</v>
      </c>
      <c r="C1631" s="191" t="s">
        <v>781</v>
      </c>
      <c r="D1631" s="191" t="s">
        <v>2447</v>
      </c>
      <c r="E1631" s="191" t="s">
        <v>2713</v>
      </c>
      <c r="F1631" s="191" t="s">
        <v>2715</v>
      </c>
      <c r="G1631" s="191">
        <v>14</v>
      </c>
      <c r="H1631" s="192">
        <v>0</v>
      </c>
      <c r="I1631" s="192">
        <v>331.1</v>
      </c>
      <c r="J1631" s="192">
        <f>SUM(H1631:I1631)</f>
        <v>331.1</v>
      </c>
    </row>
    <row r="1632" spans="1:10" outlineLevel="2">
      <c r="A1632" s="191" t="s">
        <v>783</v>
      </c>
      <c r="B1632" s="191" t="s">
        <v>780</v>
      </c>
      <c r="C1632" s="191" t="s">
        <v>781</v>
      </c>
      <c r="D1632" s="191" t="s">
        <v>2445</v>
      </c>
      <c r="E1632" s="191" t="s">
        <v>2593</v>
      </c>
      <c r="F1632" s="191" t="s">
        <v>1487</v>
      </c>
      <c r="G1632" s="191">
        <v>14</v>
      </c>
      <c r="H1632" s="192">
        <v>0</v>
      </c>
      <c r="I1632" s="192">
        <v>331.1</v>
      </c>
      <c r="J1632" s="192">
        <f>SUM(H1632:I1632)</f>
        <v>331.1</v>
      </c>
    </row>
    <row r="1633" spans="1:10" outlineLevel="2">
      <c r="A1633" s="191" t="s">
        <v>784</v>
      </c>
      <c r="B1633" s="191" t="s">
        <v>780</v>
      </c>
      <c r="C1633" s="191" t="s">
        <v>781</v>
      </c>
      <c r="D1633" s="191" t="s">
        <v>2448</v>
      </c>
      <c r="E1633" s="191" t="s">
        <v>1493</v>
      </c>
      <c r="F1633" s="191" t="s">
        <v>2609</v>
      </c>
      <c r="G1633" s="191">
        <v>14</v>
      </c>
      <c r="H1633" s="192">
        <v>0</v>
      </c>
      <c r="I1633" s="192">
        <v>292.5</v>
      </c>
      <c r="J1633" s="192">
        <f>SUM(H1633:I1633)</f>
        <v>292.5</v>
      </c>
    </row>
    <row r="1634" spans="1:10" outlineLevel="2">
      <c r="A1634" s="191" t="s">
        <v>784</v>
      </c>
      <c r="B1634" s="191" t="s">
        <v>780</v>
      </c>
      <c r="C1634" s="191" t="s">
        <v>781</v>
      </c>
      <c r="D1634" s="191" t="s">
        <v>2449</v>
      </c>
      <c r="E1634" s="191" t="s">
        <v>2631</v>
      </c>
      <c r="F1634" s="191" t="s">
        <v>2617</v>
      </c>
      <c r="G1634" s="191">
        <v>21</v>
      </c>
      <c r="H1634" s="192">
        <v>0</v>
      </c>
      <c r="I1634" s="192">
        <v>438.75</v>
      </c>
      <c r="J1634" s="192">
        <f>SUM(H1634:I1634)</f>
        <v>438.75</v>
      </c>
    </row>
    <row r="1635" spans="1:10" outlineLevel="2">
      <c r="A1635" s="191" t="s">
        <v>784</v>
      </c>
      <c r="B1635" s="191" t="s">
        <v>780</v>
      </c>
      <c r="C1635" s="191" t="s">
        <v>781</v>
      </c>
      <c r="D1635" s="191" t="s">
        <v>2450</v>
      </c>
      <c r="E1635" s="191" t="s">
        <v>2703</v>
      </c>
      <c r="F1635" s="191" t="s">
        <v>2676</v>
      </c>
      <c r="G1635" s="191">
        <v>21</v>
      </c>
      <c r="H1635" s="192">
        <v>0</v>
      </c>
      <c r="I1635" s="192">
        <v>438.75</v>
      </c>
      <c r="J1635" s="192">
        <f>SUM(H1635:I1635)</f>
        <v>438.75</v>
      </c>
    </row>
    <row r="1636" spans="1:10" outlineLevel="2">
      <c r="A1636" s="191" t="s">
        <v>785</v>
      </c>
      <c r="B1636" s="191" t="s">
        <v>786</v>
      </c>
      <c r="C1636" s="191" t="s">
        <v>781</v>
      </c>
      <c r="D1636" s="191" t="s">
        <v>2451</v>
      </c>
      <c r="E1636" s="191" t="s">
        <v>2612</v>
      </c>
      <c r="F1636" s="191" t="s">
        <v>2612</v>
      </c>
      <c r="G1636" s="191">
        <v>7</v>
      </c>
      <c r="H1636" s="192">
        <v>0</v>
      </c>
      <c r="I1636" s="192">
        <v>200.56</v>
      </c>
      <c r="J1636" s="192">
        <f>SUM(H1636:I1636)</f>
        <v>200.56</v>
      </c>
    </row>
    <row r="1637" spans="1:10" outlineLevel="2">
      <c r="A1637" s="191" t="s">
        <v>785</v>
      </c>
      <c r="B1637" s="191" t="s">
        <v>786</v>
      </c>
      <c r="C1637" s="191" t="s">
        <v>781</v>
      </c>
      <c r="D1637" s="191" t="s">
        <v>2452</v>
      </c>
      <c r="E1637" s="191" t="s">
        <v>1504</v>
      </c>
      <c r="F1637" s="191" t="s">
        <v>1504</v>
      </c>
      <c r="G1637" s="191">
        <v>7</v>
      </c>
      <c r="H1637" s="192">
        <v>0</v>
      </c>
      <c r="I1637" s="192">
        <v>200.56</v>
      </c>
      <c r="J1637" s="192">
        <f>SUM(H1637:I1637)</f>
        <v>200.56</v>
      </c>
    </row>
    <row r="1638" spans="1:10" outlineLevel="2">
      <c r="A1638" s="191" t="s">
        <v>785</v>
      </c>
      <c r="B1638" s="191" t="s">
        <v>786</v>
      </c>
      <c r="C1638" s="191" t="s">
        <v>781</v>
      </c>
      <c r="D1638" s="191" t="s">
        <v>2453</v>
      </c>
      <c r="E1638" s="191" t="s">
        <v>1500</v>
      </c>
      <c r="F1638" s="191" t="s">
        <v>1500</v>
      </c>
      <c r="G1638" s="191">
        <v>7</v>
      </c>
      <c r="H1638" s="192">
        <v>0</v>
      </c>
      <c r="I1638" s="192">
        <v>201.54</v>
      </c>
      <c r="J1638" s="192">
        <f>SUM(H1638:I1638)</f>
        <v>201.54</v>
      </c>
    </row>
    <row r="1639" spans="1:10" outlineLevel="2">
      <c r="A1639" s="191" t="s">
        <v>785</v>
      </c>
      <c r="B1639" s="191" t="s">
        <v>786</v>
      </c>
      <c r="C1639" s="191" t="s">
        <v>781</v>
      </c>
      <c r="D1639" s="191" t="s">
        <v>2454</v>
      </c>
      <c r="E1639" s="191" t="s">
        <v>2594</v>
      </c>
      <c r="F1639" s="191" t="s">
        <v>2588</v>
      </c>
      <c r="G1639" s="191">
        <v>14</v>
      </c>
      <c r="H1639" s="192">
        <v>0</v>
      </c>
      <c r="I1639" s="192">
        <v>401.12</v>
      </c>
      <c r="J1639" s="192">
        <f>SUM(H1639:I1639)</f>
        <v>401.12</v>
      </c>
    </row>
    <row r="1640" spans="1:10" outlineLevel="2">
      <c r="A1640" s="191" t="s">
        <v>785</v>
      </c>
      <c r="B1640" s="191" t="s">
        <v>786</v>
      </c>
      <c r="C1640" s="191" t="s">
        <v>781</v>
      </c>
      <c r="D1640" s="191" t="s">
        <v>2088</v>
      </c>
      <c r="E1640" s="191" t="s">
        <v>2606</v>
      </c>
      <c r="F1640" s="191" t="s">
        <v>1487</v>
      </c>
      <c r="G1640" s="191">
        <v>21</v>
      </c>
      <c r="H1640" s="192">
        <v>0</v>
      </c>
      <c r="I1640" s="192">
        <v>601.67999999999995</v>
      </c>
      <c r="J1640" s="192">
        <f>SUM(H1640:I1640)</f>
        <v>601.67999999999995</v>
      </c>
    </row>
    <row r="1641" spans="1:10" outlineLevel="2">
      <c r="A1641" s="191" t="s">
        <v>787</v>
      </c>
      <c r="B1641" s="191" t="s">
        <v>786</v>
      </c>
      <c r="C1641" s="191" t="s">
        <v>781</v>
      </c>
      <c r="D1641" s="191" t="s">
        <v>2443</v>
      </c>
      <c r="E1641" s="191" t="s">
        <v>2632</v>
      </c>
      <c r="F1641" s="191" t="s">
        <v>2632</v>
      </c>
      <c r="G1641" s="191">
        <v>7</v>
      </c>
      <c r="H1641" s="192">
        <v>0</v>
      </c>
      <c r="I1641" s="192">
        <v>191.19</v>
      </c>
      <c r="J1641" s="192">
        <f>SUM(H1641:I1641)</f>
        <v>191.19</v>
      </c>
    </row>
    <row r="1642" spans="1:10" outlineLevel="2">
      <c r="A1642" s="191" t="s">
        <v>787</v>
      </c>
      <c r="B1642" s="191" t="s">
        <v>786</v>
      </c>
      <c r="C1642" s="191" t="s">
        <v>781</v>
      </c>
      <c r="D1642" s="191" t="s">
        <v>2455</v>
      </c>
      <c r="E1642" s="191" t="s">
        <v>2612</v>
      </c>
      <c r="F1642" s="191" t="s">
        <v>2612</v>
      </c>
      <c r="G1642" s="191">
        <v>7</v>
      </c>
      <c r="H1642" s="192">
        <v>0</v>
      </c>
      <c r="I1642" s="192">
        <v>191.19</v>
      </c>
      <c r="J1642" s="192">
        <f>SUM(H1642:I1642)</f>
        <v>191.19</v>
      </c>
    </row>
    <row r="1643" spans="1:10" outlineLevel="2">
      <c r="A1643" s="191" t="s">
        <v>787</v>
      </c>
      <c r="B1643" s="191" t="s">
        <v>786</v>
      </c>
      <c r="C1643" s="191" t="s">
        <v>781</v>
      </c>
      <c r="D1643" s="191" t="s">
        <v>2456</v>
      </c>
      <c r="E1643" s="191" t="s">
        <v>2606</v>
      </c>
      <c r="F1643" s="191" t="s">
        <v>2606</v>
      </c>
      <c r="G1643" s="191">
        <v>7</v>
      </c>
      <c r="H1643" s="192">
        <v>0</v>
      </c>
      <c r="I1643" s="192">
        <v>191.19</v>
      </c>
      <c r="J1643" s="192">
        <f>SUM(H1643:I1643)</f>
        <v>191.19</v>
      </c>
    </row>
    <row r="1644" spans="1:10" outlineLevel="2">
      <c r="A1644" s="191" t="s">
        <v>787</v>
      </c>
      <c r="B1644" s="191" t="s">
        <v>786</v>
      </c>
      <c r="C1644" s="191" t="s">
        <v>781</v>
      </c>
      <c r="D1644" s="191" t="s">
        <v>2457</v>
      </c>
      <c r="E1644" s="191" t="s">
        <v>2658</v>
      </c>
      <c r="F1644" s="191" t="s">
        <v>1482</v>
      </c>
      <c r="G1644" s="191">
        <v>14</v>
      </c>
      <c r="H1644" s="192">
        <v>0</v>
      </c>
      <c r="I1644" s="192">
        <v>382.38</v>
      </c>
      <c r="J1644" s="192">
        <f>SUM(H1644:I1644)</f>
        <v>382.38</v>
      </c>
    </row>
    <row r="1645" spans="1:10" outlineLevel="2">
      <c r="A1645" s="191" t="s">
        <v>787</v>
      </c>
      <c r="B1645" s="191" t="s">
        <v>786</v>
      </c>
      <c r="C1645" s="191" t="s">
        <v>781</v>
      </c>
      <c r="D1645" s="191" t="s">
        <v>2088</v>
      </c>
      <c r="E1645" s="191" t="s">
        <v>2593</v>
      </c>
      <c r="F1645" s="191" t="s">
        <v>1487</v>
      </c>
      <c r="G1645" s="191">
        <v>14</v>
      </c>
      <c r="H1645" s="192">
        <v>0</v>
      </c>
      <c r="I1645" s="192">
        <v>382.38</v>
      </c>
      <c r="J1645" s="192">
        <f>SUM(H1645:I1645)</f>
        <v>382.38</v>
      </c>
    </row>
    <row r="1646" spans="1:10" outlineLevel="2">
      <c r="A1646" s="191" t="s">
        <v>788</v>
      </c>
      <c r="B1646" s="191" t="s">
        <v>780</v>
      </c>
      <c r="C1646" s="191" t="s">
        <v>781</v>
      </c>
      <c r="D1646" s="191" t="s">
        <v>2458</v>
      </c>
      <c r="E1646" s="191" t="s">
        <v>2618</v>
      </c>
      <c r="F1646" s="191" t="s">
        <v>1485</v>
      </c>
      <c r="G1646" s="191">
        <v>14</v>
      </c>
      <c r="H1646" s="192">
        <v>0</v>
      </c>
      <c r="I1646" s="192">
        <v>100.1</v>
      </c>
      <c r="J1646" s="192">
        <f>SUM(H1646:I1646)</f>
        <v>100.1</v>
      </c>
    </row>
    <row r="1647" spans="1:10" outlineLevel="2">
      <c r="A1647" s="191" t="s">
        <v>789</v>
      </c>
      <c r="B1647" s="191" t="s">
        <v>780</v>
      </c>
      <c r="C1647" s="191" t="s">
        <v>781</v>
      </c>
      <c r="D1647" s="191" t="s">
        <v>2459</v>
      </c>
      <c r="E1647" s="191" t="s">
        <v>2595</v>
      </c>
      <c r="F1647" s="191" t="s">
        <v>2596</v>
      </c>
      <c r="G1647" s="191">
        <v>14</v>
      </c>
      <c r="H1647" s="192">
        <v>0</v>
      </c>
      <c r="I1647" s="192">
        <v>335.44</v>
      </c>
      <c r="J1647" s="192">
        <f>SUM(H1647:I1647)</f>
        <v>335.44</v>
      </c>
    </row>
    <row r="1648" spans="1:10" outlineLevel="2">
      <c r="A1648" s="191" t="s">
        <v>789</v>
      </c>
      <c r="B1648" s="191" t="s">
        <v>780</v>
      </c>
      <c r="C1648" s="191" t="s">
        <v>781</v>
      </c>
      <c r="D1648" s="191" t="s">
        <v>2442</v>
      </c>
      <c r="E1648" s="191" t="s">
        <v>2591</v>
      </c>
      <c r="F1648" s="191" t="s">
        <v>1486</v>
      </c>
      <c r="G1648" s="191">
        <v>14</v>
      </c>
      <c r="H1648" s="192">
        <v>0</v>
      </c>
      <c r="I1648" s="192">
        <v>335.44</v>
      </c>
      <c r="J1648" s="192">
        <f>SUM(H1648:I1648)</f>
        <v>335.44</v>
      </c>
    </row>
    <row r="1649" spans="1:10" outlineLevel="2">
      <c r="A1649" s="191" t="s">
        <v>789</v>
      </c>
      <c r="B1649" s="191" t="s">
        <v>780</v>
      </c>
      <c r="C1649" s="191" t="s">
        <v>781</v>
      </c>
      <c r="D1649" s="191" t="s">
        <v>2449</v>
      </c>
      <c r="E1649" s="191" t="s">
        <v>2631</v>
      </c>
      <c r="F1649" s="191" t="s">
        <v>2617</v>
      </c>
      <c r="G1649" s="191">
        <v>21</v>
      </c>
      <c r="H1649" s="192">
        <v>0</v>
      </c>
      <c r="I1649" s="192">
        <v>527.85</v>
      </c>
      <c r="J1649" s="192">
        <f>SUM(H1649:I1649)</f>
        <v>527.85</v>
      </c>
    </row>
    <row r="1650" spans="1:10" outlineLevel="2">
      <c r="A1650" s="191" t="s">
        <v>790</v>
      </c>
      <c r="B1650" s="191" t="s">
        <v>183</v>
      </c>
      <c r="C1650" s="191" t="s">
        <v>781</v>
      </c>
      <c r="D1650" s="191" t="s">
        <v>2460</v>
      </c>
      <c r="E1650" s="191" t="s">
        <v>2585</v>
      </c>
      <c r="F1650" s="191" t="s">
        <v>2585</v>
      </c>
      <c r="G1650" s="191">
        <v>7</v>
      </c>
      <c r="H1650" s="192">
        <v>0</v>
      </c>
      <c r="I1650" s="192">
        <v>189.49</v>
      </c>
      <c r="J1650" s="192">
        <f>SUM(H1650:I1650)</f>
        <v>189.49</v>
      </c>
    </row>
    <row r="1651" spans="1:10" outlineLevel="2">
      <c r="A1651" s="191" t="s">
        <v>790</v>
      </c>
      <c r="B1651" s="191" t="s">
        <v>183</v>
      </c>
      <c r="C1651" s="191" t="s">
        <v>781</v>
      </c>
      <c r="D1651" s="191" t="s">
        <v>2461</v>
      </c>
      <c r="E1651" s="191" t="s">
        <v>2639</v>
      </c>
      <c r="F1651" s="191" t="s">
        <v>2608</v>
      </c>
      <c r="G1651" s="191">
        <v>14</v>
      </c>
      <c r="H1651" s="192">
        <v>0</v>
      </c>
      <c r="I1651" s="192">
        <v>378.98</v>
      </c>
      <c r="J1651" s="192">
        <f>SUM(H1651:I1651)</f>
        <v>378.98</v>
      </c>
    </row>
    <row r="1652" spans="1:10" outlineLevel="2">
      <c r="A1652" s="191" t="s">
        <v>790</v>
      </c>
      <c r="B1652" s="191" t="s">
        <v>183</v>
      </c>
      <c r="C1652" s="191" t="s">
        <v>781</v>
      </c>
      <c r="D1652" s="191" t="s">
        <v>2462</v>
      </c>
      <c r="E1652" s="191" t="s">
        <v>1503</v>
      </c>
      <c r="F1652" s="191" t="s">
        <v>2675</v>
      </c>
      <c r="G1652" s="191">
        <v>14</v>
      </c>
      <c r="H1652" s="192">
        <v>0</v>
      </c>
      <c r="I1652" s="192">
        <v>378.98</v>
      </c>
      <c r="J1652" s="192">
        <f>SUM(H1652:I1652)</f>
        <v>378.98</v>
      </c>
    </row>
    <row r="1653" spans="1:10" outlineLevel="2">
      <c r="A1653" s="191" t="s">
        <v>791</v>
      </c>
      <c r="B1653" s="191" t="s">
        <v>116</v>
      </c>
      <c r="C1653" s="191" t="s">
        <v>781</v>
      </c>
      <c r="D1653" s="191" t="s">
        <v>2462</v>
      </c>
      <c r="E1653" s="191" t="s">
        <v>1503</v>
      </c>
      <c r="F1653" s="191" t="s">
        <v>1504</v>
      </c>
      <c r="G1653" s="191">
        <v>21</v>
      </c>
      <c r="H1653" s="192">
        <v>0</v>
      </c>
      <c r="I1653" s="192">
        <v>189.33</v>
      </c>
      <c r="J1653" s="192">
        <f>SUM(H1653:I1653)</f>
        <v>189.33</v>
      </c>
    </row>
    <row r="1654" spans="1:10" outlineLevel="2">
      <c r="A1654" s="191" t="s">
        <v>791</v>
      </c>
      <c r="B1654" s="191" t="s">
        <v>189</v>
      </c>
      <c r="C1654" s="191" t="s">
        <v>781</v>
      </c>
      <c r="D1654" s="191" t="s">
        <v>2446</v>
      </c>
      <c r="E1654" s="191" t="s">
        <v>2662</v>
      </c>
      <c r="F1654" s="191" t="s">
        <v>2663</v>
      </c>
      <c r="G1654" s="191">
        <v>14</v>
      </c>
      <c r="H1654" s="192">
        <v>0</v>
      </c>
      <c r="I1654" s="192">
        <v>174.98</v>
      </c>
      <c r="J1654" s="192">
        <f>SUM(H1654:I1654)</f>
        <v>174.98</v>
      </c>
    </row>
    <row r="1655" spans="1:10" outlineLevel="2">
      <c r="A1655" s="191" t="s">
        <v>2965</v>
      </c>
      <c r="B1655" s="191" t="s">
        <v>147</v>
      </c>
      <c r="C1655" s="191" t="s">
        <v>781</v>
      </c>
      <c r="D1655" s="191" t="s">
        <v>2443</v>
      </c>
      <c r="E1655" s="191" t="s">
        <v>2632</v>
      </c>
      <c r="F1655" s="191" t="s">
        <v>2632</v>
      </c>
      <c r="G1655" s="191">
        <v>7</v>
      </c>
      <c r="H1655" s="192">
        <v>0</v>
      </c>
      <c r="I1655" s="192">
        <v>55.44</v>
      </c>
      <c r="J1655" s="192">
        <f>SUM(H1655:I1655)</f>
        <v>55.44</v>
      </c>
    </row>
    <row r="1656" spans="1:10" outlineLevel="2">
      <c r="A1656" s="191" t="s">
        <v>2965</v>
      </c>
      <c r="B1656" s="191" t="s">
        <v>147</v>
      </c>
      <c r="C1656" s="191" t="s">
        <v>781</v>
      </c>
      <c r="D1656" s="191" t="s">
        <v>2463</v>
      </c>
      <c r="E1656" s="191" t="s">
        <v>2689</v>
      </c>
      <c r="F1656" s="191" t="s">
        <v>2661</v>
      </c>
      <c r="G1656" s="191">
        <v>14</v>
      </c>
      <c r="H1656" s="192">
        <v>0</v>
      </c>
      <c r="I1656" s="192">
        <v>108.52</v>
      </c>
      <c r="J1656" s="192">
        <f>SUM(H1656:I1656)</f>
        <v>108.52</v>
      </c>
    </row>
    <row r="1657" spans="1:10" outlineLevel="2">
      <c r="A1657" s="191" t="s">
        <v>2965</v>
      </c>
      <c r="B1657" s="191" t="s">
        <v>112</v>
      </c>
      <c r="C1657" s="191" t="s">
        <v>781</v>
      </c>
      <c r="D1657" s="191" t="s">
        <v>2449</v>
      </c>
      <c r="E1657" s="191" t="s">
        <v>2631</v>
      </c>
      <c r="F1657" s="191" t="s">
        <v>2617</v>
      </c>
      <c r="G1657" s="191">
        <v>21</v>
      </c>
      <c r="H1657" s="192">
        <v>0</v>
      </c>
      <c r="I1657" s="192">
        <v>183.03</v>
      </c>
      <c r="J1657" s="192">
        <f>SUM(H1657:I1657)</f>
        <v>183.03</v>
      </c>
    </row>
    <row r="1658" spans="1:10" outlineLevel="2">
      <c r="A1658" s="191" t="s">
        <v>2966</v>
      </c>
      <c r="B1658" s="191" t="s">
        <v>780</v>
      </c>
      <c r="C1658" s="191" t="s">
        <v>781</v>
      </c>
      <c r="D1658" s="191" t="s">
        <v>2464</v>
      </c>
      <c r="E1658" s="191" t="s">
        <v>2645</v>
      </c>
      <c r="F1658" s="191" t="s">
        <v>2640</v>
      </c>
      <c r="G1658" s="191">
        <v>14</v>
      </c>
      <c r="H1658" s="192">
        <v>0</v>
      </c>
      <c r="I1658" s="192">
        <v>267.66000000000003</v>
      </c>
      <c r="J1658" s="192">
        <f>SUM(H1658:I1658)</f>
        <v>267.66000000000003</v>
      </c>
    </row>
    <row r="1659" spans="1:10" outlineLevel="2">
      <c r="A1659" s="191" t="s">
        <v>2966</v>
      </c>
      <c r="B1659" s="191" t="s">
        <v>780</v>
      </c>
      <c r="C1659" s="191" t="s">
        <v>781</v>
      </c>
      <c r="D1659" s="191" t="s">
        <v>2465</v>
      </c>
      <c r="E1659" s="191" t="s">
        <v>2627</v>
      </c>
      <c r="F1659" s="191" t="s">
        <v>1482</v>
      </c>
      <c r="G1659" s="191">
        <v>21</v>
      </c>
      <c r="H1659" s="192">
        <v>0</v>
      </c>
      <c r="I1659" s="192">
        <v>399.54</v>
      </c>
      <c r="J1659" s="192">
        <f>SUM(H1659:I1659)</f>
        <v>399.54</v>
      </c>
    </row>
    <row r="1660" spans="1:10" outlineLevel="2">
      <c r="A1660" s="191" t="s">
        <v>2966</v>
      </c>
      <c r="B1660" s="191" t="s">
        <v>780</v>
      </c>
      <c r="C1660" s="191" t="s">
        <v>781</v>
      </c>
      <c r="D1660" s="191" t="s">
        <v>2466</v>
      </c>
      <c r="E1660" s="191" t="s">
        <v>2631</v>
      </c>
      <c r="F1660" s="191" t="s">
        <v>2617</v>
      </c>
      <c r="G1660" s="191">
        <v>21</v>
      </c>
      <c r="H1660" s="192">
        <v>0</v>
      </c>
      <c r="I1660" s="192">
        <v>401.49</v>
      </c>
      <c r="J1660" s="192">
        <f>SUM(H1660:I1660)</f>
        <v>401.49</v>
      </c>
    </row>
    <row r="1661" spans="1:10" outlineLevel="2">
      <c r="A1661" s="191" t="s">
        <v>792</v>
      </c>
      <c r="B1661" s="191" t="s">
        <v>780</v>
      </c>
      <c r="C1661" s="191" t="s">
        <v>781</v>
      </c>
      <c r="D1661" s="191" t="s">
        <v>2467</v>
      </c>
      <c r="E1661" s="191" t="s">
        <v>2647</v>
      </c>
      <c r="F1661" s="191" t="s">
        <v>2600</v>
      </c>
      <c r="G1661" s="191">
        <v>21</v>
      </c>
      <c r="H1661" s="192">
        <v>0</v>
      </c>
      <c r="I1661" s="192">
        <v>409.77</v>
      </c>
      <c r="J1661" s="192">
        <f>SUM(H1661:I1661)</f>
        <v>409.77</v>
      </c>
    </row>
    <row r="1662" spans="1:10" outlineLevel="2">
      <c r="A1662" s="191" t="s">
        <v>792</v>
      </c>
      <c r="B1662" s="191" t="s">
        <v>780</v>
      </c>
      <c r="C1662" s="191" t="s">
        <v>781</v>
      </c>
      <c r="D1662" s="191" t="s">
        <v>2449</v>
      </c>
      <c r="E1662" s="191" t="s">
        <v>2631</v>
      </c>
      <c r="F1662" s="191" t="s">
        <v>2617</v>
      </c>
      <c r="G1662" s="191">
        <v>21</v>
      </c>
      <c r="H1662" s="192">
        <v>0</v>
      </c>
      <c r="I1662" s="192">
        <v>411.75</v>
      </c>
      <c r="J1662" s="192">
        <f>SUM(H1662:I1662)</f>
        <v>411.75</v>
      </c>
    </row>
    <row r="1663" spans="1:10" outlineLevel="2">
      <c r="A1663" s="191" t="s">
        <v>793</v>
      </c>
      <c r="B1663" s="191" t="s">
        <v>189</v>
      </c>
      <c r="C1663" s="191" t="s">
        <v>781</v>
      </c>
      <c r="D1663" s="191" t="s">
        <v>2468</v>
      </c>
      <c r="E1663" s="191" t="s">
        <v>2631</v>
      </c>
      <c r="F1663" s="191" t="s">
        <v>2617</v>
      </c>
      <c r="G1663" s="191">
        <v>21</v>
      </c>
      <c r="H1663" s="192">
        <v>0</v>
      </c>
      <c r="I1663" s="192">
        <v>203.58</v>
      </c>
      <c r="J1663" s="192">
        <f>SUM(H1663:I1663)</f>
        <v>203.58</v>
      </c>
    </row>
    <row r="1664" spans="1:10" outlineLevel="2">
      <c r="A1664" s="191" t="s">
        <v>794</v>
      </c>
      <c r="B1664" s="191" t="s">
        <v>147</v>
      </c>
      <c r="C1664" s="191" t="s">
        <v>781</v>
      </c>
      <c r="D1664" s="191" t="s">
        <v>2443</v>
      </c>
      <c r="E1664" s="191" t="s">
        <v>2632</v>
      </c>
      <c r="F1664" s="191" t="s">
        <v>2632</v>
      </c>
      <c r="G1664" s="191">
        <v>7</v>
      </c>
      <c r="H1664" s="192">
        <v>0</v>
      </c>
      <c r="I1664" s="192">
        <v>53.65</v>
      </c>
      <c r="J1664" s="192">
        <f>SUM(H1664:I1664)</f>
        <v>53.65</v>
      </c>
    </row>
    <row r="1665" spans="1:10" outlineLevel="2">
      <c r="A1665" s="191" t="s">
        <v>794</v>
      </c>
      <c r="B1665" s="191" t="s">
        <v>147</v>
      </c>
      <c r="C1665" s="191" t="s">
        <v>781</v>
      </c>
      <c r="D1665" s="191" t="s">
        <v>2463</v>
      </c>
      <c r="E1665" s="191" t="s">
        <v>2689</v>
      </c>
      <c r="F1665" s="191" t="s">
        <v>2661</v>
      </c>
      <c r="G1665" s="191">
        <v>14</v>
      </c>
      <c r="H1665" s="192">
        <v>0</v>
      </c>
      <c r="I1665" s="192">
        <v>108.52</v>
      </c>
      <c r="J1665" s="192">
        <f>SUM(H1665:I1665)</f>
        <v>108.52</v>
      </c>
    </row>
    <row r="1666" spans="1:10" outlineLevel="2">
      <c r="A1666" s="191" t="s">
        <v>794</v>
      </c>
      <c r="B1666" s="191" t="s">
        <v>112</v>
      </c>
      <c r="C1666" s="191" t="s">
        <v>781</v>
      </c>
      <c r="D1666" s="191" t="s">
        <v>2449</v>
      </c>
      <c r="E1666" s="191" t="s">
        <v>2631</v>
      </c>
      <c r="F1666" s="191" t="s">
        <v>2617</v>
      </c>
      <c r="G1666" s="191">
        <v>21</v>
      </c>
      <c r="H1666" s="192">
        <v>0</v>
      </c>
      <c r="I1666" s="192">
        <v>183.03</v>
      </c>
      <c r="J1666" s="192">
        <f>SUM(H1666:I1666)</f>
        <v>183.03</v>
      </c>
    </row>
    <row r="1667" spans="1:10" outlineLevel="2">
      <c r="A1667" s="191" t="s">
        <v>795</v>
      </c>
      <c r="B1667" s="191" t="s">
        <v>796</v>
      </c>
      <c r="C1667" s="191" t="s">
        <v>781</v>
      </c>
      <c r="D1667" s="191" t="s">
        <v>2469</v>
      </c>
      <c r="E1667" s="191" t="s">
        <v>2680</v>
      </c>
      <c r="F1667" s="191" t="s">
        <v>2681</v>
      </c>
      <c r="G1667" s="191">
        <v>14</v>
      </c>
      <c r="H1667" s="192">
        <v>0</v>
      </c>
      <c r="I1667" s="192">
        <v>423.24</v>
      </c>
      <c r="J1667" s="192">
        <f>SUM(H1667:I1667)</f>
        <v>423.24</v>
      </c>
    </row>
    <row r="1668" spans="1:10" outlineLevel="2">
      <c r="A1668" s="191" t="s">
        <v>795</v>
      </c>
      <c r="B1668" s="191" t="s">
        <v>796</v>
      </c>
      <c r="C1668" s="191" t="s">
        <v>781</v>
      </c>
      <c r="D1668" s="191" t="s">
        <v>2470</v>
      </c>
      <c r="E1668" s="191" t="s">
        <v>2645</v>
      </c>
      <c r="F1668" s="191" t="s">
        <v>2640</v>
      </c>
      <c r="G1668" s="191">
        <v>14</v>
      </c>
      <c r="H1668" s="192">
        <v>0</v>
      </c>
      <c r="I1668" s="192">
        <v>423.24</v>
      </c>
      <c r="J1668" s="192">
        <f>SUM(H1668:I1668)</f>
        <v>423.24</v>
      </c>
    </row>
    <row r="1669" spans="1:10" outlineLevel="2">
      <c r="A1669" s="191" t="s">
        <v>795</v>
      </c>
      <c r="B1669" s="191" t="s">
        <v>796</v>
      </c>
      <c r="C1669" s="191" t="s">
        <v>781</v>
      </c>
      <c r="D1669" s="191" t="s">
        <v>2442</v>
      </c>
      <c r="E1669" s="191" t="s">
        <v>1485</v>
      </c>
      <c r="F1669" s="191" t="s">
        <v>1486</v>
      </c>
      <c r="G1669" s="191">
        <v>21</v>
      </c>
      <c r="H1669" s="192">
        <v>0</v>
      </c>
      <c r="I1669" s="192">
        <v>631.74</v>
      </c>
      <c r="J1669" s="192">
        <f>SUM(H1669:I1669)</f>
        <v>631.74</v>
      </c>
    </row>
    <row r="1670" spans="1:10" outlineLevel="2">
      <c r="A1670" s="191" t="s">
        <v>797</v>
      </c>
      <c r="B1670" s="191" t="s">
        <v>116</v>
      </c>
      <c r="C1670" s="191" t="s">
        <v>781</v>
      </c>
      <c r="D1670" s="191" t="s">
        <v>2471</v>
      </c>
      <c r="E1670" s="191" t="s">
        <v>2702</v>
      </c>
      <c r="F1670" s="191" t="s">
        <v>2640</v>
      </c>
      <c r="G1670" s="191">
        <v>21</v>
      </c>
      <c r="H1670" s="192">
        <v>0</v>
      </c>
      <c r="I1670" s="192">
        <v>189.81</v>
      </c>
      <c r="J1670" s="192">
        <f>SUM(H1670:I1670)</f>
        <v>189.81</v>
      </c>
    </row>
    <row r="1671" spans="1:10" outlineLevel="2">
      <c r="A1671" s="191" t="s">
        <v>798</v>
      </c>
      <c r="B1671" s="191" t="s">
        <v>780</v>
      </c>
      <c r="C1671" s="191" t="s">
        <v>781</v>
      </c>
      <c r="D1671" s="191" t="s">
        <v>2472</v>
      </c>
      <c r="E1671" s="191" t="s">
        <v>2596</v>
      </c>
      <c r="F1671" s="191" t="s">
        <v>2596</v>
      </c>
      <c r="G1671" s="191">
        <v>7</v>
      </c>
      <c r="H1671" s="192">
        <v>0</v>
      </c>
      <c r="I1671" s="192">
        <v>133.18</v>
      </c>
      <c r="J1671" s="192">
        <f>SUM(H1671:I1671)</f>
        <v>133.18</v>
      </c>
    </row>
    <row r="1672" spans="1:10" outlineLevel="2">
      <c r="A1672" s="191" t="s">
        <v>798</v>
      </c>
      <c r="B1672" s="191" t="s">
        <v>780</v>
      </c>
      <c r="C1672" s="191" t="s">
        <v>781</v>
      </c>
      <c r="D1672" s="191" t="s">
        <v>2473</v>
      </c>
      <c r="E1672" s="191" t="s">
        <v>2732</v>
      </c>
      <c r="F1672" s="191" t="s">
        <v>2664</v>
      </c>
      <c r="G1672" s="191">
        <v>14</v>
      </c>
      <c r="H1672" s="192">
        <v>0</v>
      </c>
      <c r="I1672" s="192">
        <v>266.36</v>
      </c>
      <c r="J1672" s="192">
        <f>SUM(H1672:I1672)</f>
        <v>266.36</v>
      </c>
    </row>
    <row r="1673" spans="1:10" outlineLevel="2">
      <c r="A1673" s="191" t="s">
        <v>798</v>
      </c>
      <c r="B1673" s="191" t="s">
        <v>780</v>
      </c>
      <c r="C1673" s="191" t="s">
        <v>781</v>
      </c>
      <c r="D1673" s="191" t="s">
        <v>2474</v>
      </c>
      <c r="E1673" s="191" t="s">
        <v>2703</v>
      </c>
      <c r="F1673" s="191" t="s">
        <v>2678</v>
      </c>
      <c r="G1673" s="191">
        <v>14</v>
      </c>
      <c r="H1673" s="192">
        <v>0</v>
      </c>
      <c r="I1673" s="192">
        <v>267.66000000000003</v>
      </c>
      <c r="J1673" s="192">
        <f>SUM(H1673:I1673)</f>
        <v>267.66000000000003</v>
      </c>
    </row>
    <row r="1674" spans="1:10" outlineLevel="2">
      <c r="A1674" s="191" t="s">
        <v>798</v>
      </c>
      <c r="B1674" s="191" t="s">
        <v>780</v>
      </c>
      <c r="C1674" s="191" t="s">
        <v>781</v>
      </c>
      <c r="D1674" s="191" t="s">
        <v>2475</v>
      </c>
      <c r="E1674" s="191" t="s">
        <v>2733</v>
      </c>
      <c r="F1674" s="191" t="s">
        <v>2713</v>
      </c>
      <c r="G1674" s="191">
        <v>21</v>
      </c>
      <c r="H1674" s="192">
        <v>0</v>
      </c>
      <c r="I1674" s="192">
        <v>399.54</v>
      </c>
      <c r="J1674" s="192">
        <f>SUM(H1674:I1674)</f>
        <v>399.54</v>
      </c>
    </row>
    <row r="1675" spans="1:10" outlineLevel="2">
      <c r="A1675" s="191" t="s">
        <v>799</v>
      </c>
      <c r="B1675" s="191" t="s">
        <v>780</v>
      </c>
      <c r="C1675" s="191" t="s">
        <v>781</v>
      </c>
      <c r="D1675" s="191" t="s">
        <v>2443</v>
      </c>
      <c r="E1675" s="191" t="s">
        <v>2632</v>
      </c>
      <c r="F1675" s="191" t="s">
        <v>2632</v>
      </c>
      <c r="G1675" s="191">
        <v>7</v>
      </c>
      <c r="H1675" s="192">
        <v>0</v>
      </c>
      <c r="I1675" s="192">
        <v>136.59</v>
      </c>
      <c r="J1675" s="192">
        <f>SUM(H1675:I1675)</f>
        <v>136.59</v>
      </c>
    </row>
    <row r="1676" spans="1:10" outlineLevel="2">
      <c r="A1676" s="191" t="s">
        <v>799</v>
      </c>
      <c r="B1676" s="191" t="s">
        <v>780</v>
      </c>
      <c r="C1676" s="191" t="s">
        <v>781</v>
      </c>
      <c r="D1676" s="191" t="s">
        <v>2476</v>
      </c>
      <c r="E1676" s="191" t="s">
        <v>1489</v>
      </c>
      <c r="F1676" s="191" t="s">
        <v>1490</v>
      </c>
      <c r="G1676" s="191">
        <v>14</v>
      </c>
      <c r="H1676" s="192">
        <v>0</v>
      </c>
      <c r="I1676" s="192">
        <v>277.94</v>
      </c>
      <c r="J1676" s="192">
        <f>SUM(H1676:I1676)</f>
        <v>277.94</v>
      </c>
    </row>
    <row r="1677" spans="1:10" outlineLevel="2">
      <c r="A1677" s="191" t="s">
        <v>800</v>
      </c>
      <c r="B1677" s="191" t="s">
        <v>780</v>
      </c>
      <c r="C1677" s="191" t="s">
        <v>781</v>
      </c>
      <c r="D1677" s="191" t="s">
        <v>2436</v>
      </c>
      <c r="E1677" s="191" t="s">
        <v>2619</v>
      </c>
      <c r="F1677" s="191" t="s">
        <v>2619</v>
      </c>
      <c r="G1677" s="191">
        <v>7</v>
      </c>
      <c r="H1677" s="192">
        <v>0</v>
      </c>
      <c r="I1677" s="192">
        <v>152.35</v>
      </c>
      <c r="J1677" s="192">
        <f>SUM(H1677:I1677)</f>
        <v>152.35</v>
      </c>
    </row>
    <row r="1678" spans="1:10" outlineLevel="2">
      <c r="A1678" s="191" t="s">
        <v>800</v>
      </c>
      <c r="B1678" s="191" t="s">
        <v>780</v>
      </c>
      <c r="C1678" s="191" t="s">
        <v>781</v>
      </c>
      <c r="D1678" s="191" t="s">
        <v>2439</v>
      </c>
      <c r="E1678" s="191" t="s">
        <v>2639</v>
      </c>
      <c r="F1678" s="191" t="s">
        <v>2608</v>
      </c>
      <c r="G1678" s="191">
        <v>14</v>
      </c>
      <c r="H1678" s="192">
        <v>0</v>
      </c>
      <c r="I1678" s="192">
        <v>304.7</v>
      </c>
      <c r="J1678" s="192">
        <f>SUM(H1678:I1678)</f>
        <v>304.7</v>
      </c>
    </row>
    <row r="1679" spans="1:10" outlineLevel="2">
      <c r="A1679" s="191" t="s">
        <v>800</v>
      </c>
      <c r="B1679" s="191" t="s">
        <v>780</v>
      </c>
      <c r="C1679" s="191" t="s">
        <v>781</v>
      </c>
      <c r="D1679" s="191" t="s">
        <v>2477</v>
      </c>
      <c r="E1679" s="191" t="s">
        <v>2757</v>
      </c>
      <c r="F1679" s="191" t="s">
        <v>2661</v>
      </c>
      <c r="G1679" s="191">
        <v>35</v>
      </c>
      <c r="H1679" s="192">
        <v>0</v>
      </c>
      <c r="I1679" s="192">
        <v>761.75</v>
      </c>
      <c r="J1679" s="192">
        <f>SUM(H1679:I1679)</f>
        <v>761.75</v>
      </c>
    </row>
    <row r="1680" spans="1:10" outlineLevel="2">
      <c r="A1680" s="191" t="s">
        <v>801</v>
      </c>
      <c r="B1680" s="191" t="s">
        <v>780</v>
      </c>
      <c r="C1680" s="191" t="s">
        <v>781</v>
      </c>
      <c r="D1680" s="191" t="s">
        <v>2478</v>
      </c>
      <c r="E1680" s="191" t="s">
        <v>2715</v>
      </c>
      <c r="F1680" s="191" t="s">
        <v>2715</v>
      </c>
      <c r="G1680" s="191">
        <v>7</v>
      </c>
      <c r="H1680" s="192">
        <v>0</v>
      </c>
      <c r="I1680" s="192">
        <v>152.35</v>
      </c>
      <c r="J1680" s="192">
        <f>SUM(H1680:I1680)</f>
        <v>152.35</v>
      </c>
    </row>
    <row r="1681" spans="1:10" outlineLevel="2">
      <c r="A1681" s="191" t="s">
        <v>801</v>
      </c>
      <c r="B1681" s="191" t="s">
        <v>780</v>
      </c>
      <c r="C1681" s="191" t="s">
        <v>781</v>
      </c>
      <c r="D1681" s="191" t="s">
        <v>2479</v>
      </c>
      <c r="E1681" s="191" t="s">
        <v>2613</v>
      </c>
      <c r="F1681" s="191" t="s">
        <v>2613</v>
      </c>
      <c r="G1681" s="191">
        <v>7</v>
      </c>
      <c r="H1681" s="192">
        <v>0</v>
      </c>
      <c r="I1681" s="192">
        <v>152.35</v>
      </c>
      <c r="J1681" s="192">
        <f>SUM(H1681:I1681)</f>
        <v>152.35</v>
      </c>
    </row>
    <row r="1682" spans="1:10" outlineLevel="2">
      <c r="A1682" s="191" t="s">
        <v>801</v>
      </c>
      <c r="B1682" s="191" t="s">
        <v>780</v>
      </c>
      <c r="C1682" s="191" t="s">
        <v>781</v>
      </c>
      <c r="D1682" s="191" t="s">
        <v>2480</v>
      </c>
      <c r="E1682" s="191" t="s">
        <v>2727</v>
      </c>
      <c r="F1682" s="191" t="s">
        <v>2727</v>
      </c>
      <c r="G1682" s="191">
        <v>7</v>
      </c>
      <c r="H1682" s="192">
        <v>0</v>
      </c>
      <c r="I1682" s="192">
        <v>152.35</v>
      </c>
      <c r="J1682" s="192">
        <f>SUM(H1682:I1682)</f>
        <v>152.35</v>
      </c>
    </row>
    <row r="1683" spans="1:10" outlineLevel="2">
      <c r="A1683" s="191" t="s">
        <v>801</v>
      </c>
      <c r="B1683" s="191" t="s">
        <v>780</v>
      </c>
      <c r="C1683" s="191" t="s">
        <v>781</v>
      </c>
      <c r="D1683" s="191" t="s">
        <v>2481</v>
      </c>
      <c r="E1683" s="191" t="s">
        <v>2690</v>
      </c>
      <c r="F1683" s="191" t="s">
        <v>2690</v>
      </c>
      <c r="G1683" s="191">
        <v>7</v>
      </c>
      <c r="H1683" s="192">
        <v>0</v>
      </c>
      <c r="I1683" s="192">
        <v>152.35</v>
      </c>
      <c r="J1683" s="192">
        <f>SUM(H1683:I1683)</f>
        <v>152.35</v>
      </c>
    </row>
    <row r="1684" spans="1:10" outlineLevel="2">
      <c r="A1684" s="191" t="s">
        <v>801</v>
      </c>
      <c r="B1684" s="191" t="s">
        <v>780</v>
      </c>
      <c r="C1684" s="191" t="s">
        <v>781</v>
      </c>
      <c r="D1684" s="191" t="s">
        <v>2482</v>
      </c>
      <c r="E1684" s="191" t="s">
        <v>2593</v>
      </c>
      <c r="F1684" s="191" t="s">
        <v>2593</v>
      </c>
      <c r="G1684" s="191">
        <v>7</v>
      </c>
      <c r="H1684" s="192">
        <v>0</v>
      </c>
      <c r="I1684" s="192">
        <v>152.35</v>
      </c>
      <c r="J1684" s="192">
        <f>SUM(H1684:I1684)</f>
        <v>152.35</v>
      </c>
    </row>
    <row r="1685" spans="1:10" outlineLevel="2">
      <c r="A1685" s="191" t="s">
        <v>801</v>
      </c>
      <c r="B1685" s="191" t="s">
        <v>780</v>
      </c>
      <c r="C1685" s="191" t="s">
        <v>781</v>
      </c>
      <c r="D1685" s="191" t="s">
        <v>2483</v>
      </c>
      <c r="E1685" s="191" t="s">
        <v>2700</v>
      </c>
      <c r="F1685" s="191" t="s">
        <v>2614</v>
      </c>
      <c r="G1685" s="191">
        <v>14</v>
      </c>
      <c r="H1685" s="192">
        <v>0</v>
      </c>
      <c r="I1685" s="192">
        <v>304.7</v>
      </c>
      <c r="J1685" s="192">
        <f>SUM(H1685:I1685)</f>
        <v>304.7</v>
      </c>
    </row>
    <row r="1686" spans="1:10" outlineLevel="2">
      <c r="A1686" s="191" t="s">
        <v>801</v>
      </c>
      <c r="B1686" s="191" t="s">
        <v>780</v>
      </c>
      <c r="C1686" s="191" t="s">
        <v>781</v>
      </c>
      <c r="D1686" s="191" t="s">
        <v>2484</v>
      </c>
      <c r="E1686" s="191" t="s">
        <v>2689</v>
      </c>
      <c r="F1686" s="191" t="s">
        <v>2661</v>
      </c>
      <c r="G1686" s="191">
        <v>14</v>
      </c>
      <c r="H1686" s="192">
        <v>0</v>
      </c>
      <c r="I1686" s="192">
        <v>304.7</v>
      </c>
      <c r="J1686" s="192">
        <f>SUM(H1686:I1686)</f>
        <v>304.7</v>
      </c>
    </row>
    <row r="1687" spans="1:10" outlineLevel="2">
      <c r="A1687" s="191" t="s">
        <v>802</v>
      </c>
      <c r="B1687" s="191" t="s">
        <v>780</v>
      </c>
      <c r="C1687" s="191" t="s">
        <v>781</v>
      </c>
      <c r="D1687" s="191" t="s">
        <v>2472</v>
      </c>
      <c r="E1687" s="191" t="s">
        <v>2596</v>
      </c>
      <c r="F1687" s="191" t="s">
        <v>2596</v>
      </c>
      <c r="G1687" s="191">
        <v>7</v>
      </c>
      <c r="H1687" s="192">
        <v>0</v>
      </c>
      <c r="I1687" s="192">
        <v>136.59</v>
      </c>
      <c r="J1687" s="192">
        <f>SUM(H1687:I1687)</f>
        <v>136.59</v>
      </c>
    </row>
    <row r="1688" spans="1:10" outlineLevel="2">
      <c r="A1688" s="191" t="s">
        <v>802</v>
      </c>
      <c r="B1688" s="191" t="s">
        <v>780</v>
      </c>
      <c r="C1688" s="191" t="s">
        <v>781</v>
      </c>
      <c r="D1688" s="191" t="s">
        <v>2485</v>
      </c>
      <c r="E1688" s="191" t="s">
        <v>1486</v>
      </c>
      <c r="F1688" s="191" t="s">
        <v>1486</v>
      </c>
      <c r="G1688" s="191">
        <v>7</v>
      </c>
      <c r="H1688" s="192">
        <v>0</v>
      </c>
      <c r="I1688" s="192">
        <v>136.59</v>
      </c>
      <c r="J1688" s="192">
        <f>SUM(H1688:I1688)</f>
        <v>136.59</v>
      </c>
    </row>
    <row r="1689" spans="1:10" outlineLevel="2">
      <c r="A1689" s="191" t="s">
        <v>802</v>
      </c>
      <c r="B1689" s="191" t="s">
        <v>780</v>
      </c>
      <c r="C1689" s="191" t="s">
        <v>781</v>
      </c>
      <c r="D1689" s="191" t="s">
        <v>811</v>
      </c>
      <c r="E1689" s="191" t="s">
        <v>1496</v>
      </c>
      <c r="F1689" s="191" t="s">
        <v>1496</v>
      </c>
      <c r="G1689" s="191">
        <v>7</v>
      </c>
      <c r="H1689" s="192">
        <v>0</v>
      </c>
      <c r="I1689" s="192">
        <v>136.59</v>
      </c>
      <c r="J1689" s="192">
        <f>SUM(H1689:I1689)</f>
        <v>136.59</v>
      </c>
    </row>
    <row r="1690" spans="1:10" outlineLevel="2">
      <c r="A1690" s="191" t="s">
        <v>802</v>
      </c>
      <c r="B1690" s="191" t="s">
        <v>780</v>
      </c>
      <c r="C1690" s="191" t="s">
        <v>781</v>
      </c>
      <c r="D1690" s="191" t="s">
        <v>2486</v>
      </c>
      <c r="E1690" s="191" t="s">
        <v>2750</v>
      </c>
      <c r="F1690" s="191" t="s">
        <v>2750</v>
      </c>
      <c r="G1690" s="191">
        <v>7</v>
      </c>
      <c r="H1690" s="192">
        <v>0</v>
      </c>
      <c r="I1690" s="192">
        <v>178.44</v>
      </c>
      <c r="J1690" s="192">
        <f>SUM(H1690:I1690)</f>
        <v>178.44</v>
      </c>
    </row>
    <row r="1691" spans="1:10" outlineLevel="2">
      <c r="A1691" s="191" t="s">
        <v>802</v>
      </c>
      <c r="B1691" s="191" t="s">
        <v>780</v>
      </c>
      <c r="C1691" s="191" t="s">
        <v>781</v>
      </c>
      <c r="D1691" s="191" t="s">
        <v>2487</v>
      </c>
      <c r="E1691" s="191" t="s">
        <v>2611</v>
      </c>
      <c r="F1691" s="191" t="s">
        <v>2612</v>
      </c>
      <c r="G1691" s="191">
        <v>14</v>
      </c>
      <c r="H1691" s="192">
        <v>0</v>
      </c>
      <c r="I1691" s="192">
        <v>273.18</v>
      </c>
      <c r="J1691" s="192">
        <f>SUM(H1691:I1691)</f>
        <v>273.18</v>
      </c>
    </row>
    <row r="1692" spans="1:10" outlineLevel="2">
      <c r="A1692" s="191" t="s">
        <v>802</v>
      </c>
      <c r="B1692" s="191" t="s">
        <v>780</v>
      </c>
      <c r="C1692" s="191" t="s">
        <v>781</v>
      </c>
      <c r="D1692" s="191" t="s">
        <v>2488</v>
      </c>
      <c r="E1692" s="191" t="s">
        <v>2631</v>
      </c>
      <c r="F1692" s="191" t="s">
        <v>2630</v>
      </c>
      <c r="G1692" s="191">
        <v>14</v>
      </c>
      <c r="H1692" s="192">
        <v>0</v>
      </c>
      <c r="I1692" s="192">
        <v>274.5</v>
      </c>
      <c r="J1692" s="192">
        <f>SUM(H1692:I1692)</f>
        <v>274.5</v>
      </c>
    </row>
    <row r="1693" spans="1:10" outlineLevel="2">
      <c r="A1693" s="191" t="s">
        <v>803</v>
      </c>
      <c r="B1693" s="191" t="s">
        <v>189</v>
      </c>
      <c r="C1693" s="191" t="s">
        <v>781</v>
      </c>
      <c r="D1693" s="191" t="s">
        <v>2489</v>
      </c>
      <c r="E1693" s="191" t="s">
        <v>2594</v>
      </c>
      <c r="F1693" s="191" t="s">
        <v>2588</v>
      </c>
      <c r="G1693" s="191">
        <v>14</v>
      </c>
      <c r="H1693" s="192">
        <v>0</v>
      </c>
      <c r="I1693" s="192">
        <v>135.06</v>
      </c>
      <c r="J1693" s="192">
        <f>SUM(H1693:I1693)</f>
        <v>135.06</v>
      </c>
    </row>
    <row r="1694" spans="1:10" outlineLevel="2">
      <c r="A1694" s="191" t="s">
        <v>803</v>
      </c>
      <c r="B1694" s="191" t="s">
        <v>780</v>
      </c>
      <c r="C1694" s="191" t="s">
        <v>781</v>
      </c>
      <c r="D1694" s="191" t="s">
        <v>2449</v>
      </c>
      <c r="E1694" s="191" t="s">
        <v>2631</v>
      </c>
      <c r="F1694" s="191" t="s">
        <v>2631</v>
      </c>
      <c r="G1694" s="191">
        <v>7</v>
      </c>
      <c r="H1694" s="192">
        <v>0</v>
      </c>
      <c r="I1694" s="192">
        <v>147.03</v>
      </c>
      <c r="J1694" s="192">
        <f>SUM(H1694:I1694)</f>
        <v>147.03</v>
      </c>
    </row>
    <row r="1695" spans="1:10" outlineLevel="2">
      <c r="A1695" s="191" t="s">
        <v>803</v>
      </c>
      <c r="B1695" s="191" t="s">
        <v>780</v>
      </c>
      <c r="C1695" s="191" t="s">
        <v>781</v>
      </c>
      <c r="D1695" s="191" t="s">
        <v>2490</v>
      </c>
      <c r="E1695" s="191" t="s">
        <v>2603</v>
      </c>
      <c r="F1695" s="191" t="s">
        <v>2603</v>
      </c>
      <c r="G1695" s="191">
        <v>7</v>
      </c>
      <c r="H1695" s="192">
        <v>0</v>
      </c>
      <c r="I1695" s="192">
        <v>137.6</v>
      </c>
      <c r="J1695" s="192">
        <f>SUM(H1695:I1695)</f>
        <v>137.6</v>
      </c>
    </row>
    <row r="1696" spans="1:10" outlineLevel="2">
      <c r="A1696" s="191" t="s">
        <v>803</v>
      </c>
      <c r="B1696" s="191" t="s">
        <v>780</v>
      </c>
      <c r="C1696" s="191" t="s">
        <v>781</v>
      </c>
      <c r="D1696" s="191" t="s">
        <v>2491</v>
      </c>
      <c r="E1696" s="191" t="s">
        <v>2676</v>
      </c>
      <c r="F1696" s="191" t="s">
        <v>2609</v>
      </c>
      <c r="G1696" s="191">
        <v>21</v>
      </c>
      <c r="H1696" s="192">
        <v>0</v>
      </c>
      <c r="I1696" s="192">
        <v>441.09</v>
      </c>
      <c r="J1696" s="192">
        <f>SUM(H1696:I1696)</f>
        <v>441.09</v>
      </c>
    </row>
    <row r="1697" spans="1:10" outlineLevel="2">
      <c r="A1697" s="191" t="s">
        <v>804</v>
      </c>
      <c r="B1697" s="191" t="s">
        <v>780</v>
      </c>
      <c r="C1697" s="191" t="s">
        <v>781</v>
      </c>
      <c r="D1697" s="191" t="s">
        <v>2492</v>
      </c>
      <c r="E1697" s="191" t="s">
        <v>2588</v>
      </c>
      <c r="F1697" s="191" t="s">
        <v>2588</v>
      </c>
      <c r="G1697" s="191">
        <v>7</v>
      </c>
      <c r="H1697" s="192">
        <v>0</v>
      </c>
      <c r="I1697" s="192">
        <v>138.29</v>
      </c>
      <c r="J1697" s="192">
        <f>SUM(H1697:I1697)</f>
        <v>138.29</v>
      </c>
    </row>
    <row r="1698" spans="1:10" outlineLevel="2">
      <c r="A1698" s="191" t="s">
        <v>805</v>
      </c>
      <c r="B1698" s="191" t="s">
        <v>780</v>
      </c>
      <c r="C1698" s="191" t="s">
        <v>781</v>
      </c>
      <c r="D1698" s="191" t="s">
        <v>2493</v>
      </c>
      <c r="E1698" s="191" t="s">
        <v>2651</v>
      </c>
      <c r="F1698" s="191" t="s">
        <v>2684</v>
      </c>
      <c r="G1698" s="191">
        <v>14</v>
      </c>
      <c r="H1698" s="192">
        <v>0</v>
      </c>
      <c r="I1698" s="192">
        <v>273.18</v>
      </c>
      <c r="J1698" s="192">
        <f>SUM(H1698:I1698)</f>
        <v>273.18</v>
      </c>
    </row>
    <row r="1699" spans="1:10" outlineLevel="2">
      <c r="A1699" s="191" t="s">
        <v>805</v>
      </c>
      <c r="B1699" s="191" t="s">
        <v>780</v>
      </c>
      <c r="C1699" s="191" t="s">
        <v>781</v>
      </c>
      <c r="D1699" s="191" t="s">
        <v>2494</v>
      </c>
      <c r="E1699" s="191" t="s">
        <v>2669</v>
      </c>
      <c r="F1699" s="191" t="s">
        <v>2589</v>
      </c>
      <c r="G1699" s="191">
        <v>21</v>
      </c>
      <c r="H1699" s="192">
        <v>0</v>
      </c>
      <c r="I1699" s="192">
        <v>409.77</v>
      </c>
      <c r="J1699" s="192">
        <f>SUM(H1699:I1699)</f>
        <v>409.77</v>
      </c>
    </row>
    <row r="1700" spans="1:10" outlineLevel="2">
      <c r="A1700" s="191" t="s">
        <v>805</v>
      </c>
      <c r="B1700" s="191" t="s">
        <v>780</v>
      </c>
      <c r="C1700" s="191" t="s">
        <v>781</v>
      </c>
      <c r="D1700" s="191" t="s">
        <v>2495</v>
      </c>
      <c r="E1700" s="191" t="s">
        <v>2703</v>
      </c>
      <c r="F1700" s="191" t="s">
        <v>2676</v>
      </c>
      <c r="G1700" s="191">
        <v>21</v>
      </c>
      <c r="H1700" s="192">
        <v>0</v>
      </c>
      <c r="I1700" s="192">
        <v>416.91</v>
      </c>
      <c r="J1700" s="192">
        <f>SUM(H1700:I1700)</f>
        <v>416.91</v>
      </c>
    </row>
    <row r="1701" spans="1:10" outlineLevel="2">
      <c r="A1701" s="191" t="s">
        <v>806</v>
      </c>
      <c r="B1701" s="191" t="s">
        <v>152</v>
      </c>
      <c r="C1701" s="191" t="s">
        <v>781</v>
      </c>
      <c r="D1701" s="191" t="s">
        <v>2442</v>
      </c>
      <c r="E1701" s="191" t="s">
        <v>1485</v>
      </c>
      <c r="F1701" s="191" t="s">
        <v>1486</v>
      </c>
      <c r="G1701" s="191">
        <v>21</v>
      </c>
      <c r="H1701" s="192">
        <v>0</v>
      </c>
      <c r="I1701" s="192">
        <v>625.38</v>
      </c>
      <c r="J1701" s="192">
        <f>SUM(H1701:I1701)</f>
        <v>625.38</v>
      </c>
    </row>
    <row r="1702" spans="1:10" outlineLevel="2">
      <c r="A1702" s="191" t="s">
        <v>806</v>
      </c>
      <c r="B1702" s="191" t="s">
        <v>152</v>
      </c>
      <c r="C1702" s="191" t="s">
        <v>781</v>
      </c>
      <c r="D1702" s="191" t="s">
        <v>2449</v>
      </c>
      <c r="E1702" s="191" t="s">
        <v>2631</v>
      </c>
      <c r="F1702" s="191" t="s">
        <v>2617</v>
      </c>
      <c r="G1702" s="191">
        <v>21</v>
      </c>
      <c r="H1702" s="192">
        <v>0</v>
      </c>
      <c r="I1702" s="192">
        <v>432.96</v>
      </c>
      <c r="J1702" s="192">
        <f>SUM(H1702:I1702)</f>
        <v>432.96</v>
      </c>
    </row>
    <row r="1703" spans="1:10" outlineLevel="2">
      <c r="A1703" s="191" t="s">
        <v>807</v>
      </c>
      <c r="B1703" s="191" t="s">
        <v>780</v>
      </c>
      <c r="C1703" s="191" t="s">
        <v>781</v>
      </c>
      <c r="D1703" s="191" t="s">
        <v>2496</v>
      </c>
      <c r="E1703" s="191" t="s">
        <v>2585</v>
      </c>
      <c r="F1703" s="191" t="s">
        <v>2585</v>
      </c>
      <c r="G1703" s="191">
        <v>7</v>
      </c>
      <c r="H1703" s="192">
        <v>0</v>
      </c>
      <c r="I1703" s="192">
        <v>79.86</v>
      </c>
      <c r="J1703" s="192">
        <f>SUM(H1703:I1703)</f>
        <v>79.86</v>
      </c>
    </row>
    <row r="1704" spans="1:10" outlineLevel="2">
      <c r="A1704" s="191" t="s">
        <v>807</v>
      </c>
      <c r="B1704" s="191" t="s">
        <v>780</v>
      </c>
      <c r="C1704" s="191" t="s">
        <v>781</v>
      </c>
      <c r="D1704" s="191" t="s">
        <v>2497</v>
      </c>
      <c r="E1704" s="191" t="s">
        <v>2699</v>
      </c>
      <c r="F1704" s="191" t="s">
        <v>2647</v>
      </c>
      <c r="G1704" s="191">
        <v>14</v>
      </c>
      <c r="H1704" s="192">
        <v>0</v>
      </c>
      <c r="I1704" s="192">
        <v>159.72</v>
      </c>
      <c r="J1704" s="192">
        <f>SUM(H1704:I1704)</f>
        <v>159.72</v>
      </c>
    </row>
    <row r="1705" spans="1:10" outlineLevel="2">
      <c r="A1705" s="191" t="s">
        <v>808</v>
      </c>
      <c r="B1705" s="191" t="s">
        <v>780</v>
      </c>
      <c r="C1705" s="191" t="s">
        <v>781</v>
      </c>
      <c r="D1705" s="191" t="s">
        <v>2492</v>
      </c>
      <c r="E1705" s="191" t="s">
        <v>2588</v>
      </c>
      <c r="F1705" s="191" t="s">
        <v>2588</v>
      </c>
      <c r="G1705" s="191">
        <v>7</v>
      </c>
      <c r="H1705" s="192">
        <v>0</v>
      </c>
      <c r="I1705" s="192">
        <v>150.63999999999999</v>
      </c>
      <c r="J1705" s="192">
        <f>SUM(H1705:I1705)</f>
        <v>150.63999999999999</v>
      </c>
    </row>
    <row r="1706" spans="1:10" outlineLevel="2">
      <c r="A1706" s="191" t="s">
        <v>808</v>
      </c>
      <c r="B1706" s="191" t="s">
        <v>780</v>
      </c>
      <c r="C1706" s="191" t="s">
        <v>781</v>
      </c>
      <c r="D1706" s="191" t="s">
        <v>2462</v>
      </c>
      <c r="E1706" s="191" t="s">
        <v>2675</v>
      </c>
      <c r="F1706" s="191" t="s">
        <v>2675</v>
      </c>
      <c r="G1706" s="191">
        <v>7</v>
      </c>
      <c r="H1706" s="192">
        <v>0</v>
      </c>
      <c r="I1706" s="192">
        <v>150.63999999999999</v>
      </c>
      <c r="J1706" s="192">
        <f>SUM(H1706:I1706)</f>
        <v>150.63999999999999</v>
      </c>
    </row>
    <row r="1707" spans="1:10" outlineLevel="2">
      <c r="A1707" s="191" t="s">
        <v>808</v>
      </c>
      <c r="B1707" s="191" t="s">
        <v>780</v>
      </c>
      <c r="C1707" s="191" t="s">
        <v>781</v>
      </c>
      <c r="D1707" s="191" t="s">
        <v>2498</v>
      </c>
      <c r="E1707" s="191" t="s">
        <v>2603</v>
      </c>
      <c r="F1707" s="191" t="s">
        <v>2603</v>
      </c>
      <c r="G1707" s="191">
        <v>7</v>
      </c>
      <c r="H1707" s="192">
        <v>0</v>
      </c>
      <c r="I1707" s="192">
        <v>146.5</v>
      </c>
      <c r="J1707" s="192">
        <f>SUM(H1707:I1707)</f>
        <v>146.5</v>
      </c>
    </row>
    <row r="1708" spans="1:10" outlineLevel="2">
      <c r="A1708" s="191" t="s">
        <v>808</v>
      </c>
      <c r="B1708" s="191" t="s">
        <v>780</v>
      </c>
      <c r="C1708" s="191" t="s">
        <v>781</v>
      </c>
      <c r="D1708" s="191" t="s">
        <v>2499</v>
      </c>
      <c r="E1708" s="191" t="s">
        <v>2595</v>
      </c>
      <c r="F1708" s="191" t="s">
        <v>2596</v>
      </c>
      <c r="G1708" s="191">
        <v>14</v>
      </c>
      <c r="H1708" s="192">
        <v>0</v>
      </c>
      <c r="I1708" s="192">
        <v>301.27999999999997</v>
      </c>
      <c r="J1708" s="192">
        <f>SUM(H1708:I1708)</f>
        <v>301.27999999999997</v>
      </c>
    </row>
    <row r="1709" spans="1:10" outlineLevel="2">
      <c r="A1709" s="191" t="s">
        <v>808</v>
      </c>
      <c r="B1709" s="191" t="s">
        <v>780</v>
      </c>
      <c r="C1709" s="191" t="s">
        <v>781</v>
      </c>
      <c r="D1709" s="191" t="s">
        <v>2500</v>
      </c>
      <c r="E1709" s="191" t="s">
        <v>2746</v>
      </c>
      <c r="F1709" s="191" t="s">
        <v>2585</v>
      </c>
      <c r="G1709" s="191" t="s">
        <v>2760</v>
      </c>
      <c r="H1709" s="192">
        <v>0</v>
      </c>
      <c r="I1709" s="192">
        <v>0</v>
      </c>
      <c r="J1709" s="192">
        <f>SUM(H1709:I1709)</f>
        <v>0</v>
      </c>
    </row>
    <row r="1710" spans="1:10" outlineLevel="2">
      <c r="A1710" s="191" t="s">
        <v>809</v>
      </c>
      <c r="B1710" s="191" t="s">
        <v>780</v>
      </c>
      <c r="C1710" s="191" t="s">
        <v>781</v>
      </c>
      <c r="D1710" s="191" t="s">
        <v>2501</v>
      </c>
      <c r="E1710" s="191" t="s">
        <v>1500</v>
      </c>
      <c r="F1710" s="191" t="s">
        <v>1500</v>
      </c>
      <c r="G1710" s="191">
        <v>7</v>
      </c>
      <c r="H1710" s="192">
        <v>0</v>
      </c>
      <c r="I1710" s="192">
        <v>140.68</v>
      </c>
      <c r="J1710" s="192">
        <f>SUM(H1710:I1710)</f>
        <v>140.68</v>
      </c>
    </row>
    <row r="1711" spans="1:10" outlineLevel="2">
      <c r="A1711" s="191" t="s">
        <v>809</v>
      </c>
      <c r="B1711" s="191" t="s">
        <v>780</v>
      </c>
      <c r="C1711" s="191" t="s">
        <v>781</v>
      </c>
      <c r="D1711" s="191" t="s">
        <v>2502</v>
      </c>
      <c r="E1711" s="191" t="s">
        <v>2724</v>
      </c>
      <c r="F1711" s="191" t="s">
        <v>2640</v>
      </c>
      <c r="G1711" s="191">
        <v>28</v>
      </c>
      <c r="H1711" s="192">
        <v>0</v>
      </c>
      <c r="I1711" s="192">
        <v>562.72</v>
      </c>
      <c r="J1711" s="192">
        <f>SUM(H1711:I1711)</f>
        <v>562.72</v>
      </c>
    </row>
    <row r="1712" spans="1:10" outlineLevel="2">
      <c r="A1712" s="191" t="s">
        <v>810</v>
      </c>
      <c r="B1712" s="191" t="s">
        <v>780</v>
      </c>
      <c r="C1712" s="191" t="s">
        <v>781</v>
      </c>
      <c r="D1712" s="191" t="s">
        <v>2485</v>
      </c>
      <c r="E1712" s="191" t="s">
        <v>1486</v>
      </c>
      <c r="F1712" s="191" t="s">
        <v>1486</v>
      </c>
      <c r="G1712" s="191">
        <v>7</v>
      </c>
      <c r="H1712" s="192">
        <v>0</v>
      </c>
      <c r="I1712" s="192">
        <v>136.59</v>
      </c>
      <c r="J1712" s="192">
        <f>SUM(H1712:I1712)</f>
        <v>136.59</v>
      </c>
    </row>
    <row r="1713" spans="1:10" outlineLevel="2">
      <c r="A1713" s="191" t="s">
        <v>810</v>
      </c>
      <c r="B1713" s="191" t="s">
        <v>780</v>
      </c>
      <c r="C1713" s="191" t="s">
        <v>781</v>
      </c>
      <c r="D1713" s="191" t="s">
        <v>2503</v>
      </c>
      <c r="E1713" s="191" t="s">
        <v>1496</v>
      </c>
      <c r="F1713" s="191" t="s">
        <v>1496</v>
      </c>
      <c r="G1713" s="191">
        <v>7</v>
      </c>
      <c r="H1713" s="192">
        <v>0</v>
      </c>
      <c r="I1713" s="192">
        <v>136.59</v>
      </c>
      <c r="J1713" s="192">
        <f>SUM(H1713:I1713)</f>
        <v>136.59</v>
      </c>
    </row>
    <row r="1714" spans="1:10" outlineLevel="2">
      <c r="A1714" s="191" t="s">
        <v>810</v>
      </c>
      <c r="B1714" s="191" t="s">
        <v>780</v>
      </c>
      <c r="C1714" s="191" t="s">
        <v>781</v>
      </c>
      <c r="D1714" s="191" t="s">
        <v>2504</v>
      </c>
      <c r="E1714" s="191" t="s">
        <v>2712</v>
      </c>
      <c r="F1714" s="191" t="s">
        <v>2715</v>
      </c>
      <c r="G1714" s="191">
        <v>21</v>
      </c>
      <c r="H1714" s="192">
        <v>0</v>
      </c>
      <c r="I1714" s="192">
        <v>438.27</v>
      </c>
      <c r="J1714" s="192">
        <f>SUM(H1714:I1714)</f>
        <v>438.27</v>
      </c>
    </row>
    <row r="1715" spans="1:10" outlineLevel="2">
      <c r="A1715" s="191" t="s">
        <v>812</v>
      </c>
      <c r="B1715" s="191" t="s">
        <v>780</v>
      </c>
      <c r="C1715" s="191" t="s">
        <v>781</v>
      </c>
      <c r="D1715" s="191" t="s">
        <v>2455</v>
      </c>
      <c r="E1715" s="191" t="s">
        <v>2612</v>
      </c>
      <c r="F1715" s="191" t="s">
        <v>2612</v>
      </c>
      <c r="G1715" s="191">
        <v>7</v>
      </c>
      <c r="H1715" s="192">
        <v>0</v>
      </c>
      <c r="I1715" s="192">
        <v>139.99</v>
      </c>
      <c r="J1715" s="192">
        <f>SUM(H1715:I1715)</f>
        <v>139.99</v>
      </c>
    </row>
    <row r="1716" spans="1:10" outlineLevel="2">
      <c r="A1716" s="191" t="s">
        <v>812</v>
      </c>
      <c r="B1716" s="191" t="s">
        <v>780</v>
      </c>
      <c r="C1716" s="191" t="s">
        <v>781</v>
      </c>
      <c r="D1716" s="191" t="s">
        <v>2457</v>
      </c>
      <c r="E1716" s="191" t="s">
        <v>2658</v>
      </c>
      <c r="F1716" s="191" t="s">
        <v>1482</v>
      </c>
      <c r="G1716" s="191">
        <v>14</v>
      </c>
      <c r="H1716" s="192">
        <v>0</v>
      </c>
      <c r="I1716" s="192">
        <v>279.98</v>
      </c>
      <c r="J1716" s="192">
        <f>SUM(H1716:I1716)</f>
        <v>279.98</v>
      </c>
    </row>
    <row r="1717" spans="1:10" outlineLevel="2">
      <c r="A1717" s="191" t="s">
        <v>812</v>
      </c>
      <c r="B1717" s="191" t="s">
        <v>780</v>
      </c>
      <c r="C1717" s="191" t="s">
        <v>781</v>
      </c>
      <c r="D1717" s="191" t="s">
        <v>2505</v>
      </c>
      <c r="E1717" s="191" t="s">
        <v>2606</v>
      </c>
      <c r="F1717" s="191" t="s">
        <v>1487</v>
      </c>
      <c r="G1717" s="191">
        <v>21</v>
      </c>
      <c r="H1717" s="192">
        <v>0</v>
      </c>
      <c r="I1717" s="192">
        <v>419.97</v>
      </c>
      <c r="J1717" s="192">
        <f>SUM(H1717:I1717)</f>
        <v>419.97</v>
      </c>
    </row>
    <row r="1718" spans="1:10" outlineLevel="2">
      <c r="A1718" s="191" t="s">
        <v>813</v>
      </c>
      <c r="B1718" s="191" t="s">
        <v>112</v>
      </c>
      <c r="C1718" s="191" t="s">
        <v>781</v>
      </c>
      <c r="D1718" s="191" t="s">
        <v>2443</v>
      </c>
      <c r="E1718" s="191" t="s">
        <v>2632</v>
      </c>
      <c r="F1718" s="191" t="s">
        <v>2632</v>
      </c>
      <c r="G1718" s="191">
        <v>7</v>
      </c>
      <c r="H1718" s="192">
        <v>0</v>
      </c>
      <c r="I1718" s="192">
        <v>58.69</v>
      </c>
      <c r="J1718" s="192">
        <f>SUM(H1718:I1718)</f>
        <v>58.69</v>
      </c>
    </row>
    <row r="1719" spans="1:10" outlineLevel="2">
      <c r="A1719" s="191" t="s">
        <v>813</v>
      </c>
      <c r="B1719" s="191" t="s">
        <v>112</v>
      </c>
      <c r="C1719" s="191" t="s">
        <v>781</v>
      </c>
      <c r="D1719" s="191" t="s">
        <v>2506</v>
      </c>
      <c r="E1719" s="191" t="s">
        <v>2611</v>
      </c>
      <c r="F1719" s="191" t="s">
        <v>2612</v>
      </c>
      <c r="G1719" s="191">
        <v>14</v>
      </c>
      <c r="H1719" s="192">
        <v>0</v>
      </c>
      <c r="I1719" s="192">
        <v>117.38</v>
      </c>
      <c r="J1719" s="192">
        <f>SUM(H1719:I1719)</f>
        <v>117.38</v>
      </c>
    </row>
    <row r="1720" spans="1:10" outlineLevel="2">
      <c r="A1720" s="191" t="s">
        <v>813</v>
      </c>
      <c r="B1720" s="191" t="s">
        <v>116</v>
      </c>
      <c r="C1720" s="191" t="s">
        <v>781</v>
      </c>
      <c r="D1720" s="191" t="s">
        <v>2462</v>
      </c>
      <c r="E1720" s="191" t="s">
        <v>1503</v>
      </c>
      <c r="F1720" s="191" t="s">
        <v>1504</v>
      </c>
      <c r="G1720" s="191">
        <v>21</v>
      </c>
      <c r="H1720" s="192">
        <v>0</v>
      </c>
      <c r="I1720" s="192">
        <v>189.33</v>
      </c>
      <c r="J1720" s="192">
        <f>SUM(H1720:I1720)</f>
        <v>189.33</v>
      </c>
    </row>
    <row r="1721" spans="1:10" outlineLevel="1">
      <c r="A1721" s="193" t="s">
        <v>3039</v>
      </c>
      <c r="B1721" s="194"/>
      <c r="C1721" s="194"/>
      <c r="D1721" s="194"/>
      <c r="E1721" s="194"/>
      <c r="F1721" s="194"/>
      <c r="G1721" s="194">
        <f>SUBTOTAL(9,G1619:G1720)</f>
        <v>1337</v>
      </c>
      <c r="H1721" s="195">
        <f>SUBTOTAL(9,H1619:H1720)</f>
        <v>0</v>
      </c>
      <c r="I1721" s="195">
        <f>SUBTOTAL(9,I1619:I1720)</f>
        <v>26118.080000000002</v>
      </c>
      <c r="J1721" s="195">
        <f>SUBTOTAL(9,J1619:J1720)</f>
        <v>26118.080000000002</v>
      </c>
    </row>
    <row r="1722" spans="1:10" outlineLevel="2">
      <c r="A1722" s="191" t="s">
        <v>2967</v>
      </c>
      <c r="B1722" s="191" t="s">
        <v>289</v>
      </c>
      <c r="C1722" s="191" t="s">
        <v>814</v>
      </c>
      <c r="D1722" s="191" t="s">
        <v>2507</v>
      </c>
      <c r="E1722" s="191" t="s">
        <v>2598</v>
      </c>
      <c r="F1722" s="191" t="s">
        <v>2598</v>
      </c>
      <c r="G1722" s="191">
        <v>7</v>
      </c>
      <c r="H1722" s="192">
        <v>0</v>
      </c>
      <c r="I1722" s="192">
        <v>137.25</v>
      </c>
      <c r="J1722" s="192">
        <f>SUM(H1722:I1722)</f>
        <v>137.25</v>
      </c>
    </row>
    <row r="1723" spans="1:10" outlineLevel="2">
      <c r="A1723" s="191" t="s">
        <v>2967</v>
      </c>
      <c r="B1723" s="191" t="s">
        <v>289</v>
      </c>
      <c r="C1723" s="191" t="s">
        <v>814</v>
      </c>
      <c r="D1723" s="191" t="s">
        <v>2508</v>
      </c>
      <c r="E1723" s="191" t="s">
        <v>1490</v>
      </c>
      <c r="F1723" s="191" t="s">
        <v>1490</v>
      </c>
      <c r="G1723" s="191">
        <v>7</v>
      </c>
      <c r="H1723" s="192">
        <v>0</v>
      </c>
      <c r="I1723" s="192">
        <v>137.25</v>
      </c>
      <c r="J1723" s="192">
        <f>SUM(H1723:I1723)</f>
        <v>137.25</v>
      </c>
    </row>
    <row r="1724" spans="1:10" outlineLevel="2">
      <c r="A1724" s="191" t="s">
        <v>2967</v>
      </c>
      <c r="B1724" s="191" t="s">
        <v>289</v>
      </c>
      <c r="C1724" s="191" t="s">
        <v>814</v>
      </c>
      <c r="D1724" s="191" t="s">
        <v>2509</v>
      </c>
      <c r="E1724" s="191" t="s">
        <v>2618</v>
      </c>
      <c r="F1724" s="191" t="s">
        <v>1485</v>
      </c>
      <c r="G1724" s="191" t="s">
        <v>2760</v>
      </c>
      <c r="H1724" s="192">
        <v>0</v>
      </c>
      <c r="I1724" s="192">
        <v>0</v>
      </c>
      <c r="J1724" s="192">
        <f>SUM(H1724:I1724)</f>
        <v>0</v>
      </c>
    </row>
    <row r="1725" spans="1:10" outlineLevel="2">
      <c r="A1725" s="191" t="s">
        <v>2968</v>
      </c>
      <c r="B1725" s="191" t="s">
        <v>289</v>
      </c>
      <c r="C1725" s="191" t="s">
        <v>814</v>
      </c>
      <c r="D1725" s="191" t="s">
        <v>2507</v>
      </c>
      <c r="E1725" s="191" t="s">
        <v>2598</v>
      </c>
      <c r="F1725" s="191" t="s">
        <v>2598</v>
      </c>
      <c r="G1725" s="191">
        <v>7</v>
      </c>
      <c r="H1725" s="192">
        <v>0</v>
      </c>
      <c r="I1725" s="192">
        <v>174.49</v>
      </c>
      <c r="J1725" s="192">
        <f>SUM(H1725:I1725)</f>
        <v>174.49</v>
      </c>
    </row>
    <row r="1726" spans="1:10" outlineLevel="2">
      <c r="A1726" s="191" t="s">
        <v>2968</v>
      </c>
      <c r="B1726" s="191" t="s">
        <v>289</v>
      </c>
      <c r="C1726" s="191" t="s">
        <v>814</v>
      </c>
      <c r="D1726" s="191" t="s">
        <v>2510</v>
      </c>
      <c r="E1726" s="191" t="s">
        <v>2689</v>
      </c>
      <c r="F1726" s="191" t="s">
        <v>2661</v>
      </c>
      <c r="G1726" s="191">
        <v>14</v>
      </c>
      <c r="H1726" s="192">
        <v>0</v>
      </c>
      <c r="I1726" s="192">
        <v>343.88</v>
      </c>
      <c r="J1726" s="192">
        <f>SUM(H1726:I1726)</f>
        <v>343.88</v>
      </c>
    </row>
    <row r="1727" spans="1:10" outlineLevel="2">
      <c r="A1727" s="191" t="s">
        <v>2968</v>
      </c>
      <c r="B1727" s="191" t="s">
        <v>289</v>
      </c>
      <c r="C1727" s="191" t="s">
        <v>814</v>
      </c>
      <c r="D1727" s="191" t="s">
        <v>2511</v>
      </c>
      <c r="E1727" s="191" t="s">
        <v>1485</v>
      </c>
      <c r="F1727" s="191" t="s">
        <v>1486</v>
      </c>
      <c r="G1727" s="191">
        <v>21</v>
      </c>
      <c r="H1727" s="192">
        <v>0</v>
      </c>
      <c r="I1727" s="192">
        <v>515.82000000000005</v>
      </c>
      <c r="J1727" s="192">
        <f>SUM(H1727:I1727)</f>
        <v>515.82000000000005</v>
      </c>
    </row>
    <row r="1728" spans="1:10" outlineLevel="2">
      <c r="A1728" s="191" t="s">
        <v>815</v>
      </c>
      <c r="B1728" s="191" t="s">
        <v>289</v>
      </c>
      <c r="C1728" s="191" t="s">
        <v>814</v>
      </c>
      <c r="D1728" s="191" t="s">
        <v>2507</v>
      </c>
      <c r="E1728" s="191" t="s">
        <v>2598</v>
      </c>
      <c r="F1728" s="191" t="s">
        <v>2598</v>
      </c>
      <c r="G1728" s="191">
        <v>7</v>
      </c>
      <c r="H1728" s="192">
        <v>0</v>
      </c>
      <c r="I1728" s="192">
        <v>153.09</v>
      </c>
      <c r="J1728" s="192">
        <f>SUM(H1728:I1728)</f>
        <v>153.09</v>
      </c>
    </row>
    <row r="1729" spans="1:10" outlineLevel="2">
      <c r="A1729" s="191" t="s">
        <v>815</v>
      </c>
      <c r="B1729" s="191" t="s">
        <v>289</v>
      </c>
      <c r="C1729" s="191" t="s">
        <v>814</v>
      </c>
      <c r="D1729" s="191" t="s">
        <v>2512</v>
      </c>
      <c r="E1729" s="191" t="s">
        <v>2590</v>
      </c>
      <c r="F1729" s="191" t="s">
        <v>2590</v>
      </c>
      <c r="G1729" s="191">
        <v>7</v>
      </c>
      <c r="H1729" s="192">
        <v>0</v>
      </c>
      <c r="I1729" s="192">
        <v>153.09</v>
      </c>
      <c r="J1729" s="192">
        <f>SUM(H1729:I1729)</f>
        <v>153.09</v>
      </c>
    </row>
    <row r="1730" spans="1:10" outlineLevel="2">
      <c r="A1730" s="191" t="s">
        <v>815</v>
      </c>
      <c r="B1730" s="191" t="s">
        <v>289</v>
      </c>
      <c r="C1730" s="191" t="s">
        <v>814</v>
      </c>
      <c r="D1730" s="191" t="s">
        <v>2513</v>
      </c>
      <c r="E1730" s="191" t="s">
        <v>1490</v>
      </c>
      <c r="F1730" s="191" t="s">
        <v>1490</v>
      </c>
      <c r="G1730" s="191">
        <v>7</v>
      </c>
      <c r="H1730" s="192">
        <v>0</v>
      </c>
      <c r="I1730" s="192">
        <v>153.09</v>
      </c>
      <c r="J1730" s="192">
        <f>SUM(H1730:I1730)</f>
        <v>153.09</v>
      </c>
    </row>
    <row r="1731" spans="1:10" outlineLevel="2">
      <c r="A1731" s="191" t="s">
        <v>815</v>
      </c>
      <c r="B1731" s="191" t="s">
        <v>289</v>
      </c>
      <c r="C1731" s="191" t="s">
        <v>814</v>
      </c>
      <c r="D1731" s="191" t="s">
        <v>2514</v>
      </c>
      <c r="E1731" s="191" t="s">
        <v>1484</v>
      </c>
      <c r="F1731" s="191" t="s">
        <v>2618</v>
      </c>
      <c r="G1731" s="191">
        <v>14</v>
      </c>
      <c r="H1731" s="192">
        <v>0</v>
      </c>
      <c r="I1731" s="192">
        <v>304.7</v>
      </c>
      <c r="J1731" s="192">
        <f>SUM(H1731:I1731)</f>
        <v>304.7</v>
      </c>
    </row>
    <row r="1732" spans="1:10" outlineLevel="2">
      <c r="A1732" s="191" t="s">
        <v>816</v>
      </c>
      <c r="B1732" s="191" t="s">
        <v>116</v>
      </c>
      <c r="C1732" s="191" t="s">
        <v>814</v>
      </c>
      <c r="D1732" s="191" t="s">
        <v>2515</v>
      </c>
      <c r="E1732" s="191" t="s">
        <v>2702</v>
      </c>
      <c r="F1732" s="191" t="s">
        <v>2640</v>
      </c>
      <c r="G1732" s="191">
        <v>21</v>
      </c>
      <c r="H1732" s="192">
        <v>0</v>
      </c>
      <c r="I1732" s="192">
        <v>190.26</v>
      </c>
      <c r="J1732" s="192">
        <f>SUM(H1732:I1732)</f>
        <v>190.26</v>
      </c>
    </row>
    <row r="1733" spans="1:10" outlineLevel="2">
      <c r="A1733" s="191" t="s">
        <v>2969</v>
      </c>
      <c r="B1733" s="191" t="s">
        <v>147</v>
      </c>
      <c r="C1733" s="191" t="s">
        <v>814</v>
      </c>
      <c r="D1733" s="191" t="s">
        <v>2516</v>
      </c>
      <c r="E1733" s="191" t="s">
        <v>2683</v>
      </c>
      <c r="F1733" s="191" t="s">
        <v>2612</v>
      </c>
      <c r="G1733" s="191">
        <v>21</v>
      </c>
      <c r="H1733" s="192">
        <v>0</v>
      </c>
      <c r="I1733" s="192">
        <v>166.32</v>
      </c>
      <c r="J1733" s="192">
        <f>SUM(H1733:I1733)</f>
        <v>166.32</v>
      </c>
    </row>
    <row r="1734" spans="1:10" outlineLevel="2">
      <c r="A1734" s="191" t="s">
        <v>2970</v>
      </c>
      <c r="B1734" s="191" t="s">
        <v>289</v>
      </c>
      <c r="C1734" s="191" t="s">
        <v>814</v>
      </c>
      <c r="D1734" s="191" t="s">
        <v>2517</v>
      </c>
      <c r="E1734" s="191" t="s">
        <v>2629</v>
      </c>
      <c r="F1734" s="191" t="s">
        <v>2675</v>
      </c>
      <c r="G1734" s="191">
        <v>28</v>
      </c>
      <c r="H1734" s="192">
        <v>0</v>
      </c>
      <c r="I1734" s="192">
        <v>327.72</v>
      </c>
      <c r="J1734" s="192">
        <f>SUM(H1734:I1734)</f>
        <v>327.72</v>
      </c>
    </row>
    <row r="1735" spans="1:10" outlineLevel="2">
      <c r="A1735" s="191" t="s">
        <v>817</v>
      </c>
      <c r="B1735" s="191" t="s">
        <v>289</v>
      </c>
      <c r="C1735" s="191" t="s">
        <v>814</v>
      </c>
      <c r="D1735" s="191" t="s">
        <v>2518</v>
      </c>
      <c r="E1735" s="191" t="s">
        <v>2744</v>
      </c>
      <c r="F1735" s="191" t="s">
        <v>2664</v>
      </c>
      <c r="G1735" s="191">
        <v>21</v>
      </c>
      <c r="H1735" s="192">
        <v>0</v>
      </c>
      <c r="I1735" s="192">
        <v>510.69</v>
      </c>
      <c r="J1735" s="192">
        <f>SUM(H1735:I1735)</f>
        <v>510.69</v>
      </c>
    </row>
    <row r="1736" spans="1:10" outlineLevel="2">
      <c r="A1736" s="191" t="s">
        <v>817</v>
      </c>
      <c r="B1736" s="191" t="s">
        <v>289</v>
      </c>
      <c r="C1736" s="191" t="s">
        <v>814</v>
      </c>
      <c r="D1736" s="191" t="s">
        <v>2519</v>
      </c>
      <c r="E1736" s="191" t="s">
        <v>2607</v>
      </c>
      <c r="F1736" s="191" t="s">
        <v>1500</v>
      </c>
      <c r="G1736" s="191">
        <v>21</v>
      </c>
      <c r="H1736" s="192">
        <v>0</v>
      </c>
      <c r="I1736" s="192">
        <v>578.4</v>
      </c>
      <c r="J1736" s="192">
        <f>SUM(H1736:I1736)</f>
        <v>578.4</v>
      </c>
    </row>
    <row r="1737" spans="1:10" outlineLevel="2">
      <c r="A1737" s="191" t="s">
        <v>817</v>
      </c>
      <c r="B1737" s="191" t="s">
        <v>289</v>
      </c>
      <c r="C1737" s="191" t="s">
        <v>814</v>
      </c>
      <c r="D1737" s="191" t="s">
        <v>1599</v>
      </c>
      <c r="E1737" s="191" t="s">
        <v>2635</v>
      </c>
      <c r="F1737" s="191" t="s">
        <v>2597</v>
      </c>
      <c r="G1737" s="191">
        <v>28</v>
      </c>
      <c r="H1737" s="192">
        <v>0</v>
      </c>
      <c r="I1737" s="192">
        <v>771.2</v>
      </c>
      <c r="J1737" s="192">
        <f>SUM(H1737:I1737)</f>
        <v>771.2</v>
      </c>
    </row>
    <row r="1738" spans="1:10" outlineLevel="2">
      <c r="A1738" s="191" t="s">
        <v>818</v>
      </c>
      <c r="B1738" s="191" t="s">
        <v>289</v>
      </c>
      <c r="C1738" s="191" t="s">
        <v>814</v>
      </c>
      <c r="D1738" s="191" t="s">
        <v>2520</v>
      </c>
      <c r="E1738" s="191" t="s">
        <v>2696</v>
      </c>
      <c r="F1738" s="191" t="s">
        <v>2696</v>
      </c>
      <c r="G1738" s="191">
        <v>7</v>
      </c>
      <c r="H1738" s="192">
        <v>0</v>
      </c>
      <c r="I1738" s="192">
        <v>153.09</v>
      </c>
      <c r="J1738" s="192">
        <f>SUM(H1738:I1738)</f>
        <v>153.09</v>
      </c>
    </row>
    <row r="1739" spans="1:10" outlineLevel="2">
      <c r="A1739" s="191" t="s">
        <v>818</v>
      </c>
      <c r="B1739" s="191" t="s">
        <v>289</v>
      </c>
      <c r="C1739" s="191" t="s">
        <v>814</v>
      </c>
      <c r="D1739" s="191" t="s">
        <v>2521</v>
      </c>
      <c r="E1739" s="191" t="s">
        <v>2599</v>
      </c>
      <c r="F1739" s="191" t="s">
        <v>2600</v>
      </c>
      <c r="G1739" s="191">
        <v>14</v>
      </c>
      <c r="H1739" s="192">
        <v>0</v>
      </c>
      <c r="I1739" s="192">
        <v>301.27999999999997</v>
      </c>
      <c r="J1739" s="192">
        <f>SUM(H1739:I1739)</f>
        <v>301.27999999999997</v>
      </c>
    </row>
    <row r="1740" spans="1:10" outlineLevel="2">
      <c r="A1740" s="191" t="s">
        <v>818</v>
      </c>
      <c r="B1740" s="191" t="s">
        <v>289</v>
      </c>
      <c r="C1740" s="191" t="s">
        <v>814</v>
      </c>
      <c r="D1740" s="191" t="s">
        <v>2520</v>
      </c>
      <c r="E1740" s="191" t="s">
        <v>2635</v>
      </c>
      <c r="F1740" s="191" t="s">
        <v>2598</v>
      </c>
      <c r="G1740" s="191">
        <v>35</v>
      </c>
      <c r="H1740" s="192">
        <v>0</v>
      </c>
      <c r="I1740" s="192">
        <v>765.45</v>
      </c>
      <c r="J1740" s="192">
        <f>SUM(H1740:I1740)</f>
        <v>765.45</v>
      </c>
    </row>
    <row r="1741" spans="1:10" outlineLevel="2">
      <c r="A1741" s="191" t="s">
        <v>819</v>
      </c>
      <c r="B1741" s="191" t="s">
        <v>289</v>
      </c>
      <c r="C1741" s="191" t="s">
        <v>814</v>
      </c>
      <c r="D1741" s="191" t="s">
        <v>2522</v>
      </c>
      <c r="E1741" s="191" t="s">
        <v>2602</v>
      </c>
      <c r="F1741" s="191" t="s">
        <v>2633</v>
      </c>
      <c r="G1741" s="191">
        <v>14</v>
      </c>
      <c r="H1741" s="192">
        <v>0</v>
      </c>
      <c r="I1741" s="192">
        <v>274.5</v>
      </c>
      <c r="J1741" s="192">
        <f>SUM(H1741:I1741)</f>
        <v>274.5</v>
      </c>
    </row>
    <row r="1742" spans="1:10" outlineLevel="2">
      <c r="A1742" s="191" t="s">
        <v>820</v>
      </c>
      <c r="B1742" s="191" t="s">
        <v>189</v>
      </c>
      <c r="C1742" s="191" t="s">
        <v>814</v>
      </c>
      <c r="D1742" s="191" t="s">
        <v>2507</v>
      </c>
      <c r="E1742" s="191" t="s">
        <v>2598</v>
      </c>
      <c r="F1742" s="191" t="s">
        <v>2598</v>
      </c>
      <c r="G1742" s="191">
        <v>7</v>
      </c>
      <c r="H1742" s="192">
        <v>0</v>
      </c>
      <c r="I1742" s="192">
        <v>67.86</v>
      </c>
      <c r="J1742" s="192">
        <f>SUM(H1742:I1742)</f>
        <v>67.86</v>
      </c>
    </row>
    <row r="1743" spans="1:10" outlineLevel="2">
      <c r="A1743" s="191" t="s">
        <v>820</v>
      </c>
      <c r="B1743" s="191" t="s">
        <v>189</v>
      </c>
      <c r="C1743" s="191" t="s">
        <v>814</v>
      </c>
      <c r="D1743" s="191" t="s">
        <v>2512</v>
      </c>
      <c r="E1743" s="191" t="s">
        <v>2590</v>
      </c>
      <c r="F1743" s="191" t="s">
        <v>2590</v>
      </c>
      <c r="G1743" s="191">
        <v>7</v>
      </c>
      <c r="H1743" s="192">
        <v>0</v>
      </c>
      <c r="I1743" s="192">
        <v>67.86</v>
      </c>
      <c r="J1743" s="192">
        <f>SUM(H1743:I1743)</f>
        <v>67.86</v>
      </c>
    </row>
    <row r="1744" spans="1:10" outlineLevel="2">
      <c r="A1744" s="191" t="s">
        <v>821</v>
      </c>
      <c r="B1744" s="191" t="s">
        <v>456</v>
      </c>
      <c r="C1744" s="191" t="s">
        <v>814</v>
      </c>
      <c r="D1744" s="191" t="s">
        <v>2517</v>
      </c>
      <c r="E1744" s="191" t="s">
        <v>2629</v>
      </c>
      <c r="F1744" s="191" t="s">
        <v>2675</v>
      </c>
      <c r="G1744" s="191">
        <v>28</v>
      </c>
      <c r="H1744" s="192">
        <v>0</v>
      </c>
      <c r="I1744" s="192">
        <v>842.32</v>
      </c>
      <c r="J1744" s="192">
        <f>SUM(H1744:I1744)</f>
        <v>842.32</v>
      </c>
    </row>
    <row r="1745" spans="1:10" outlineLevel="2">
      <c r="A1745" s="191" t="s">
        <v>288</v>
      </c>
      <c r="B1745" s="191" t="s">
        <v>289</v>
      </c>
      <c r="C1745" s="191" t="s">
        <v>814</v>
      </c>
      <c r="D1745" s="191" t="s">
        <v>2523</v>
      </c>
      <c r="E1745" s="191" t="s">
        <v>2702</v>
      </c>
      <c r="F1745" s="191" t="s">
        <v>2640</v>
      </c>
      <c r="G1745" s="191">
        <v>21</v>
      </c>
      <c r="H1745" s="192">
        <v>0</v>
      </c>
      <c r="I1745" s="192">
        <v>411.75</v>
      </c>
      <c r="J1745" s="192">
        <f>SUM(H1745:I1745)</f>
        <v>411.75</v>
      </c>
    </row>
    <row r="1746" spans="1:10" outlineLevel="2">
      <c r="A1746" s="191" t="s">
        <v>288</v>
      </c>
      <c r="B1746" s="191" t="s">
        <v>289</v>
      </c>
      <c r="C1746" s="191" t="s">
        <v>814</v>
      </c>
      <c r="D1746" s="191" t="s">
        <v>2517</v>
      </c>
      <c r="E1746" s="191" t="s">
        <v>2629</v>
      </c>
      <c r="F1746" s="191" t="s">
        <v>2675</v>
      </c>
      <c r="G1746" s="191">
        <v>28</v>
      </c>
      <c r="H1746" s="192">
        <v>0</v>
      </c>
      <c r="I1746" s="192">
        <v>546.36</v>
      </c>
      <c r="J1746" s="192">
        <f>SUM(H1746:I1746)</f>
        <v>546.36</v>
      </c>
    </row>
    <row r="1747" spans="1:10" outlineLevel="2">
      <c r="A1747" s="191" t="s">
        <v>822</v>
      </c>
      <c r="B1747" s="191" t="s">
        <v>289</v>
      </c>
      <c r="C1747" s="191" t="s">
        <v>814</v>
      </c>
      <c r="D1747" s="191" t="s">
        <v>2524</v>
      </c>
      <c r="E1747" s="191" t="s">
        <v>2591</v>
      </c>
      <c r="F1747" s="191" t="s">
        <v>2591</v>
      </c>
      <c r="G1747" s="191">
        <v>7</v>
      </c>
      <c r="H1747" s="192">
        <v>0</v>
      </c>
      <c r="I1747" s="192">
        <v>193.57</v>
      </c>
      <c r="J1747" s="192">
        <f>SUM(H1747:I1747)</f>
        <v>193.57</v>
      </c>
    </row>
    <row r="1748" spans="1:10" outlineLevel="2">
      <c r="A1748" s="191" t="s">
        <v>823</v>
      </c>
      <c r="B1748" s="191" t="s">
        <v>289</v>
      </c>
      <c r="C1748" s="191" t="s">
        <v>814</v>
      </c>
      <c r="D1748" s="191" t="s">
        <v>2507</v>
      </c>
      <c r="E1748" s="191" t="s">
        <v>2598</v>
      </c>
      <c r="F1748" s="191" t="s">
        <v>2598</v>
      </c>
      <c r="G1748" s="191">
        <v>7</v>
      </c>
      <c r="H1748" s="192">
        <v>0</v>
      </c>
      <c r="I1748" s="192">
        <v>182.19</v>
      </c>
      <c r="J1748" s="192">
        <f>SUM(H1748:I1748)</f>
        <v>182.19</v>
      </c>
    </row>
    <row r="1749" spans="1:10" outlineLevel="2">
      <c r="A1749" s="191" t="s">
        <v>824</v>
      </c>
      <c r="B1749" s="191" t="s">
        <v>289</v>
      </c>
      <c r="C1749" s="191" t="s">
        <v>814</v>
      </c>
      <c r="D1749" s="191" t="s">
        <v>2525</v>
      </c>
      <c r="E1749" s="191" t="s">
        <v>2603</v>
      </c>
      <c r="F1749" s="191" t="s">
        <v>2603</v>
      </c>
      <c r="G1749" s="191">
        <v>7</v>
      </c>
      <c r="H1749" s="192">
        <v>0</v>
      </c>
      <c r="I1749" s="192">
        <v>160.54</v>
      </c>
      <c r="J1749" s="192">
        <f>SUM(H1749:I1749)</f>
        <v>160.54</v>
      </c>
    </row>
    <row r="1750" spans="1:10" outlineLevel="2">
      <c r="A1750" s="191" t="s">
        <v>824</v>
      </c>
      <c r="B1750" s="191" t="s">
        <v>289</v>
      </c>
      <c r="C1750" s="191" t="s">
        <v>814</v>
      </c>
      <c r="D1750" s="191" t="s">
        <v>2526</v>
      </c>
      <c r="E1750" s="191" t="s">
        <v>2607</v>
      </c>
      <c r="F1750" s="191" t="s">
        <v>1499</v>
      </c>
      <c r="G1750" s="191">
        <v>14</v>
      </c>
      <c r="H1750" s="192">
        <v>0</v>
      </c>
      <c r="I1750" s="192">
        <v>321.08</v>
      </c>
      <c r="J1750" s="192">
        <f>SUM(H1750:I1750)</f>
        <v>321.08</v>
      </c>
    </row>
    <row r="1751" spans="1:10" outlineLevel="2">
      <c r="A1751" s="191" t="s">
        <v>824</v>
      </c>
      <c r="B1751" s="191" t="s">
        <v>289</v>
      </c>
      <c r="C1751" s="191" t="s">
        <v>814</v>
      </c>
      <c r="D1751" s="191" t="s">
        <v>2527</v>
      </c>
      <c r="E1751" s="191" t="s">
        <v>2718</v>
      </c>
      <c r="F1751" s="191" t="s">
        <v>1480</v>
      </c>
      <c r="G1751" s="191">
        <v>21</v>
      </c>
      <c r="H1751" s="192">
        <v>0</v>
      </c>
      <c r="I1751" s="192">
        <v>481.62</v>
      </c>
      <c r="J1751" s="192">
        <f>SUM(H1751:I1751)</f>
        <v>481.62</v>
      </c>
    </row>
    <row r="1752" spans="1:10" outlineLevel="2">
      <c r="A1752" s="191" t="s">
        <v>2971</v>
      </c>
      <c r="B1752" s="191" t="s">
        <v>147</v>
      </c>
      <c r="C1752" s="191" t="s">
        <v>814</v>
      </c>
      <c r="D1752" s="191" t="s">
        <v>2528</v>
      </c>
      <c r="E1752" s="191" t="s">
        <v>2719</v>
      </c>
      <c r="F1752" s="191" t="s">
        <v>2608</v>
      </c>
      <c r="G1752" s="191">
        <v>21</v>
      </c>
      <c r="H1752" s="192">
        <v>0</v>
      </c>
      <c r="I1752" s="192">
        <v>166.32</v>
      </c>
      <c r="J1752" s="192">
        <f>SUM(H1752:I1752)</f>
        <v>166.32</v>
      </c>
    </row>
    <row r="1753" spans="1:10" outlineLevel="2">
      <c r="A1753" s="191" t="s">
        <v>2971</v>
      </c>
      <c r="B1753" s="191" t="s">
        <v>112</v>
      </c>
      <c r="C1753" s="191" t="s">
        <v>814</v>
      </c>
      <c r="D1753" s="191" t="s">
        <v>2529</v>
      </c>
      <c r="E1753" s="191" t="s">
        <v>2598</v>
      </c>
      <c r="F1753" s="191" t="s">
        <v>2598</v>
      </c>
      <c r="G1753" s="191">
        <v>7</v>
      </c>
      <c r="H1753" s="192">
        <v>0</v>
      </c>
      <c r="I1753" s="192">
        <v>58.97</v>
      </c>
      <c r="J1753" s="192">
        <f>SUM(H1753:I1753)</f>
        <v>58.97</v>
      </c>
    </row>
    <row r="1754" spans="1:10" outlineLevel="2">
      <c r="A1754" s="191" t="s">
        <v>2971</v>
      </c>
      <c r="B1754" s="191" t="s">
        <v>112</v>
      </c>
      <c r="C1754" s="191" t="s">
        <v>814</v>
      </c>
      <c r="D1754" s="191" t="s">
        <v>2515</v>
      </c>
      <c r="E1754" s="191" t="s">
        <v>2702</v>
      </c>
      <c r="F1754" s="191" t="s">
        <v>2640</v>
      </c>
      <c r="G1754" s="191" t="s">
        <v>2760</v>
      </c>
      <c r="H1754" s="192">
        <v>0</v>
      </c>
      <c r="I1754" s="192">
        <v>0</v>
      </c>
      <c r="J1754" s="192">
        <f>SUM(H1754:I1754)</f>
        <v>0</v>
      </c>
    </row>
    <row r="1755" spans="1:10" outlineLevel="2">
      <c r="A1755" s="191" t="s">
        <v>825</v>
      </c>
      <c r="B1755" s="191" t="s">
        <v>116</v>
      </c>
      <c r="C1755" s="191" t="s">
        <v>814</v>
      </c>
      <c r="D1755" s="191" t="s">
        <v>2507</v>
      </c>
      <c r="E1755" s="191" t="s">
        <v>2598</v>
      </c>
      <c r="F1755" s="191" t="s">
        <v>2598</v>
      </c>
      <c r="G1755" s="191">
        <v>7</v>
      </c>
      <c r="H1755" s="192">
        <v>0</v>
      </c>
      <c r="I1755" s="192">
        <v>63.42</v>
      </c>
      <c r="J1755" s="192">
        <f>SUM(H1755:I1755)</f>
        <v>63.42</v>
      </c>
    </row>
    <row r="1756" spans="1:10" outlineLevel="2">
      <c r="A1756" s="191" t="s">
        <v>825</v>
      </c>
      <c r="B1756" s="191" t="s">
        <v>116</v>
      </c>
      <c r="C1756" s="191" t="s">
        <v>814</v>
      </c>
      <c r="D1756" s="191" t="s">
        <v>2530</v>
      </c>
      <c r="E1756" s="191" t="s">
        <v>2601</v>
      </c>
      <c r="F1756" s="191" t="s">
        <v>2590</v>
      </c>
      <c r="G1756" s="191">
        <v>14</v>
      </c>
      <c r="H1756" s="192">
        <v>0</v>
      </c>
      <c r="I1756" s="192">
        <v>126.84</v>
      </c>
      <c r="J1756" s="192">
        <f>SUM(H1756:I1756)</f>
        <v>126.84</v>
      </c>
    </row>
    <row r="1757" spans="1:10" outlineLevel="2">
      <c r="A1757" s="191" t="s">
        <v>826</v>
      </c>
      <c r="B1757" s="191" t="s">
        <v>289</v>
      </c>
      <c r="C1757" s="191" t="s">
        <v>814</v>
      </c>
      <c r="D1757" s="191" t="s">
        <v>2531</v>
      </c>
      <c r="E1757" s="191" t="s">
        <v>1486</v>
      </c>
      <c r="F1757" s="191" t="s">
        <v>2758</v>
      </c>
      <c r="G1757" s="191">
        <v>14</v>
      </c>
      <c r="H1757" s="192">
        <v>0</v>
      </c>
      <c r="I1757" s="192">
        <v>252.34</v>
      </c>
      <c r="J1757" s="192">
        <f>SUM(H1757:I1757)</f>
        <v>252.34</v>
      </c>
    </row>
    <row r="1758" spans="1:10" outlineLevel="2">
      <c r="A1758" s="191" t="s">
        <v>827</v>
      </c>
      <c r="B1758" s="191" t="s">
        <v>189</v>
      </c>
      <c r="C1758" s="191" t="s">
        <v>814</v>
      </c>
      <c r="D1758" s="191" t="s">
        <v>2523</v>
      </c>
      <c r="E1758" s="191" t="s">
        <v>2645</v>
      </c>
      <c r="F1758" s="191" t="s">
        <v>2640</v>
      </c>
      <c r="G1758" s="191">
        <v>14</v>
      </c>
      <c r="H1758" s="192">
        <v>100</v>
      </c>
      <c r="I1758" s="192">
        <v>135.72</v>
      </c>
      <c r="J1758" s="192">
        <f>SUM(H1758:I1758)</f>
        <v>235.72</v>
      </c>
    </row>
    <row r="1759" spans="1:10" outlineLevel="2">
      <c r="A1759" s="191" t="s">
        <v>828</v>
      </c>
      <c r="B1759" s="191" t="s">
        <v>189</v>
      </c>
      <c r="C1759" s="191" t="s">
        <v>814</v>
      </c>
      <c r="D1759" s="191" t="s">
        <v>2507</v>
      </c>
      <c r="E1759" s="191" t="s">
        <v>2598</v>
      </c>
      <c r="F1759" s="191" t="s">
        <v>2598</v>
      </c>
      <c r="G1759" s="191">
        <v>7</v>
      </c>
      <c r="H1759" s="192">
        <v>0</v>
      </c>
      <c r="I1759" s="192">
        <v>67.86</v>
      </c>
      <c r="J1759" s="192">
        <f>SUM(H1759:I1759)</f>
        <v>67.86</v>
      </c>
    </row>
    <row r="1760" spans="1:10" outlineLevel="2">
      <c r="A1760" s="191" t="s">
        <v>828</v>
      </c>
      <c r="B1760" s="191" t="s">
        <v>289</v>
      </c>
      <c r="C1760" s="191" t="s">
        <v>814</v>
      </c>
      <c r="D1760" s="191" t="s">
        <v>2532</v>
      </c>
      <c r="E1760" s="191" t="s">
        <v>2702</v>
      </c>
      <c r="F1760" s="191" t="s">
        <v>2640</v>
      </c>
      <c r="G1760" s="191">
        <v>21</v>
      </c>
      <c r="H1760" s="192">
        <v>0</v>
      </c>
      <c r="I1760" s="192">
        <v>412.8</v>
      </c>
      <c r="J1760" s="192">
        <f>SUM(H1760:I1760)</f>
        <v>412.8</v>
      </c>
    </row>
    <row r="1761" spans="1:10" outlineLevel="2">
      <c r="A1761" s="191" t="s">
        <v>828</v>
      </c>
      <c r="B1761" s="191" t="s">
        <v>289</v>
      </c>
      <c r="C1761" s="191" t="s">
        <v>814</v>
      </c>
      <c r="D1761" s="191" t="s">
        <v>2533</v>
      </c>
      <c r="E1761" s="191" t="s">
        <v>2610</v>
      </c>
      <c r="F1761" s="191" t="s">
        <v>1499</v>
      </c>
      <c r="G1761" s="191">
        <v>28</v>
      </c>
      <c r="H1761" s="192">
        <v>0</v>
      </c>
      <c r="I1761" s="192">
        <v>588.12</v>
      </c>
      <c r="J1761" s="192">
        <f>SUM(H1761:I1761)</f>
        <v>588.12</v>
      </c>
    </row>
    <row r="1762" spans="1:10" outlineLevel="2">
      <c r="A1762" s="191" t="s">
        <v>829</v>
      </c>
      <c r="B1762" s="191" t="s">
        <v>289</v>
      </c>
      <c r="C1762" s="191" t="s">
        <v>814</v>
      </c>
      <c r="D1762" s="191" t="s">
        <v>2534</v>
      </c>
      <c r="E1762" s="191" t="s">
        <v>1490</v>
      </c>
      <c r="F1762" s="191" t="s">
        <v>1490</v>
      </c>
      <c r="G1762" s="191">
        <v>7</v>
      </c>
      <c r="H1762" s="192">
        <v>0</v>
      </c>
      <c r="I1762" s="192">
        <v>142.38999999999999</v>
      </c>
      <c r="J1762" s="192">
        <f>SUM(H1762:I1762)</f>
        <v>142.38999999999999</v>
      </c>
    </row>
    <row r="1763" spans="1:10" outlineLevel="2">
      <c r="A1763" s="191" t="s">
        <v>829</v>
      </c>
      <c r="B1763" s="191" t="s">
        <v>289</v>
      </c>
      <c r="C1763" s="191" t="s">
        <v>814</v>
      </c>
      <c r="D1763" s="191" t="s">
        <v>2527</v>
      </c>
      <c r="E1763" s="191" t="s">
        <v>2718</v>
      </c>
      <c r="F1763" s="191" t="s">
        <v>1480</v>
      </c>
      <c r="G1763" s="191">
        <v>21</v>
      </c>
      <c r="H1763" s="192">
        <v>0</v>
      </c>
      <c r="I1763" s="192">
        <v>427.17</v>
      </c>
      <c r="J1763" s="192">
        <f>SUM(H1763:I1763)</f>
        <v>427.17</v>
      </c>
    </row>
    <row r="1764" spans="1:10" outlineLevel="2">
      <c r="A1764" s="191" t="s">
        <v>829</v>
      </c>
      <c r="B1764" s="191" t="s">
        <v>289</v>
      </c>
      <c r="C1764" s="191" t="s">
        <v>814</v>
      </c>
      <c r="D1764" s="191" t="s">
        <v>2535</v>
      </c>
      <c r="E1764" s="191" t="s">
        <v>2704</v>
      </c>
      <c r="F1764" s="191" t="s">
        <v>2704</v>
      </c>
      <c r="G1764" s="191" t="s">
        <v>2760</v>
      </c>
      <c r="H1764" s="192">
        <v>0</v>
      </c>
      <c r="I1764" s="192">
        <v>0</v>
      </c>
      <c r="J1764" s="192">
        <f>SUM(H1764:I1764)</f>
        <v>0</v>
      </c>
    </row>
    <row r="1765" spans="1:10" outlineLevel="2">
      <c r="A1765" s="191" t="s">
        <v>829</v>
      </c>
      <c r="B1765" s="191" t="s">
        <v>289</v>
      </c>
      <c r="C1765" s="191" t="s">
        <v>814</v>
      </c>
      <c r="D1765" s="191" t="s">
        <v>2536</v>
      </c>
      <c r="E1765" s="191" t="s">
        <v>2648</v>
      </c>
      <c r="F1765" s="191" t="s">
        <v>2649</v>
      </c>
      <c r="G1765" s="191" t="s">
        <v>2760</v>
      </c>
      <c r="H1765" s="192">
        <v>0</v>
      </c>
      <c r="I1765" s="192">
        <v>0</v>
      </c>
      <c r="J1765" s="192">
        <f>SUM(H1765:I1765)</f>
        <v>0</v>
      </c>
    </row>
    <row r="1766" spans="1:10" outlineLevel="1">
      <c r="A1766" s="193" t="s">
        <v>3040</v>
      </c>
      <c r="B1766" s="194"/>
      <c r="C1766" s="194"/>
      <c r="D1766" s="194"/>
      <c r="E1766" s="194"/>
      <c r="F1766" s="194"/>
      <c r="G1766" s="194">
        <f>SUBTOTAL(9,G1722:G1765)</f>
        <v>609</v>
      </c>
      <c r="H1766" s="195">
        <f>SUBTOTAL(9,H1722:H1765)</f>
        <v>100</v>
      </c>
      <c r="I1766" s="195">
        <f>SUBTOTAL(9,I1722:I1765)</f>
        <v>11828.67</v>
      </c>
      <c r="J1766" s="195">
        <f>SUBTOTAL(9,J1722:J1765)</f>
        <v>11928.67</v>
      </c>
    </row>
    <row r="1767" spans="1:10" outlineLevel="2">
      <c r="A1767" s="191" t="s">
        <v>2972</v>
      </c>
      <c r="B1767" s="191" t="s">
        <v>165</v>
      </c>
      <c r="C1767" s="191" t="s">
        <v>831</v>
      </c>
      <c r="D1767" s="191" t="s">
        <v>2537</v>
      </c>
      <c r="E1767" s="191" t="s">
        <v>2601</v>
      </c>
      <c r="F1767" s="191" t="s">
        <v>2590</v>
      </c>
      <c r="G1767" s="191">
        <v>14</v>
      </c>
      <c r="H1767" s="192">
        <v>0</v>
      </c>
      <c r="I1767" s="192">
        <v>271.08</v>
      </c>
      <c r="J1767" s="192">
        <f>SUM(H1767:I1767)</f>
        <v>271.08</v>
      </c>
    </row>
    <row r="1768" spans="1:10" outlineLevel="2">
      <c r="A1768" s="191" t="s">
        <v>830</v>
      </c>
      <c r="B1768" s="191" t="s">
        <v>165</v>
      </c>
      <c r="C1768" s="191" t="s">
        <v>831</v>
      </c>
      <c r="D1768" s="191" t="s">
        <v>2538</v>
      </c>
      <c r="E1768" s="191" t="s">
        <v>2646</v>
      </c>
      <c r="F1768" s="191" t="s">
        <v>2646</v>
      </c>
      <c r="G1768" s="191">
        <v>7</v>
      </c>
      <c r="H1768" s="192">
        <v>0</v>
      </c>
      <c r="I1768" s="192">
        <v>138.97</v>
      </c>
      <c r="J1768" s="192">
        <f>SUM(H1768:I1768)</f>
        <v>138.97</v>
      </c>
    </row>
    <row r="1769" spans="1:10" outlineLevel="2">
      <c r="A1769" s="191" t="s">
        <v>291</v>
      </c>
      <c r="B1769" s="191" t="s">
        <v>287</v>
      </c>
      <c r="C1769" s="191" t="s">
        <v>831</v>
      </c>
      <c r="D1769" s="191" t="s">
        <v>2539</v>
      </c>
      <c r="E1769" s="191" t="s">
        <v>2591</v>
      </c>
      <c r="F1769" s="191" t="s">
        <v>1486</v>
      </c>
      <c r="G1769" s="191">
        <v>14</v>
      </c>
      <c r="H1769" s="192">
        <v>100</v>
      </c>
      <c r="I1769" s="192">
        <v>276.58</v>
      </c>
      <c r="J1769" s="192">
        <f>SUM(H1769:I1769)</f>
        <v>376.58</v>
      </c>
    </row>
    <row r="1770" spans="1:10" outlineLevel="1">
      <c r="A1770" s="193" t="s">
        <v>3041</v>
      </c>
      <c r="B1770" s="194"/>
      <c r="C1770" s="194"/>
      <c r="D1770" s="194"/>
      <c r="E1770" s="194"/>
      <c r="F1770" s="194"/>
      <c r="G1770" s="194">
        <f>SUBTOTAL(9,G1767:G1769)</f>
        <v>35</v>
      </c>
      <c r="H1770" s="195">
        <f>SUBTOTAL(9,H1767:H1769)</f>
        <v>100</v>
      </c>
      <c r="I1770" s="195">
        <f>SUBTOTAL(9,I1767:I1769)</f>
        <v>686.62999999999988</v>
      </c>
      <c r="J1770" s="195">
        <f>SUBTOTAL(9,J1767:J1769)</f>
        <v>786.62999999999988</v>
      </c>
    </row>
    <row r="1771" spans="1:10" outlineLevel="2">
      <c r="A1771" s="191" t="s">
        <v>2973</v>
      </c>
      <c r="B1771" s="191" t="s">
        <v>715</v>
      </c>
      <c r="C1771" s="191" t="s">
        <v>2766</v>
      </c>
      <c r="D1771" s="191" t="s">
        <v>2540</v>
      </c>
      <c r="E1771" s="191" t="s">
        <v>2675</v>
      </c>
      <c r="F1771" s="191" t="s">
        <v>2675</v>
      </c>
      <c r="G1771" s="191">
        <v>7</v>
      </c>
      <c r="H1771" s="192">
        <v>0</v>
      </c>
      <c r="I1771" s="192">
        <v>134.88</v>
      </c>
      <c r="J1771" s="192">
        <f>SUM(H1771:I1771)</f>
        <v>134.88</v>
      </c>
    </row>
    <row r="1772" spans="1:10" outlineLevel="2">
      <c r="A1772" s="191" t="s">
        <v>2974</v>
      </c>
      <c r="B1772" s="191" t="s">
        <v>723</v>
      </c>
      <c r="C1772" s="191" t="s">
        <v>2766</v>
      </c>
      <c r="D1772" s="191" t="s">
        <v>2360</v>
      </c>
      <c r="E1772" s="191" t="s">
        <v>2659</v>
      </c>
      <c r="F1772" s="191" t="s">
        <v>2628</v>
      </c>
      <c r="G1772" s="191">
        <v>14</v>
      </c>
      <c r="H1772" s="192">
        <v>0</v>
      </c>
      <c r="I1772" s="192">
        <v>390.9</v>
      </c>
      <c r="J1772" s="192">
        <f>SUM(H1772:I1772)</f>
        <v>390.9</v>
      </c>
    </row>
    <row r="1773" spans="1:10" outlineLevel="1">
      <c r="A1773" s="193" t="s">
        <v>3042</v>
      </c>
      <c r="B1773" s="194"/>
      <c r="C1773" s="194"/>
      <c r="D1773" s="194"/>
      <c r="E1773" s="194"/>
      <c r="F1773" s="194"/>
      <c r="G1773" s="194">
        <f>SUBTOTAL(9,G1771:G1772)</f>
        <v>21</v>
      </c>
      <c r="H1773" s="195">
        <f>SUBTOTAL(9,H1771:H1772)</f>
        <v>0</v>
      </c>
      <c r="I1773" s="195">
        <f>SUBTOTAL(9,I1771:I1772)</f>
        <v>525.78</v>
      </c>
      <c r="J1773" s="195">
        <f>SUBTOTAL(9,J1771:J1772)</f>
        <v>525.78</v>
      </c>
    </row>
    <row r="1774" spans="1:10" outlineLevel="2">
      <c r="A1774" s="191" t="s">
        <v>833</v>
      </c>
      <c r="B1774" s="191" t="s">
        <v>834</v>
      </c>
      <c r="C1774" s="191" t="s">
        <v>832</v>
      </c>
      <c r="D1774" s="191" t="s">
        <v>2541</v>
      </c>
      <c r="E1774" s="191" t="s">
        <v>2674</v>
      </c>
      <c r="F1774" s="191" t="s">
        <v>2587</v>
      </c>
      <c r="G1774" s="191">
        <v>14</v>
      </c>
      <c r="H1774" s="192">
        <v>0</v>
      </c>
      <c r="I1774" s="192">
        <v>273.18</v>
      </c>
      <c r="J1774" s="192">
        <f>SUM(H1774:I1774)</f>
        <v>273.18</v>
      </c>
    </row>
    <row r="1775" spans="1:10" outlineLevel="2">
      <c r="A1775" s="191" t="s">
        <v>833</v>
      </c>
      <c r="B1775" s="191" t="s">
        <v>834</v>
      </c>
      <c r="C1775" s="191" t="s">
        <v>832</v>
      </c>
      <c r="D1775" s="191" t="s">
        <v>2542</v>
      </c>
      <c r="E1775" s="191" t="s">
        <v>2585</v>
      </c>
      <c r="F1775" s="191" t="s">
        <v>2586</v>
      </c>
      <c r="G1775" s="191">
        <v>14</v>
      </c>
      <c r="H1775" s="192">
        <v>0</v>
      </c>
      <c r="I1775" s="192">
        <v>273.18</v>
      </c>
      <c r="J1775" s="192">
        <f>SUM(H1775:I1775)</f>
        <v>273.18</v>
      </c>
    </row>
    <row r="1776" spans="1:10" outlineLevel="2">
      <c r="A1776" s="191" t="s">
        <v>833</v>
      </c>
      <c r="B1776" s="191" t="s">
        <v>834</v>
      </c>
      <c r="C1776" s="191" t="s">
        <v>832</v>
      </c>
      <c r="D1776" s="191" t="s">
        <v>2543</v>
      </c>
      <c r="E1776" s="191" t="s">
        <v>2657</v>
      </c>
      <c r="F1776" s="191" t="s">
        <v>1487</v>
      </c>
      <c r="G1776" s="191">
        <v>28</v>
      </c>
      <c r="H1776" s="192">
        <v>0</v>
      </c>
      <c r="I1776" s="192">
        <v>546.36</v>
      </c>
      <c r="J1776" s="192">
        <f>SUM(H1776:I1776)</f>
        <v>546.36</v>
      </c>
    </row>
    <row r="1777" spans="1:10" outlineLevel="2">
      <c r="A1777" s="191" t="s">
        <v>835</v>
      </c>
      <c r="B1777" s="191" t="s">
        <v>836</v>
      </c>
      <c r="C1777" s="191" t="s">
        <v>832</v>
      </c>
      <c r="D1777" s="191" t="s">
        <v>2544</v>
      </c>
      <c r="E1777" s="191" t="s">
        <v>2617</v>
      </c>
      <c r="F1777" s="191" t="s">
        <v>2617</v>
      </c>
      <c r="G1777" s="191">
        <v>7</v>
      </c>
      <c r="H1777" s="192">
        <v>0</v>
      </c>
      <c r="I1777" s="192">
        <v>213.9</v>
      </c>
      <c r="J1777" s="192">
        <f>SUM(H1777:I1777)</f>
        <v>213.9</v>
      </c>
    </row>
    <row r="1778" spans="1:10" outlineLevel="2">
      <c r="A1778" s="191" t="s">
        <v>835</v>
      </c>
      <c r="B1778" s="191" t="s">
        <v>836</v>
      </c>
      <c r="C1778" s="191" t="s">
        <v>832</v>
      </c>
      <c r="D1778" s="191" t="s">
        <v>2545</v>
      </c>
      <c r="E1778" s="191" t="s">
        <v>2755</v>
      </c>
      <c r="F1778" s="191" t="s">
        <v>2756</v>
      </c>
      <c r="G1778" s="191">
        <v>21</v>
      </c>
      <c r="H1778" s="192">
        <v>0</v>
      </c>
      <c r="I1778" s="192">
        <v>659.85</v>
      </c>
      <c r="J1778" s="192">
        <f>SUM(H1778:I1778)</f>
        <v>659.85</v>
      </c>
    </row>
    <row r="1779" spans="1:10" outlineLevel="2">
      <c r="A1779" s="191" t="s">
        <v>835</v>
      </c>
      <c r="B1779" s="191" t="s">
        <v>836</v>
      </c>
      <c r="C1779" s="191" t="s">
        <v>832</v>
      </c>
      <c r="D1779" s="191" t="s">
        <v>2546</v>
      </c>
      <c r="E1779" s="191" t="s">
        <v>2606</v>
      </c>
      <c r="F1779" s="191" t="s">
        <v>1487</v>
      </c>
      <c r="G1779" s="191">
        <v>21</v>
      </c>
      <c r="H1779" s="192">
        <v>0</v>
      </c>
      <c r="I1779" s="192">
        <v>659.85</v>
      </c>
      <c r="J1779" s="192">
        <f>SUM(H1779:I1779)</f>
        <v>659.85</v>
      </c>
    </row>
    <row r="1780" spans="1:10" outlineLevel="2">
      <c r="A1780" s="191" t="s">
        <v>837</v>
      </c>
      <c r="B1780" s="191" t="s">
        <v>189</v>
      </c>
      <c r="C1780" s="191" t="s">
        <v>832</v>
      </c>
      <c r="D1780" s="191" t="s">
        <v>2544</v>
      </c>
      <c r="E1780" s="191" t="s">
        <v>2630</v>
      </c>
      <c r="F1780" s="191" t="s">
        <v>2617</v>
      </c>
      <c r="G1780" s="191">
        <v>14</v>
      </c>
      <c r="H1780" s="192">
        <v>0</v>
      </c>
      <c r="I1780" s="192">
        <v>234.32</v>
      </c>
      <c r="J1780" s="192">
        <f>SUM(H1780:I1780)</f>
        <v>234.32</v>
      </c>
    </row>
    <row r="1781" spans="1:10" outlineLevel="2">
      <c r="A1781" s="191" t="s">
        <v>837</v>
      </c>
      <c r="B1781" s="191" t="s">
        <v>189</v>
      </c>
      <c r="C1781" s="191" t="s">
        <v>832</v>
      </c>
      <c r="D1781" s="191" t="s">
        <v>2542</v>
      </c>
      <c r="E1781" s="191" t="s">
        <v>2649</v>
      </c>
      <c r="F1781" s="191" t="s">
        <v>2586</v>
      </c>
      <c r="G1781" s="191">
        <v>21</v>
      </c>
      <c r="H1781" s="192">
        <v>0</v>
      </c>
      <c r="I1781" s="192">
        <v>202.59</v>
      </c>
      <c r="J1781" s="192">
        <f>SUM(H1781:I1781)</f>
        <v>202.59</v>
      </c>
    </row>
    <row r="1782" spans="1:10" outlineLevel="2">
      <c r="A1782" s="191" t="s">
        <v>2975</v>
      </c>
      <c r="B1782" s="191" t="s">
        <v>834</v>
      </c>
      <c r="C1782" s="191" t="s">
        <v>832</v>
      </c>
      <c r="D1782" s="191" t="s">
        <v>2544</v>
      </c>
      <c r="E1782" s="191" t="s">
        <v>2630</v>
      </c>
      <c r="F1782" s="191" t="s">
        <v>2617</v>
      </c>
      <c r="G1782" s="191">
        <v>14</v>
      </c>
      <c r="H1782" s="192">
        <v>0</v>
      </c>
      <c r="I1782" s="192">
        <v>319.02</v>
      </c>
      <c r="J1782" s="192">
        <f>SUM(H1782:I1782)</f>
        <v>319.02</v>
      </c>
    </row>
    <row r="1783" spans="1:10" outlineLevel="2">
      <c r="A1783" s="191" t="s">
        <v>2976</v>
      </c>
      <c r="B1783" s="191" t="s">
        <v>834</v>
      </c>
      <c r="C1783" s="191" t="s">
        <v>832</v>
      </c>
      <c r="D1783" s="191" t="s">
        <v>2547</v>
      </c>
      <c r="E1783" s="191" t="s">
        <v>2617</v>
      </c>
      <c r="F1783" s="191" t="s">
        <v>2617</v>
      </c>
      <c r="G1783" s="191">
        <v>7</v>
      </c>
      <c r="H1783" s="192">
        <v>0</v>
      </c>
      <c r="I1783" s="192">
        <v>149.66999999999999</v>
      </c>
      <c r="J1783" s="192">
        <f>SUM(H1783:I1783)</f>
        <v>149.66999999999999</v>
      </c>
    </row>
    <row r="1784" spans="1:10" outlineLevel="2">
      <c r="A1784" s="191" t="s">
        <v>838</v>
      </c>
      <c r="B1784" s="191" t="s">
        <v>834</v>
      </c>
      <c r="C1784" s="191" t="s">
        <v>832</v>
      </c>
      <c r="D1784" s="191" t="s">
        <v>2548</v>
      </c>
      <c r="E1784" s="191" t="s">
        <v>2732</v>
      </c>
      <c r="F1784" s="191" t="s">
        <v>2664</v>
      </c>
      <c r="G1784" s="191">
        <v>14</v>
      </c>
      <c r="H1784" s="192">
        <v>0</v>
      </c>
      <c r="I1784" s="192">
        <v>266.36</v>
      </c>
      <c r="J1784" s="192">
        <f>SUM(H1784:I1784)</f>
        <v>266.36</v>
      </c>
    </row>
    <row r="1785" spans="1:10" outlineLevel="2">
      <c r="A1785" s="191" t="s">
        <v>839</v>
      </c>
      <c r="B1785" s="191" t="s">
        <v>834</v>
      </c>
      <c r="C1785" s="191" t="s">
        <v>832</v>
      </c>
      <c r="D1785" s="191" t="s">
        <v>2549</v>
      </c>
      <c r="E1785" s="191" t="s">
        <v>2603</v>
      </c>
      <c r="F1785" s="191" t="s">
        <v>2603</v>
      </c>
      <c r="G1785" s="191">
        <v>7</v>
      </c>
      <c r="H1785" s="192">
        <v>0</v>
      </c>
      <c r="I1785" s="192">
        <v>152.18</v>
      </c>
      <c r="J1785" s="192">
        <f>SUM(H1785:I1785)</f>
        <v>152.18</v>
      </c>
    </row>
    <row r="1786" spans="1:10" outlineLevel="2">
      <c r="A1786" s="191" t="s">
        <v>839</v>
      </c>
      <c r="B1786" s="191" t="s">
        <v>834</v>
      </c>
      <c r="C1786" s="191" t="s">
        <v>832</v>
      </c>
      <c r="D1786" s="191" t="s">
        <v>2550</v>
      </c>
      <c r="E1786" s="191" t="s">
        <v>2652</v>
      </c>
      <c r="F1786" s="191" t="s">
        <v>1481</v>
      </c>
      <c r="G1786" s="191">
        <v>14</v>
      </c>
      <c r="H1786" s="192">
        <v>0</v>
      </c>
      <c r="I1786" s="192">
        <v>299.45999999999998</v>
      </c>
      <c r="J1786" s="192">
        <f>SUM(H1786:I1786)</f>
        <v>299.45999999999998</v>
      </c>
    </row>
    <row r="1787" spans="1:10" outlineLevel="2">
      <c r="A1787" s="191" t="s">
        <v>839</v>
      </c>
      <c r="B1787" s="191" t="s">
        <v>834</v>
      </c>
      <c r="C1787" s="191" t="s">
        <v>832</v>
      </c>
      <c r="D1787" s="191" t="s">
        <v>2551</v>
      </c>
      <c r="E1787" s="191" t="s">
        <v>2630</v>
      </c>
      <c r="F1787" s="191" t="s">
        <v>2617</v>
      </c>
      <c r="G1787" s="191">
        <v>14</v>
      </c>
      <c r="H1787" s="192">
        <v>0</v>
      </c>
      <c r="I1787" s="192">
        <v>304.36</v>
      </c>
      <c r="J1787" s="192">
        <f>SUM(H1787:I1787)</f>
        <v>304.36</v>
      </c>
    </row>
    <row r="1788" spans="1:10" outlineLevel="2">
      <c r="A1788" s="191" t="s">
        <v>839</v>
      </c>
      <c r="B1788" s="191" t="s">
        <v>834</v>
      </c>
      <c r="C1788" s="191" t="s">
        <v>832</v>
      </c>
      <c r="D1788" s="191" t="s">
        <v>2552</v>
      </c>
      <c r="E1788" s="191" t="s">
        <v>2687</v>
      </c>
      <c r="F1788" s="191" t="s">
        <v>2661</v>
      </c>
      <c r="G1788" s="191">
        <v>21</v>
      </c>
      <c r="H1788" s="192">
        <v>0</v>
      </c>
      <c r="I1788" s="192">
        <v>449.19</v>
      </c>
      <c r="J1788" s="192">
        <f>SUM(H1788:I1788)</f>
        <v>449.19</v>
      </c>
    </row>
    <row r="1789" spans="1:10" outlineLevel="2">
      <c r="A1789" s="191" t="s">
        <v>840</v>
      </c>
      <c r="B1789" s="191" t="s">
        <v>147</v>
      </c>
      <c r="C1789" s="191" t="s">
        <v>832</v>
      </c>
      <c r="D1789" s="191" t="s">
        <v>2544</v>
      </c>
      <c r="E1789" s="191" t="s">
        <v>2630</v>
      </c>
      <c r="F1789" s="191" t="s">
        <v>2617</v>
      </c>
      <c r="G1789" s="191">
        <v>14</v>
      </c>
      <c r="H1789" s="192">
        <v>0</v>
      </c>
      <c r="I1789" s="192">
        <v>109.06</v>
      </c>
      <c r="J1789" s="192">
        <f>SUM(H1789:I1789)</f>
        <v>109.06</v>
      </c>
    </row>
    <row r="1790" spans="1:10" outlineLevel="2">
      <c r="A1790" s="191" t="s">
        <v>840</v>
      </c>
      <c r="B1790" s="191" t="s">
        <v>147</v>
      </c>
      <c r="C1790" s="191" t="s">
        <v>832</v>
      </c>
      <c r="D1790" s="191" t="s">
        <v>1872</v>
      </c>
      <c r="E1790" s="191" t="s">
        <v>2683</v>
      </c>
      <c r="F1790" s="191" t="s">
        <v>2612</v>
      </c>
      <c r="G1790" s="191" t="s">
        <v>2760</v>
      </c>
      <c r="H1790" s="192">
        <v>0</v>
      </c>
      <c r="I1790" s="192">
        <v>0</v>
      </c>
      <c r="J1790" s="192">
        <f>SUM(H1790:I1790)</f>
        <v>0</v>
      </c>
    </row>
    <row r="1791" spans="1:10" outlineLevel="2">
      <c r="A1791" s="191" t="s">
        <v>2977</v>
      </c>
      <c r="B1791" s="191" t="s">
        <v>141</v>
      </c>
      <c r="C1791" s="191" t="s">
        <v>832</v>
      </c>
      <c r="D1791" s="191" t="s">
        <v>2544</v>
      </c>
      <c r="E1791" s="191" t="s">
        <v>2630</v>
      </c>
      <c r="F1791" s="191" t="s">
        <v>2617</v>
      </c>
      <c r="G1791" s="191" t="s">
        <v>2760</v>
      </c>
      <c r="H1791" s="192">
        <v>0</v>
      </c>
      <c r="I1791" s="192">
        <v>0</v>
      </c>
      <c r="J1791" s="192">
        <f>SUM(H1791:I1791)</f>
        <v>0</v>
      </c>
    </row>
    <row r="1792" spans="1:10" outlineLevel="2">
      <c r="A1792" s="191" t="s">
        <v>841</v>
      </c>
      <c r="B1792" s="191" t="s">
        <v>834</v>
      </c>
      <c r="C1792" s="191" t="s">
        <v>832</v>
      </c>
      <c r="D1792" s="191" t="s">
        <v>2544</v>
      </c>
      <c r="E1792" s="191" t="s">
        <v>2617</v>
      </c>
      <c r="F1792" s="191" t="s">
        <v>2617</v>
      </c>
      <c r="G1792" s="191">
        <v>7</v>
      </c>
      <c r="H1792" s="192">
        <v>0</v>
      </c>
      <c r="I1792" s="192">
        <v>132.83000000000001</v>
      </c>
      <c r="J1792" s="192">
        <f>SUM(H1792:I1792)</f>
        <v>132.83000000000001</v>
      </c>
    </row>
    <row r="1793" spans="1:10" outlineLevel="2">
      <c r="A1793" s="191" t="s">
        <v>841</v>
      </c>
      <c r="B1793" s="191" t="s">
        <v>834</v>
      </c>
      <c r="C1793" s="191" t="s">
        <v>832</v>
      </c>
      <c r="D1793" s="191" t="s">
        <v>2548</v>
      </c>
      <c r="E1793" s="191" t="s">
        <v>2732</v>
      </c>
      <c r="F1793" s="191" t="s">
        <v>2664</v>
      </c>
      <c r="G1793" s="191">
        <v>14</v>
      </c>
      <c r="H1793" s="192">
        <v>0</v>
      </c>
      <c r="I1793" s="192">
        <v>273.18</v>
      </c>
      <c r="J1793" s="192">
        <f>SUM(H1793:I1793)</f>
        <v>273.18</v>
      </c>
    </row>
    <row r="1794" spans="1:10" outlineLevel="2">
      <c r="A1794" s="191" t="s">
        <v>841</v>
      </c>
      <c r="B1794" s="191" t="s">
        <v>834</v>
      </c>
      <c r="C1794" s="191" t="s">
        <v>832</v>
      </c>
      <c r="D1794" s="191" t="s">
        <v>2542</v>
      </c>
      <c r="E1794" s="191" t="s">
        <v>2649</v>
      </c>
      <c r="F1794" s="191" t="s">
        <v>2586</v>
      </c>
      <c r="G1794" s="191">
        <v>21</v>
      </c>
      <c r="H1794" s="192">
        <v>0</v>
      </c>
      <c r="I1794" s="192">
        <v>409.77</v>
      </c>
      <c r="J1794" s="192">
        <f>SUM(H1794:I1794)</f>
        <v>409.77</v>
      </c>
    </row>
    <row r="1795" spans="1:10" outlineLevel="2">
      <c r="A1795" s="191" t="s">
        <v>842</v>
      </c>
      <c r="B1795" s="191" t="s">
        <v>834</v>
      </c>
      <c r="C1795" s="191" t="s">
        <v>832</v>
      </c>
      <c r="D1795" s="191" t="s">
        <v>2544</v>
      </c>
      <c r="E1795" s="191" t="s">
        <v>2617</v>
      </c>
      <c r="F1795" s="191" t="s">
        <v>2617</v>
      </c>
      <c r="G1795" s="191">
        <v>7</v>
      </c>
      <c r="H1795" s="192">
        <v>0</v>
      </c>
      <c r="I1795" s="192">
        <v>148.15</v>
      </c>
      <c r="J1795" s="192">
        <f>SUM(H1795:I1795)</f>
        <v>148.15</v>
      </c>
    </row>
    <row r="1796" spans="1:10" outlineLevel="2">
      <c r="A1796" s="191" t="s">
        <v>842</v>
      </c>
      <c r="B1796" s="191" t="s">
        <v>834</v>
      </c>
      <c r="C1796" s="191" t="s">
        <v>832</v>
      </c>
      <c r="D1796" s="191" t="s">
        <v>2545</v>
      </c>
      <c r="E1796" s="191" t="s">
        <v>2755</v>
      </c>
      <c r="F1796" s="191" t="s">
        <v>2756</v>
      </c>
      <c r="G1796" s="191">
        <v>21</v>
      </c>
      <c r="H1796" s="192">
        <v>0</v>
      </c>
      <c r="I1796" s="192">
        <v>457.05</v>
      </c>
      <c r="J1796" s="192">
        <f>SUM(H1796:I1796)</f>
        <v>457.05</v>
      </c>
    </row>
    <row r="1797" spans="1:10" outlineLevel="2">
      <c r="A1797" s="191" t="s">
        <v>842</v>
      </c>
      <c r="B1797" s="191" t="s">
        <v>834</v>
      </c>
      <c r="C1797" s="191" t="s">
        <v>832</v>
      </c>
      <c r="D1797" s="191" t="s">
        <v>2546</v>
      </c>
      <c r="E1797" s="191" t="s">
        <v>2606</v>
      </c>
      <c r="F1797" s="191" t="s">
        <v>1487</v>
      </c>
      <c r="G1797" s="191">
        <v>21</v>
      </c>
      <c r="H1797" s="192">
        <v>0</v>
      </c>
      <c r="I1797" s="192">
        <v>457.05</v>
      </c>
      <c r="J1797" s="192">
        <f>SUM(H1797:I1797)</f>
        <v>457.05</v>
      </c>
    </row>
    <row r="1798" spans="1:10" outlineLevel="2">
      <c r="A1798" s="191" t="s">
        <v>843</v>
      </c>
      <c r="B1798" s="191" t="s">
        <v>834</v>
      </c>
      <c r="C1798" s="191" t="s">
        <v>832</v>
      </c>
      <c r="D1798" s="191" t="s">
        <v>2542</v>
      </c>
      <c r="E1798" s="191" t="s">
        <v>2649</v>
      </c>
      <c r="F1798" s="191" t="s">
        <v>2585</v>
      </c>
      <c r="G1798" s="191">
        <v>14</v>
      </c>
      <c r="H1798" s="192">
        <v>0</v>
      </c>
      <c r="I1798" s="192">
        <v>338.64</v>
      </c>
      <c r="J1798" s="192">
        <f>SUM(H1798:I1798)</f>
        <v>338.64</v>
      </c>
    </row>
    <row r="1799" spans="1:10" outlineLevel="2">
      <c r="A1799" s="191" t="s">
        <v>843</v>
      </c>
      <c r="B1799" s="191" t="s">
        <v>834</v>
      </c>
      <c r="C1799" s="191" t="s">
        <v>832</v>
      </c>
      <c r="D1799" s="191" t="s">
        <v>2553</v>
      </c>
      <c r="E1799" s="191" t="s">
        <v>2685</v>
      </c>
      <c r="F1799" s="191" t="s">
        <v>2628</v>
      </c>
      <c r="G1799" s="191">
        <v>21</v>
      </c>
      <c r="H1799" s="192">
        <v>0</v>
      </c>
      <c r="I1799" s="192">
        <v>507.96</v>
      </c>
      <c r="J1799" s="192">
        <f>SUM(H1799:I1799)</f>
        <v>507.96</v>
      </c>
    </row>
    <row r="1800" spans="1:10" outlineLevel="2">
      <c r="A1800" s="191" t="s">
        <v>844</v>
      </c>
      <c r="B1800" s="191" t="s">
        <v>834</v>
      </c>
      <c r="C1800" s="191" t="s">
        <v>832</v>
      </c>
      <c r="D1800" s="191" t="s">
        <v>2544</v>
      </c>
      <c r="E1800" s="191" t="s">
        <v>2617</v>
      </c>
      <c r="F1800" s="191" t="s">
        <v>2617</v>
      </c>
      <c r="G1800" s="191">
        <v>7</v>
      </c>
      <c r="H1800" s="192">
        <v>0</v>
      </c>
      <c r="I1800" s="192">
        <v>151.38</v>
      </c>
      <c r="J1800" s="192">
        <f>SUM(H1800:I1800)</f>
        <v>151.38</v>
      </c>
    </row>
    <row r="1801" spans="1:10" outlineLevel="2">
      <c r="A1801" s="191" t="s">
        <v>844</v>
      </c>
      <c r="B1801" s="191" t="s">
        <v>834</v>
      </c>
      <c r="C1801" s="191" t="s">
        <v>832</v>
      </c>
      <c r="D1801" s="191" t="s">
        <v>2542</v>
      </c>
      <c r="E1801" s="191" t="s">
        <v>2585</v>
      </c>
      <c r="F1801" s="191" t="s">
        <v>2586</v>
      </c>
      <c r="G1801" s="191">
        <v>14</v>
      </c>
      <c r="H1801" s="192">
        <v>0</v>
      </c>
      <c r="I1801" s="192">
        <v>301.27999999999997</v>
      </c>
      <c r="J1801" s="192">
        <f>SUM(H1801:I1801)</f>
        <v>301.27999999999997</v>
      </c>
    </row>
    <row r="1802" spans="1:10" outlineLevel="2">
      <c r="A1802" s="191" t="s">
        <v>844</v>
      </c>
      <c r="B1802" s="191" t="s">
        <v>834</v>
      </c>
      <c r="C1802" s="191" t="s">
        <v>832</v>
      </c>
      <c r="D1802" s="191" t="s">
        <v>2548</v>
      </c>
      <c r="E1802" s="191" t="s">
        <v>2732</v>
      </c>
      <c r="F1802" s="191" t="s">
        <v>2664</v>
      </c>
      <c r="G1802" s="191">
        <v>14</v>
      </c>
      <c r="H1802" s="192">
        <v>0</v>
      </c>
      <c r="I1802" s="192">
        <v>301.27999999999997</v>
      </c>
      <c r="J1802" s="192">
        <f>SUM(H1802:I1802)</f>
        <v>301.27999999999997</v>
      </c>
    </row>
    <row r="1803" spans="1:10" outlineLevel="1">
      <c r="A1803" s="193" t="s">
        <v>3043</v>
      </c>
      <c r="B1803" s="194"/>
      <c r="C1803" s="194"/>
      <c r="D1803" s="194"/>
      <c r="E1803" s="194"/>
      <c r="F1803" s="194"/>
      <c r="G1803" s="194">
        <f>SUBTOTAL(9,G1774:G1802)</f>
        <v>406</v>
      </c>
      <c r="H1803" s="195">
        <f>SUBTOTAL(9,H1774:H1802)</f>
        <v>0</v>
      </c>
      <c r="I1803" s="195">
        <f>SUBTOTAL(9,I1774:I1802)</f>
        <v>8591.1</v>
      </c>
      <c r="J1803" s="195">
        <f>SUBTOTAL(9,J1774:J1802)</f>
        <v>8591.1</v>
      </c>
    </row>
    <row r="1804" spans="1:10" outlineLevel="2">
      <c r="A1804" s="191" t="s">
        <v>845</v>
      </c>
      <c r="B1804" s="191" t="s">
        <v>378</v>
      </c>
      <c r="C1804" s="191" t="s">
        <v>846</v>
      </c>
      <c r="D1804" s="191" t="s">
        <v>2554</v>
      </c>
      <c r="E1804" s="191" t="s">
        <v>2759</v>
      </c>
      <c r="F1804" s="191" t="s">
        <v>2759</v>
      </c>
      <c r="G1804" s="191">
        <v>7</v>
      </c>
      <c r="H1804" s="192">
        <v>0</v>
      </c>
      <c r="I1804" s="192">
        <v>58.69</v>
      </c>
      <c r="J1804" s="192">
        <f>SUM(H1804:I1804)</f>
        <v>58.69</v>
      </c>
    </row>
    <row r="1805" spans="1:10" outlineLevel="2">
      <c r="A1805" s="191" t="s">
        <v>845</v>
      </c>
      <c r="B1805" s="191" t="s">
        <v>378</v>
      </c>
      <c r="C1805" s="191" t="s">
        <v>846</v>
      </c>
      <c r="D1805" s="191" t="s">
        <v>2554</v>
      </c>
      <c r="E1805" s="191" t="s">
        <v>2613</v>
      </c>
      <c r="F1805" s="191" t="s">
        <v>2700</v>
      </c>
      <c r="G1805" s="191">
        <v>14</v>
      </c>
      <c r="H1805" s="192">
        <v>0</v>
      </c>
      <c r="I1805" s="192">
        <v>117.38</v>
      </c>
      <c r="J1805" s="192">
        <f>SUM(H1805:I1805)</f>
        <v>117.38</v>
      </c>
    </row>
    <row r="1806" spans="1:10" outlineLevel="2">
      <c r="A1806" s="191" t="s">
        <v>845</v>
      </c>
      <c r="B1806" s="191" t="s">
        <v>857</v>
      </c>
      <c r="C1806" s="191" t="s">
        <v>846</v>
      </c>
      <c r="D1806" s="191" t="s">
        <v>2555</v>
      </c>
      <c r="E1806" s="191" t="s">
        <v>2615</v>
      </c>
      <c r="F1806" s="191" t="s">
        <v>1500</v>
      </c>
      <c r="G1806" s="191">
        <v>28</v>
      </c>
      <c r="H1806" s="192">
        <v>0</v>
      </c>
      <c r="I1806" s="192">
        <v>253.68</v>
      </c>
      <c r="J1806" s="192">
        <f>SUM(H1806:I1806)</f>
        <v>253.68</v>
      </c>
    </row>
    <row r="1807" spans="1:10" outlineLevel="2">
      <c r="A1807" s="191" t="s">
        <v>2978</v>
      </c>
      <c r="B1807" s="191" t="s">
        <v>368</v>
      </c>
      <c r="C1807" s="191" t="s">
        <v>846</v>
      </c>
      <c r="D1807" s="191" t="s">
        <v>2555</v>
      </c>
      <c r="E1807" s="191" t="s">
        <v>2615</v>
      </c>
      <c r="F1807" s="191" t="s">
        <v>1500</v>
      </c>
      <c r="G1807" s="191">
        <v>28</v>
      </c>
      <c r="H1807" s="192">
        <v>0</v>
      </c>
      <c r="I1807" s="192">
        <v>218.12</v>
      </c>
      <c r="J1807" s="192">
        <f>SUM(H1807:I1807)</f>
        <v>218.12</v>
      </c>
    </row>
    <row r="1808" spans="1:10" outlineLevel="2">
      <c r="A1808" s="191" t="s">
        <v>847</v>
      </c>
      <c r="B1808" s="191" t="s">
        <v>848</v>
      </c>
      <c r="C1808" s="191" t="s">
        <v>846</v>
      </c>
      <c r="D1808" s="191" t="s">
        <v>2556</v>
      </c>
      <c r="E1808" s="191" t="s">
        <v>2709</v>
      </c>
      <c r="F1808" s="191" t="s">
        <v>1482</v>
      </c>
      <c r="G1808" s="191">
        <v>28</v>
      </c>
      <c r="H1808" s="192">
        <v>0</v>
      </c>
      <c r="I1808" s="192">
        <v>725.2</v>
      </c>
      <c r="J1808" s="192">
        <f>SUM(H1808:I1808)</f>
        <v>725.2</v>
      </c>
    </row>
    <row r="1809" spans="1:10" outlineLevel="2">
      <c r="A1809" s="191" t="s">
        <v>847</v>
      </c>
      <c r="B1809" s="191" t="s">
        <v>848</v>
      </c>
      <c r="C1809" s="191" t="s">
        <v>846</v>
      </c>
      <c r="D1809" s="191" t="s">
        <v>2555</v>
      </c>
      <c r="E1809" s="191" t="s">
        <v>2615</v>
      </c>
      <c r="F1809" s="191" t="s">
        <v>1500</v>
      </c>
      <c r="G1809" s="191">
        <v>28</v>
      </c>
      <c r="H1809" s="192">
        <v>0</v>
      </c>
      <c r="I1809" s="192">
        <v>728.76</v>
      </c>
      <c r="J1809" s="192">
        <f>SUM(H1809:I1809)</f>
        <v>728.76</v>
      </c>
    </row>
    <row r="1810" spans="1:10" outlineLevel="2">
      <c r="A1810" s="191" t="s">
        <v>849</v>
      </c>
      <c r="B1810" s="191" t="s">
        <v>848</v>
      </c>
      <c r="C1810" s="191" t="s">
        <v>846</v>
      </c>
      <c r="D1810" s="191" t="s">
        <v>2557</v>
      </c>
      <c r="E1810" s="191" t="s">
        <v>2626</v>
      </c>
      <c r="F1810" s="191" t="s">
        <v>2626</v>
      </c>
      <c r="G1810" s="191">
        <v>7</v>
      </c>
      <c r="H1810" s="192">
        <v>0</v>
      </c>
      <c r="I1810" s="192">
        <v>137.25</v>
      </c>
      <c r="J1810" s="192">
        <f>SUM(H1810:I1810)</f>
        <v>137.25</v>
      </c>
    </row>
    <row r="1811" spans="1:10" outlineLevel="2">
      <c r="A1811" s="191" t="s">
        <v>849</v>
      </c>
      <c r="B1811" s="191" t="s">
        <v>848</v>
      </c>
      <c r="C1811" s="191" t="s">
        <v>846</v>
      </c>
      <c r="D1811" s="191" t="s">
        <v>2558</v>
      </c>
      <c r="E1811" s="191" t="s">
        <v>2652</v>
      </c>
      <c r="F1811" s="191" t="s">
        <v>1481</v>
      </c>
      <c r="G1811" s="191">
        <v>14</v>
      </c>
      <c r="H1811" s="192">
        <v>0</v>
      </c>
      <c r="I1811" s="192">
        <v>273.18</v>
      </c>
      <c r="J1811" s="192">
        <f>SUM(H1811:I1811)</f>
        <v>273.18</v>
      </c>
    </row>
    <row r="1812" spans="1:10" outlineLevel="2">
      <c r="A1812" s="191" t="s">
        <v>849</v>
      </c>
      <c r="B1812" s="191" t="s">
        <v>848</v>
      </c>
      <c r="C1812" s="191" t="s">
        <v>846</v>
      </c>
      <c r="D1812" s="191" t="s">
        <v>2559</v>
      </c>
      <c r="E1812" s="191" t="s">
        <v>2719</v>
      </c>
      <c r="F1812" s="191" t="s">
        <v>2639</v>
      </c>
      <c r="G1812" s="191">
        <v>14</v>
      </c>
      <c r="H1812" s="192">
        <v>0</v>
      </c>
      <c r="I1812" s="192">
        <v>273.18</v>
      </c>
      <c r="J1812" s="192">
        <f>SUM(H1812:I1812)</f>
        <v>273.18</v>
      </c>
    </row>
    <row r="1813" spans="1:10" outlineLevel="2">
      <c r="A1813" s="191" t="s">
        <v>849</v>
      </c>
      <c r="B1813" s="191" t="s">
        <v>848</v>
      </c>
      <c r="C1813" s="191" t="s">
        <v>846</v>
      </c>
      <c r="D1813" s="191" t="s">
        <v>2560</v>
      </c>
      <c r="E1813" s="191" t="s">
        <v>2645</v>
      </c>
      <c r="F1813" s="191" t="s">
        <v>2640</v>
      </c>
      <c r="G1813" s="191">
        <v>14</v>
      </c>
      <c r="H1813" s="192">
        <v>0</v>
      </c>
      <c r="I1813" s="192">
        <v>274.5</v>
      </c>
      <c r="J1813" s="192">
        <f>SUM(H1813:I1813)</f>
        <v>274.5</v>
      </c>
    </row>
    <row r="1814" spans="1:10" outlineLevel="2">
      <c r="A1814" s="191" t="s">
        <v>2979</v>
      </c>
      <c r="B1814" s="191" t="s">
        <v>848</v>
      </c>
      <c r="C1814" s="191" t="s">
        <v>846</v>
      </c>
      <c r="D1814" s="191" t="s">
        <v>2555</v>
      </c>
      <c r="E1814" s="191" t="s">
        <v>2607</v>
      </c>
      <c r="F1814" s="191" t="s">
        <v>1500</v>
      </c>
      <c r="G1814" s="191">
        <v>21</v>
      </c>
      <c r="H1814" s="192">
        <v>0</v>
      </c>
      <c r="I1814" s="192">
        <v>406.62</v>
      </c>
      <c r="J1814" s="192">
        <f>SUM(H1814:I1814)</f>
        <v>406.62</v>
      </c>
    </row>
    <row r="1815" spans="1:10" outlineLevel="2">
      <c r="A1815" s="191" t="s">
        <v>850</v>
      </c>
      <c r="B1815" s="191" t="s">
        <v>848</v>
      </c>
      <c r="C1815" s="191" t="s">
        <v>846</v>
      </c>
      <c r="D1815" s="191" t="s">
        <v>2561</v>
      </c>
      <c r="E1815" s="191" t="s">
        <v>1503</v>
      </c>
      <c r="F1815" s="191" t="s">
        <v>1503</v>
      </c>
      <c r="G1815" s="191">
        <v>7</v>
      </c>
      <c r="H1815" s="192">
        <v>0</v>
      </c>
      <c r="I1815" s="192">
        <v>138.29</v>
      </c>
      <c r="J1815" s="192">
        <f>SUM(H1815:I1815)</f>
        <v>138.29</v>
      </c>
    </row>
    <row r="1816" spans="1:10" outlineLevel="2">
      <c r="A1816" s="191" t="s">
        <v>850</v>
      </c>
      <c r="B1816" s="191" t="s">
        <v>848</v>
      </c>
      <c r="C1816" s="191" t="s">
        <v>846</v>
      </c>
      <c r="D1816" s="191" t="s">
        <v>2562</v>
      </c>
      <c r="E1816" s="191" t="s">
        <v>2734</v>
      </c>
      <c r="F1816" s="191" t="s">
        <v>2710</v>
      </c>
      <c r="G1816" s="191">
        <v>14</v>
      </c>
      <c r="H1816" s="192">
        <v>0</v>
      </c>
      <c r="I1816" s="192">
        <v>276.58</v>
      </c>
      <c r="J1816" s="192">
        <f>SUM(H1816:I1816)</f>
        <v>276.58</v>
      </c>
    </row>
    <row r="1817" spans="1:10" outlineLevel="2">
      <c r="A1817" s="191" t="s">
        <v>850</v>
      </c>
      <c r="B1817" s="191" t="s">
        <v>848</v>
      </c>
      <c r="C1817" s="191" t="s">
        <v>846</v>
      </c>
      <c r="D1817" s="191" t="s">
        <v>2563</v>
      </c>
      <c r="E1817" s="191" t="s">
        <v>2606</v>
      </c>
      <c r="F1817" s="191" t="s">
        <v>2593</v>
      </c>
      <c r="G1817" s="191">
        <v>14</v>
      </c>
      <c r="H1817" s="192">
        <v>0</v>
      </c>
      <c r="I1817" s="192">
        <v>276.58</v>
      </c>
      <c r="J1817" s="192">
        <f>SUM(H1817:I1817)</f>
        <v>276.58</v>
      </c>
    </row>
    <row r="1818" spans="1:10" outlineLevel="2">
      <c r="A1818" s="191" t="s">
        <v>850</v>
      </c>
      <c r="B1818" s="191" t="s">
        <v>848</v>
      </c>
      <c r="C1818" s="191" t="s">
        <v>846</v>
      </c>
      <c r="D1818" s="191" t="s">
        <v>2555</v>
      </c>
      <c r="E1818" s="191" t="s">
        <v>2615</v>
      </c>
      <c r="F1818" s="191" t="s">
        <v>1499</v>
      </c>
      <c r="G1818" s="191">
        <v>21</v>
      </c>
      <c r="H1818" s="192">
        <v>0</v>
      </c>
      <c r="I1818" s="192">
        <v>416.91</v>
      </c>
      <c r="J1818" s="192">
        <f>SUM(H1818:I1818)</f>
        <v>416.91</v>
      </c>
    </row>
    <row r="1819" spans="1:10" outlineLevel="2">
      <c r="A1819" s="191" t="s">
        <v>2980</v>
      </c>
      <c r="B1819" s="191" t="s">
        <v>848</v>
      </c>
      <c r="C1819" s="191" t="s">
        <v>846</v>
      </c>
      <c r="D1819" s="191" t="s">
        <v>2564</v>
      </c>
      <c r="E1819" s="191" t="s">
        <v>2709</v>
      </c>
      <c r="F1819" s="191" t="s">
        <v>1482</v>
      </c>
      <c r="G1819" s="191">
        <v>28</v>
      </c>
      <c r="H1819" s="192">
        <v>0</v>
      </c>
      <c r="I1819" s="192">
        <v>595.76</v>
      </c>
      <c r="J1819" s="192">
        <f>SUM(H1819:I1819)</f>
        <v>595.76</v>
      </c>
    </row>
    <row r="1820" spans="1:10" outlineLevel="2">
      <c r="A1820" s="191" t="s">
        <v>851</v>
      </c>
      <c r="B1820" s="191" t="s">
        <v>268</v>
      </c>
      <c r="C1820" s="191" t="s">
        <v>846</v>
      </c>
      <c r="D1820" s="191" t="s">
        <v>1892</v>
      </c>
      <c r="E1820" s="191" t="s">
        <v>1493</v>
      </c>
      <c r="F1820" s="191" t="s">
        <v>1493</v>
      </c>
      <c r="G1820" s="191">
        <v>7</v>
      </c>
      <c r="H1820" s="192">
        <v>0</v>
      </c>
      <c r="I1820" s="192">
        <v>198.35</v>
      </c>
      <c r="J1820" s="192">
        <f>SUM(H1820:I1820)</f>
        <v>198.35</v>
      </c>
    </row>
    <row r="1821" spans="1:10" outlineLevel="2">
      <c r="A1821" s="191" t="s">
        <v>852</v>
      </c>
      <c r="B1821" s="191" t="s">
        <v>848</v>
      </c>
      <c r="C1821" s="191" t="s">
        <v>846</v>
      </c>
      <c r="D1821" s="191" t="s">
        <v>2565</v>
      </c>
      <c r="E1821" s="191" t="s">
        <v>2602</v>
      </c>
      <c r="F1821" s="191" t="s">
        <v>2603</v>
      </c>
      <c r="G1821" s="191">
        <v>21</v>
      </c>
      <c r="H1821" s="192">
        <v>0</v>
      </c>
      <c r="I1821" s="192">
        <v>406.62</v>
      </c>
      <c r="J1821" s="192">
        <f>SUM(H1821:I1821)</f>
        <v>406.62</v>
      </c>
    </row>
    <row r="1822" spans="1:10" outlineLevel="2">
      <c r="A1822" s="191" t="s">
        <v>853</v>
      </c>
      <c r="B1822" s="191" t="s">
        <v>368</v>
      </c>
      <c r="C1822" s="191" t="s">
        <v>846</v>
      </c>
      <c r="D1822" s="191" t="s">
        <v>2554</v>
      </c>
      <c r="E1822" s="191" t="s">
        <v>2759</v>
      </c>
      <c r="F1822" s="191" t="s">
        <v>2759</v>
      </c>
      <c r="G1822" s="191">
        <v>7</v>
      </c>
      <c r="H1822" s="192">
        <v>0</v>
      </c>
      <c r="I1822" s="192">
        <v>54.26</v>
      </c>
      <c r="J1822" s="192">
        <f>SUM(H1822:I1822)</f>
        <v>54.26</v>
      </c>
    </row>
    <row r="1823" spans="1:10" outlineLevel="2">
      <c r="A1823" s="191" t="s">
        <v>853</v>
      </c>
      <c r="B1823" s="191" t="s">
        <v>368</v>
      </c>
      <c r="C1823" s="191" t="s">
        <v>846</v>
      </c>
      <c r="D1823" s="191" t="s">
        <v>2554</v>
      </c>
      <c r="E1823" s="191" t="s">
        <v>2613</v>
      </c>
      <c r="F1823" s="191" t="s">
        <v>2700</v>
      </c>
      <c r="G1823" s="191">
        <v>14</v>
      </c>
      <c r="H1823" s="192">
        <v>0</v>
      </c>
      <c r="I1823" s="192">
        <v>108.52</v>
      </c>
      <c r="J1823" s="192">
        <f>SUM(H1823:I1823)</f>
        <v>108.52</v>
      </c>
    </row>
    <row r="1824" spans="1:10" outlineLevel="2">
      <c r="A1824" s="191" t="s">
        <v>853</v>
      </c>
      <c r="B1824" s="191" t="s">
        <v>378</v>
      </c>
      <c r="C1824" s="191" t="s">
        <v>846</v>
      </c>
      <c r="D1824" s="191" t="s">
        <v>2566</v>
      </c>
      <c r="E1824" s="191" t="s">
        <v>2702</v>
      </c>
      <c r="F1824" s="191" t="s">
        <v>2640</v>
      </c>
      <c r="G1824" s="191">
        <v>21</v>
      </c>
      <c r="H1824" s="192">
        <v>0</v>
      </c>
      <c r="I1824" s="192">
        <v>176.91</v>
      </c>
      <c r="J1824" s="192">
        <f>SUM(H1824:I1824)</f>
        <v>176.91</v>
      </c>
    </row>
    <row r="1825" spans="1:10" outlineLevel="2">
      <c r="A1825" s="191" t="s">
        <v>854</v>
      </c>
      <c r="B1825" s="191" t="s">
        <v>848</v>
      </c>
      <c r="C1825" s="191" t="s">
        <v>846</v>
      </c>
      <c r="D1825" s="191" t="s">
        <v>2107</v>
      </c>
      <c r="E1825" s="191" t="s">
        <v>2661</v>
      </c>
      <c r="F1825" s="191" t="s">
        <v>2661</v>
      </c>
      <c r="G1825" s="191">
        <v>7</v>
      </c>
      <c r="H1825" s="192">
        <v>0</v>
      </c>
      <c r="I1825" s="192">
        <v>148.94</v>
      </c>
      <c r="J1825" s="192">
        <f>SUM(H1825:I1825)</f>
        <v>148.94</v>
      </c>
    </row>
    <row r="1826" spans="1:10" outlineLevel="2">
      <c r="A1826" s="191" t="s">
        <v>854</v>
      </c>
      <c r="B1826" s="191" t="s">
        <v>848</v>
      </c>
      <c r="C1826" s="191" t="s">
        <v>846</v>
      </c>
      <c r="D1826" s="191" t="s">
        <v>2567</v>
      </c>
      <c r="E1826" s="191" t="s">
        <v>2664</v>
      </c>
      <c r="F1826" s="191" t="s">
        <v>2664</v>
      </c>
      <c r="G1826" s="191">
        <v>7</v>
      </c>
      <c r="H1826" s="192">
        <v>0</v>
      </c>
      <c r="I1826" s="192">
        <v>148.94</v>
      </c>
      <c r="J1826" s="192">
        <f>SUM(H1826:I1826)</f>
        <v>148.94</v>
      </c>
    </row>
    <row r="1827" spans="1:10" outlineLevel="2">
      <c r="A1827" s="191" t="s">
        <v>854</v>
      </c>
      <c r="B1827" s="191" t="s">
        <v>848</v>
      </c>
      <c r="C1827" s="191" t="s">
        <v>846</v>
      </c>
      <c r="D1827" s="191" t="s">
        <v>2568</v>
      </c>
      <c r="E1827" s="191" t="s">
        <v>2719</v>
      </c>
      <c r="F1827" s="191" t="s">
        <v>2639</v>
      </c>
      <c r="G1827" s="191">
        <v>14</v>
      </c>
      <c r="H1827" s="192">
        <v>0</v>
      </c>
      <c r="I1827" s="192">
        <v>297.88</v>
      </c>
      <c r="J1827" s="192">
        <f>SUM(H1827:I1827)</f>
        <v>297.88</v>
      </c>
    </row>
    <row r="1828" spans="1:10" outlineLevel="2">
      <c r="A1828" s="191" t="s">
        <v>854</v>
      </c>
      <c r="B1828" s="191" t="s">
        <v>848</v>
      </c>
      <c r="C1828" s="191" t="s">
        <v>846</v>
      </c>
      <c r="D1828" s="191" t="s">
        <v>2569</v>
      </c>
      <c r="E1828" s="191" t="s">
        <v>2709</v>
      </c>
      <c r="F1828" s="191" t="s">
        <v>1482</v>
      </c>
      <c r="G1828" s="191">
        <v>28</v>
      </c>
      <c r="H1828" s="192">
        <v>0</v>
      </c>
      <c r="I1828" s="192">
        <v>595.76</v>
      </c>
      <c r="J1828" s="192">
        <f>SUM(H1828:I1828)</f>
        <v>595.76</v>
      </c>
    </row>
    <row r="1829" spans="1:10" outlineLevel="2">
      <c r="A1829" s="191" t="s">
        <v>855</v>
      </c>
      <c r="B1829" s="191" t="s">
        <v>856</v>
      </c>
      <c r="C1829" s="191" t="s">
        <v>846</v>
      </c>
      <c r="D1829" s="191" t="s">
        <v>2570</v>
      </c>
      <c r="E1829" s="191" t="s">
        <v>1494</v>
      </c>
      <c r="F1829" s="191" t="s">
        <v>1494</v>
      </c>
      <c r="G1829" s="191">
        <v>7</v>
      </c>
      <c r="H1829" s="192">
        <v>0</v>
      </c>
      <c r="I1829" s="192">
        <v>219.1</v>
      </c>
      <c r="J1829" s="192">
        <f>SUM(H1829:I1829)</f>
        <v>219.1</v>
      </c>
    </row>
    <row r="1830" spans="1:10" outlineLevel="2">
      <c r="A1830" s="191" t="s">
        <v>855</v>
      </c>
      <c r="B1830" s="191" t="s">
        <v>856</v>
      </c>
      <c r="C1830" s="191" t="s">
        <v>846</v>
      </c>
      <c r="D1830" s="191" t="s">
        <v>2556</v>
      </c>
      <c r="E1830" s="191" t="s">
        <v>2627</v>
      </c>
      <c r="F1830" s="191" t="s">
        <v>1482</v>
      </c>
      <c r="G1830" s="191">
        <v>21</v>
      </c>
      <c r="H1830" s="192">
        <v>0</v>
      </c>
      <c r="I1830" s="192">
        <v>654.12</v>
      </c>
      <c r="J1830" s="192">
        <f>SUM(H1830:I1830)</f>
        <v>654.12</v>
      </c>
    </row>
    <row r="1831" spans="1:10" outlineLevel="2">
      <c r="A1831" s="191" t="s">
        <v>855</v>
      </c>
      <c r="B1831" s="191" t="s">
        <v>856</v>
      </c>
      <c r="C1831" s="191" t="s">
        <v>846</v>
      </c>
      <c r="D1831" s="191" t="s">
        <v>2555</v>
      </c>
      <c r="E1831" s="191" t="s">
        <v>2615</v>
      </c>
      <c r="F1831" s="191" t="s">
        <v>1500</v>
      </c>
      <c r="G1831" s="191">
        <v>28</v>
      </c>
      <c r="H1831" s="192">
        <v>0</v>
      </c>
      <c r="I1831" s="192">
        <v>876.4</v>
      </c>
      <c r="J1831" s="192">
        <f>SUM(H1831:I1831)</f>
        <v>876.4</v>
      </c>
    </row>
    <row r="1832" spans="1:10" outlineLevel="2">
      <c r="A1832" s="191" t="s">
        <v>2981</v>
      </c>
      <c r="B1832" s="191" t="s">
        <v>848</v>
      </c>
      <c r="C1832" s="191" t="s">
        <v>846</v>
      </c>
      <c r="D1832" s="191" t="s">
        <v>2571</v>
      </c>
      <c r="E1832" s="191" t="s">
        <v>2586</v>
      </c>
      <c r="F1832" s="191" t="s">
        <v>2586</v>
      </c>
      <c r="G1832" s="191">
        <v>7</v>
      </c>
      <c r="H1832" s="192">
        <v>0</v>
      </c>
      <c r="I1832" s="192">
        <v>136.59</v>
      </c>
      <c r="J1832" s="192">
        <f>SUM(H1832:I1832)</f>
        <v>136.59</v>
      </c>
    </row>
    <row r="1833" spans="1:10" outlineLevel="2">
      <c r="A1833" s="191" t="s">
        <v>2981</v>
      </c>
      <c r="B1833" s="191" t="s">
        <v>848</v>
      </c>
      <c r="C1833" s="191" t="s">
        <v>846</v>
      </c>
      <c r="D1833" s="191" t="s">
        <v>2572</v>
      </c>
      <c r="E1833" s="191" t="s">
        <v>1494</v>
      </c>
      <c r="F1833" s="191" t="s">
        <v>1494</v>
      </c>
      <c r="G1833" s="191">
        <v>7</v>
      </c>
      <c r="H1833" s="192">
        <v>0</v>
      </c>
      <c r="I1833" s="192">
        <v>137.25</v>
      </c>
      <c r="J1833" s="192">
        <f>SUM(H1833:I1833)</f>
        <v>137.25</v>
      </c>
    </row>
    <row r="1834" spans="1:10" outlineLevel="2">
      <c r="A1834" s="191" t="s">
        <v>2981</v>
      </c>
      <c r="B1834" s="191" t="s">
        <v>848</v>
      </c>
      <c r="C1834" s="191" t="s">
        <v>846</v>
      </c>
      <c r="D1834" s="191" t="s">
        <v>2555</v>
      </c>
      <c r="E1834" s="191" t="s">
        <v>2615</v>
      </c>
      <c r="F1834" s="191" t="s">
        <v>1500</v>
      </c>
      <c r="G1834" s="191">
        <v>28</v>
      </c>
      <c r="H1834" s="192">
        <v>0</v>
      </c>
      <c r="I1834" s="192">
        <v>549</v>
      </c>
      <c r="J1834" s="192">
        <f>SUM(H1834:I1834)</f>
        <v>549</v>
      </c>
    </row>
    <row r="1835" spans="1:10" outlineLevel="2">
      <c r="A1835" s="191" t="s">
        <v>858</v>
      </c>
      <c r="B1835" s="191" t="s">
        <v>848</v>
      </c>
      <c r="C1835" s="191" t="s">
        <v>846</v>
      </c>
      <c r="D1835" s="191" t="s">
        <v>2555</v>
      </c>
      <c r="E1835" s="191" t="s">
        <v>2615</v>
      </c>
      <c r="F1835" s="191" t="s">
        <v>2615</v>
      </c>
      <c r="G1835" s="191">
        <v>7</v>
      </c>
      <c r="H1835" s="192">
        <v>0</v>
      </c>
      <c r="I1835" s="192">
        <v>137.25</v>
      </c>
      <c r="J1835" s="192">
        <f>SUM(H1835:I1835)</f>
        <v>137.25</v>
      </c>
    </row>
    <row r="1836" spans="1:10" outlineLevel="2">
      <c r="A1836" s="191" t="s">
        <v>858</v>
      </c>
      <c r="B1836" s="191" t="s">
        <v>848</v>
      </c>
      <c r="C1836" s="191" t="s">
        <v>846</v>
      </c>
      <c r="D1836" s="191" t="s">
        <v>1095</v>
      </c>
      <c r="E1836" s="191" t="s">
        <v>2734</v>
      </c>
      <c r="F1836" s="191" t="s">
        <v>2710</v>
      </c>
      <c r="G1836" s="191">
        <v>14</v>
      </c>
      <c r="H1836" s="192">
        <v>0</v>
      </c>
      <c r="I1836" s="192">
        <v>269.76</v>
      </c>
      <c r="J1836" s="192">
        <f>SUM(H1836:I1836)</f>
        <v>269.76</v>
      </c>
    </row>
    <row r="1837" spans="1:10" outlineLevel="2">
      <c r="A1837" s="191" t="s">
        <v>858</v>
      </c>
      <c r="B1837" s="191" t="s">
        <v>848</v>
      </c>
      <c r="C1837" s="191" t="s">
        <v>846</v>
      </c>
      <c r="D1837" s="191" t="s">
        <v>1923</v>
      </c>
      <c r="E1837" s="191" t="s">
        <v>2639</v>
      </c>
      <c r="F1837" s="191" t="s">
        <v>2608</v>
      </c>
      <c r="G1837" s="191">
        <v>14</v>
      </c>
      <c r="H1837" s="192">
        <v>0</v>
      </c>
      <c r="I1837" s="192">
        <v>269.76</v>
      </c>
      <c r="J1837" s="192">
        <f>SUM(H1837:I1837)</f>
        <v>269.76</v>
      </c>
    </row>
    <row r="1838" spans="1:10" outlineLevel="2">
      <c r="A1838" s="191" t="s">
        <v>858</v>
      </c>
      <c r="B1838" s="191" t="s">
        <v>848</v>
      </c>
      <c r="C1838" s="191" t="s">
        <v>846</v>
      </c>
      <c r="D1838" s="191" t="s">
        <v>2573</v>
      </c>
      <c r="E1838" s="191" t="s">
        <v>2624</v>
      </c>
      <c r="F1838" s="191" t="s">
        <v>1496</v>
      </c>
      <c r="G1838" s="191">
        <v>21</v>
      </c>
      <c r="H1838" s="192">
        <v>0</v>
      </c>
      <c r="I1838" s="192">
        <v>404.64</v>
      </c>
      <c r="J1838" s="192">
        <f>SUM(H1838:I1838)</f>
        <v>404.64</v>
      </c>
    </row>
    <row r="1839" spans="1:10" outlineLevel="2">
      <c r="A1839" s="191" t="s">
        <v>859</v>
      </c>
      <c r="B1839" s="191" t="s">
        <v>848</v>
      </c>
      <c r="C1839" s="191" t="s">
        <v>846</v>
      </c>
      <c r="D1839" s="191" t="s">
        <v>2556</v>
      </c>
      <c r="E1839" s="191" t="s">
        <v>2627</v>
      </c>
      <c r="F1839" s="191" t="s">
        <v>1482</v>
      </c>
      <c r="G1839" s="191">
        <v>21</v>
      </c>
      <c r="H1839" s="192">
        <v>0</v>
      </c>
      <c r="I1839" s="192">
        <v>404.64</v>
      </c>
      <c r="J1839" s="192">
        <f>SUM(H1839:I1839)</f>
        <v>404.64</v>
      </c>
    </row>
    <row r="1840" spans="1:10" outlineLevel="2">
      <c r="A1840" s="191" t="s">
        <v>859</v>
      </c>
      <c r="B1840" s="191" t="s">
        <v>848</v>
      </c>
      <c r="C1840" s="191" t="s">
        <v>846</v>
      </c>
      <c r="D1840" s="191" t="s">
        <v>2574</v>
      </c>
      <c r="E1840" s="191" t="s">
        <v>2615</v>
      </c>
      <c r="F1840" s="191" t="s">
        <v>1500</v>
      </c>
      <c r="G1840" s="191">
        <v>28</v>
      </c>
      <c r="H1840" s="192">
        <v>0</v>
      </c>
      <c r="I1840" s="192">
        <v>542.16</v>
      </c>
      <c r="J1840" s="192">
        <f>SUM(H1840:I1840)</f>
        <v>542.16</v>
      </c>
    </row>
    <row r="1841" spans="1:10" outlineLevel="2">
      <c r="A1841" s="191" t="s">
        <v>860</v>
      </c>
      <c r="B1841" s="191" t="s">
        <v>848</v>
      </c>
      <c r="C1841" s="191" t="s">
        <v>846</v>
      </c>
      <c r="D1841" s="191" t="s">
        <v>2575</v>
      </c>
      <c r="E1841" s="191" t="s">
        <v>2679</v>
      </c>
      <c r="F1841" s="191" t="s">
        <v>2679</v>
      </c>
      <c r="G1841" s="191">
        <v>7</v>
      </c>
      <c r="H1841" s="192">
        <v>0</v>
      </c>
      <c r="I1841" s="192">
        <v>152.35</v>
      </c>
      <c r="J1841" s="192">
        <f>SUM(H1841:I1841)</f>
        <v>152.35</v>
      </c>
    </row>
    <row r="1842" spans="1:10" outlineLevel="2">
      <c r="A1842" s="191" t="s">
        <v>860</v>
      </c>
      <c r="B1842" s="191" t="s">
        <v>848</v>
      </c>
      <c r="C1842" s="191" t="s">
        <v>846</v>
      </c>
      <c r="D1842" s="191" t="s">
        <v>2572</v>
      </c>
      <c r="E1842" s="191" t="s">
        <v>1494</v>
      </c>
      <c r="F1842" s="191" t="s">
        <v>1494</v>
      </c>
      <c r="G1842" s="191">
        <v>7</v>
      </c>
      <c r="H1842" s="192">
        <v>0</v>
      </c>
      <c r="I1842" s="192">
        <v>153.09</v>
      </c>
      <c r="J1842" s="192">
        <f>SUM(H1842:I1842)</f>
        <v>153.09</v>
      </c>
    </row>
    <row r="1843" spans="1:10" outlineLevel="2">
      <c r="A1843" s="191" t="s">
        <v>860</v>
      </c>
      <c r="B1843" s="191" t="s">
        <v>848</v>
      </c>
      <c r="C1843" s="191" t="s">
        <v>846</v>
      </c>
      <c r="D1843" s="191" t="s">
        <v>2576</v>
      </c>
      <c r="E1843" s="191" t="s">
        <v>2702</v>
      </c>
      <c r="F1843" s="191" t="s">
        <v>2640</v>
      </c>
      <c r="G1843" s="191">
        <v>21</v>
      </c>
      <c r="H1843" s="192">
        <v>0</v>
      </c>
      <c r="I1843" s="192">
        <v>459.27</v>
      </c>
      <c r="J1843" s="192">
        <f>SUM(H1843:I1843)</f>
        <v>459.27</v>
      </c>
    </row>
    <row r="1844" spans="1:10" outlineLevel="2">
      <c r="A1844" s="191" t="s">
        <v>2982</v>
      </c>
      <c r="B1844" s="191" t="s">
        <v>848</v>
      </c>
      <c r="C1844" s="191" t="s">
        <v>846</v>
      </c>
      <c r="D1844" s="191" t="s">
        <v>2556</v>
      </c>
      <c r="E1844" s="191" t="s">
        <v>2709</v>
      </c>
      <c r="F1844" s="191" t="s">
        <v>1482</v>
      </c>
      <c r="G1844" s="191">
        <v>28</v>
      </c>
      <c r="H1844" s="192">
        <v>0</v>
      </c>
      <c r="I1844" s="192">
        <v>640.4</v>
      </c>
      <c r="J1844" s="192">
        <f>SUM(H1844:I1844)</f>
        <v>640.4</v>
      </c>
    </row>
    <row r="1845" spans="1:10" outlineLevel="1">
      <c r="A1845" s="193" t="s">
        <v>3044</v>
      </c>
      <c r="B1845" s="194"/>
      <c r="C1845" s="194"/>
      <c r="D1845" s="194"/>
      <c r="E1845" s="194"/>
      <c r="F1845" s="194"/>
      <c r="G1845" s="194">
        <f>SUBTOTAL(9,G1804:G1844)</f>
        <v>679</v>
      </c>
      <c r="H1845" s="195">
        <f>SUBTOTAL(9,H1804:H1844)</f>
        <v>0</v>
      </c>
      <c r="I1845" s="195">
        <f>SUBTOTAL(9,I1804:I1844)</f>
        <v>13312.64</v>
      </c>
      <c r="J1845" s="195">
        <f>SUBTOTAL(9,J1804:J1844)</f>
        <v>13312.64</v>
      </c>
    </row>
    <row r="1846" spans="1:10" outlineLevel="2">
      <c r="A1846" s="191" t="s">
        <v>761</v>
      </c>
      <c r="B1846" s="191" t="s">
        <v>862</v>
      </c>
      <c r="C1846" s="191" t="s">
        <v>863</v>
      </c>
      <c r="D1846" s="191" t="s">
        <v>2422</v>
      </c>
      <c r="E1846" s="191" t="s">
        <v>2630</v>
      </c>
      <c r="F1846" s="191" t="s">
        <v>2617</v>
      </c>
      <c r="G1846" s="191">
        <v>14</v>
      </c>
      <c r="H1846" s="192">
        <v>0</v>
      </c>
      <c r="I1846" s="192">
        <v>335.24</v>
      </c>
      <c r="J1846" s="192">
        <f>SUM(H1846:I1846)</f>
        <v>335.24</v>
      </c>
    </row>
    <row r="1847" spans="1:10" outlineLevel="2">
      <c r="A1847" s="191" t="s">
        <v>861</v>
      </c>
      <c r="B1847" s="191" t="s">
        <v>862</v>
      </c>
      <c r="C1847" s="191" t="s">
        <v>863</v>
      </c>
      <c r="D1847" s="191" t="s">
        <v>2577</v>
      </c>
      <c r="E1847" s="191" t="s">
        <v>2666</v>
      </c>
      <c r="F1847" s="191" t="s">
        <v>2594</v>
      </c>
      <c r="G1847" s="191">
        <v>14</v>
      </c>
      <c r="H1847" s="192">
        <v>0</v>
      </c>
      <c r="I1847" s="192">
        <v>355.74</v>
      </c>
      <c r="J1847" s="192">
        <f>SUM(H1847:I1847)</f>
        <v>355.74</v>
      </c>
    </row>
    <row r="1848" spans="1:10" outlineLevel="2">
      <c r="A1848" s="191" t="s">
        <v>861</v>
      </c>
      <c r="B1848" s="191" t="s">
        <v>862</v>
      </c>
      <c r="C1848" s="191" t="s">
        <v>863</v>
      </c>
      <c r="D1848" s="191" t="s">
        <v>2578</v>
      </c>
      <c r="E1848" s="191" t="s">
        <v>2591</v>
      </c>
      <c r="F1848" s="191" t="s">
        <v>1486</v>
      </c>
      <c r="G1848" s="191">
        <v>14</v>
      </c>
      <c r="H1848" s="192">
        <v>0</v>
      </c>
      <c r="I1848" s="192">
        <v>355.74</v>
      </c>
      <c r="J1848" s="192">
        <f>SUM(H1848:I1848)</f>
        <v>355.74</v>
      </c>
    </row>
    <row r="1849" spans="1:10" outlineLevel="2">
      <c r="A1849" s="191" t="s">
        <v>272</v>
      </c>
      <c r="B1849" s="191" t="s">
        <v>862</v>
      </c>
      <c r="C1849" s="191" t="s">
        <v>863</v>
      </c>
      <c r="D1849" s="191" t="s">
        <v>2579</v>
      </c>
      <c r="E1849" s="191" t="s">
        <v>2678</v>
      </c>
      <c r="F1849" s="191" t="s">
        <v>2678</v>
      </c>
      <c r="G1849" s="191">
        <v>7</v>
      </c>
      <c r="H1849" s="192">
        <v>0</v>
      </c>
      <c r="I1849" s="192">
        <v>165.9</v>
      </c>
      <c r="J1849" s="192">
        <f>SUM(H1849:I1849)</f>
        <v>165.9</v>
      </c>
    </row>
    <row r="1850" spans="1:10" outlineLevel="2">
      <c r="A1850" s="191" t="s">
        <v>864</v>
      </c>
      <c r="B1850" s="191" t="s">
        <v>862</v>
      </c>
      <c r="C1850" s="191" t="s">
        <v>863</v>
      </c>
      <c r="D1850" s="191" t="s">
        <v>2580</v>
      </c>
      <c r="E1850" s="191" t="s">
        <v>2590</v>
      </c>
      <c r="F1850" s="191" t="s">
        <v>2590</v>
      </c>
      <c r="G1850" s="191">
        <v>7</v>
      </c>
      <c r="H1850" s="192">
        <v>0</v>
      </c>
      <c r="I1850" s="192">
        <v>159.38999999999999</v>
      </c>
      <c r="J1850" s="192">
        <f>SUM(H1850:I1850)</f>
        <v>159.38999999999999</v>
      </c>
    </row>
    <row r="1851" spans="1:10" outlineLevel="2">
      <c r="A1851" s="191" t="s">
        <v>864</v>
      </c>
      <c r="B1851" s="191" t="s">
        <v>862</v>
      </c>
      <c r="C1851" s="191" t="s">
        <v>863</v>
      </c>
      <c r="D1851" s="191" t="s">
        <v>2578</v>
      </c>
      <c r="E1851" s="191" t="s">
        <v>2591</v>
      </c>
      <c r="F1851" s="191" t="s">
        <v>1486</v>
      </c>
      <c r="G1851" s="191">
        <v>14</v>
      </c>
      <c r="H1851" s="192">
        <v>0</v>
      </c>
      <c r="I1851" s="192">
        <v>317.22000000000003</v>
      </c>
      <c r="J1851" s="192">
        <f>SUM(H1851:I1851)</f>
        <v>317.22000000000003</v>
      </c>
    </row>
    <row r="1852" spans="1:10" outlineLevel="2">
      <c r="A1852" s="191" t="s">
        <v>864</v>
      </c>
      <c r="B1852" s="191" t="s">
        <v>862</v>
      </c>
      <c r="C1852" s="191" t="s">
        <v>863</v>
      </c>
      <c r="D1852" s="191" t="s">
        <v>1515</v>
      </c>
      <c r="E1852" s="191" t="s">
        <v>1495</v>
      </c>
      <c r="F1852" s="191" t="s">
        <v>1496</v>
      </c>
      <c r="G1852" s="191">
        <v>14</v>
      </c>
      <c r="H1852" s="192">
        <v>0</v>
      </c>
      <c r="I1852" s="192">
        <v>317.22000000000003</v>
      </c>
      <c r="J1852" s="192">
        <f>SUM(H1852:I1852)</f>
        <v>317.22000000000003</v>
      </c>
    </row>
    <row r="1853" spans="1:10" outlineLevel="2">
      <c r="A1853" s="191" t="s">
        <v>865</v>
      </c>
      <c r="B1853" s="191" t="s">
        <v>862</v>
      </c>
      <c r="C1853" s="191" t="s">
        <v>863</v>
      </c>
      <c r="D1853" s="191" t="s">
        <v>2581</v>
      </c>
      <c r="E1853" s="191" t="s">
        <v>1495</v>
      </c>
      <c r="F1853" s="191" t="s">
        <v>1496</v>
      </c>
      <c r="G1853" s="191">
        <v>14</v>
      </c>
      <c r="H1853" s="192">
        <v>0</v>
      </c>
      <c r="I1853" s="192">
        <v>355.74</v>
      </c>
      <c r="J1853" s="192">
        <f>SUM(H1853:I1853)</f>
        <v>355.74</v>
      </c>
    </row>
    <row r="1854" spans="1:10" outlineLevel="2">
      <c r="A1854" s="191" t="s">
        <v>865</v>
      </c>
      <c r="B1854" s="191" t="s">
        <v>862</v>
      </c>
      <c r="C1854" s="191" t="s">
        <v>863</v>
      </c>
      <c r="D1854" s="191" t="s">
        <v>2582</v>
      </c>
      <c r="E1854" s="191" t="s">
        <v>2649</v>
      </c>
      <c r="F1854" s="191" t="s">
        <v>2585</v>
      </c>
      <c r="G1854" s="191">
        <v>14</v>
      </c>
      <c r="H1854" s="192">
        <v>0</v>
      </c>
      <c r="I1854" s="192">
        <v>355.74</v>
      </c>
      <c r="J1854" s="192">
        <f>SUM(H1854:I1854)</f>
        <v>355.74</v>
      </c>
    </row>
    <row r="1855" spans="1:10" outlineLevel="2">
      <c r="A1855" s="191" t="s">
        <v>866</v>
      </c>
      <c r="B1855" s="191" t="s">
        <v>862</v>
      </c>
      <c r="C1855" s="191" t="s">
        <v>863</v>
      </c>
      <c r="D1855" s="191" t="s">
        <v>2583</v>
      </c>
      <c r="E1855" s="191" t="s">
        <v>2649</v>
      </c>
      <c r="F1855" s="191" t="s">
        <v>2585</v>
      </c>
      <c r="G1855" s="191">
        <v>14</v>
      </c>
      <c r="H1855" s="192">
        <v>0</v>
      </c>
      <c r="I1855" s="192">
        <v>337</v>
      </c>
      <c r="J1855" s="192">
        <f>SUM(H1855:I1855)</f>
        <v>337</v>
      </c>
    </row>
    <row r="1856" spans="1:10" outlineLevel="2">
      <c r="A1856" s="191" t="s">
        <v>866</v>
      </c>
      <c r="B1856" s="191" t="s">
        <v>862</v>
      </c>
      <c r="C1856" s="191" t="s">
        <v>863</v>
      </c>
      <c r="D1856" s="191" t="s">
        <v>1954</v>
      </c>
      <c r="E1856" s="191" t="s">
        <v>2630</v>
      </c>
      <c r="F1856" s="191" t="s">
        <v>2617</v>
      </c>
      <c r="G1856" s="191">
        <v>14</v>
      </c>
      <c r="H1856" s="192">
        <v>0</v>
      </c>
      <c r="I1856" s="192">
        <v>338.66</v>
      </c>
      <c r="J1856" s="192">
        <f>SUM(H1856:I1856)</f>
        <v>338.66</v>
      </c>
    </row>
    <row r="1857" spans="1:10" outlineLevel="1">
      <c r="A1857" s="193" t="s">
        <v>3045</v>
      </c>
      <c r="B1857" s="194"/>
      <c r="C1857" s="194"/>
      <c r="D1857" s="194"/>
      <c r="E1857" s="194"/>
      <c r="F1857" s="194"/>
      <c r="G1857" s="194">
        <f>SUBTOTAL(9,G1846:G1856)</f>
        <v>140</v>
      </c>
      <c r="H1857" s="195">
        <f>SUBTOTAL(9,H1846:H1856)</f>
        <v>0</v>
      </c>
      <c r="I1857" s="195">
        <f>SUBTOTAL(9,I1846:I1856)</f>
        <v>3393.59</v>
      </c>
      <c r="J1857" s="195">
        <f>SUBTOTAL(9,J1846:J1856)</f>
        <v>3393.59</v>
      </c>
    </row>
    <row r="1858" spans="1:10" outlineLevel="2">
      <c r="A1858" s="191" t="s">
        <v>1064</v>
      </c>
      <c r="B1858" s="191" t="s">
        <v>967</v>
      </c>
      <c r="C1858" s="191" t="s">
        <v>867</v>
      </c>
      <c r="D1858" s="191" t="s">
        <v>1568</v>
      </c>
      <c r="E1858" s="191" t="s">
        <v>2640</v>
      </c>
      <c r="F1858" s="191" t="s">
        <v>2640</v>
      </c>
      <c r="G1858" s="191">
        <v>7</v>
      </c>
      <c r="H1858" s="192">
        <v>0</v>
      </c>
      <c r="I1858" s="192">
        <v>63.25</v>
      </c>
      <c r="J1858" s="192">
        <f>SUM(H1858:I1858)</f>
        <v>63.25</v>
      </c>
    </row>
    <row r="1859" spans="1:10" outlineLevel="2">
      <c r="A1859" s="191" t="s">
        <v>1064</v>
      </c>
      <c r="B1859" s="191" t="s">
        <v>967</v>
      </c>
      <c r="C1859" s="191" t="s">
        <v>867</v>
      </c>
      <c r="D1859" s="191" t="s">
        <v>1997</v>
      </c>
      <c r="E1859" s="191" t="s">
        <v>1499</v>
      </c>
      <c r="F1859" s="191" t="s">
        <v>1500</v>
      </c>
      <c r="G1859" s="191">
        <v>14</v>
      </c>
      <c r="H1859" s="192">
        <v>0</v>
      </c>
      <c r="I1859" s="192">
        <v>132.66</v>
      </c>
      <c r="J1859" s="192">
        <f>SUM(H1859:I1859)</f>
        <v>132.66</v>
      </c>
    </row>
    <row r="1860" spans="1:10" outlineLevel="2">
      <c r="A1860" s="191" t="s">
        <v>1064</v>
      </c>
      <c r="B1860" s="191" t="s">
        <v>967</v>
      </c>
      <c r="C1860" s="191" t="s">
        <v>867</v>
      </c>
      <c r="D1860" s="191" t="s">
        <v>2584</v>
      </c>
      <c r="E1860" s="191" t="s">
        <v>2629</v>
      </c>
      <c r="F1860" s="191" t="s">
        <v>1504</v>
      </c>
      <c r="G1860" s="191">
        <v>35</v>
      </c>
      <c r="H1860" s="192">
        <v>0</v>
      </c>
      <c r="I1860" s="192">
        <v>330</v>
      </c>
      <c r="J1860" s="192">
        <f>SUM(H1860:I1860)</f>
        <v>330</v>
      </c>
    </row>
    <row r="1861" spans="1:10" outlineLevel="1">
      <c r="A1861" s="193" t="s">
        <v>1475</v>
      </c>
      <c r="B1861" s="194"/>
      <c r="C1861" s="194"/>
      <c r="D1861" s="194"/>
      <c r="E1861" s="194"/>
      <c r="F1861" s="194"/>
      <c r="G1861" s="194">
        <f>SUBTOTAL(9,G1858:G1860)</f>
        <v>56</v>
      </c>
      <c r="H1861" s="195">
        <f>SUBTOTAL(9,H1858:H1860)</f>
        <v>0</v>
      </c>
      <c r="I1861" s="195">
        <f>SUBTOTAL(9,I1858:I1860)</f>
        <v>525.91</v>
      </c>
      <c r="J1861" s="195">
        <f>SUBTOTAL(9,J1858:J1860)</f>
        <v>525.91</v>
      </c>
    </row>
    <row r="1862" spans="1:10" outlineLevel="2">
      <c r="A1862" s="191" t="s">
        <v>868</v>
      </c>
      <c r="B1862" s="191" t="s">
        <v>106</v>
      </c>
      <c r="C1862" s="191" t="s">
        <v>869</v>
      </c>
      <c r="D1862" s="191" t="s">
        <v>2321</v>
      </c>
      <c r="E1862" s="191" t="s">
        <v>2752</v>
      </c>
      <c r="F1862" s="191" t="s">
        <v>2752</v>
      </c>
      <c r="G1862" s="191">
        <v>7</v>
      </c>
      <c r="H1862" s="192">
        <v>0</v>
      </c>
      <c r="I1862" s="192">
        <v>157.03</v>
      </c>
      <c r="J1862" s="192">
        <f>SUM(H1862:I1862)</f>
        <v>157.03</v>
      </c>
    </row>
    <row r="1863" spans="1:10" outlineLevel="2">
      <c r="A1863" s="191" t="s">
        <v>868</v>
      </c>
      <c r="B1863" s="191" t="s">
        <v>106</v>
      </c>
      <c r="C1863" s="191" t="s">
        <v>869</v>
      </c>
      <c r="D1863" s="191" t="s">
        <v>1530</v>
      </c>
      <c r="E1863" s="191" t="s">
        <v>1489</v>
      </c>
      <c r="F1863" s="191" t="s">
        <v>1490</v>
      </c>
      <c r="G1863" s="191">
        <v>14</v>
      </c>
      <c r="H1863" s="192">
        <v>0</v>
      </c>
      <c r="I1863" s="192">
        <v>315.60000000000002</v>
      </c>
      <c r="J1863" s="192">
        <f>SUM(H1863:I1863)</f>
        <v>315.60000000000002</v>
      </c>
    </row>
    <row r="1864" spans="1:10" outlineLevel="1">
      <c r="A1864" s="193" t="s">
        <v>3046</v>
      </c>
      <c r="B1864" s="194"/>
      <c r="C1864" s="194"/>
      <c r="D1864" s="194"/>
      <c r="E1864" s="194"/>
      <c r="F1864" s="194"/>
      <c r="G1864" s="194">
        <f>SUBTOTAL(9,G1862:G1863)</f>
        <v>21</v>
      </c>
      <c r="H1864" s="195">
        <f>SUBTOTAL(9,H1862:H1863)</f>
        <v>0</v>
      </c>
      <c r="I1864" s="195">
        <f>SUBTOTAL(9,I1862:I1863)</f>
        <v>472.63</v>
      </c>
      <c r="J1864" s="195">
        <f>SUBTOTAL(9,J1862:J1863)</f>
        <v>472.63</v>
      </c>
    </row>
    <row r="1865" spans="1:10" ht="24.95" customHeight="1">
      <c r="A1865" s="216" t="s">
        <v>53</v>
      </c>
      <c r="B1865" s="216"/>
      <c r="C1865" s="217"/>
      <c r="D1865" s="217"/>
      <c r="E1865" s="217"/>
      <c r="F1865" s="217"/>
      <c r="G1865" s="218">
        <f>SUBTOTAL(9,G14:G1863)</f>
        <v>23884</v>
      </c>
      <c r="H1865" s="219">
        <f>SUBTOTAL(9,H14:H1863)</f>
        <v>11437.5</v>
      </c>
      <c r="I1865" s="219">
        <f>SUBTOTAL(9,I14:I1863)</f>
        <v>465694.31000000029</v>
      </c>
      <c r="J1865" s="219">
        <f>SUBTOTAL(9,J14:J1863)</f>
        <v>477131.81000000046</v>
      </c>
    </row>
    <row r="1867" spans="1:10">
      <c r="A1867" s="55" t="s">
        <v>36</v>
      </c>
    </row>
    <row r="1868" spans="1:10">
      <c r="A1868" s="55" t="s">
        <v>37</v>
      </c>
    </row>
    <row r="1869" spans="1:10">
      <c r="A1869" s="130" t="s">
        <v>870</v>
      </c>
    </row>
  </sheetData>
  <autoFilter ref="A13:J1864" xr:uid="{00000000-0009-0000-0000-00000B000000}"/>
  <sortState xmlns:xlrd2="http://schemas.microsoft.com/office/spreadsheetml/2017/richdata2" ref="A14:J1863">
    <sortCondition ref="C14:C1863"/>
  </sortState>
  <mergeCells count="5">
    <mergeCell ref="A1865:B1865"/>
    <mergeCell ref="A6:J6"/>
    <mergeCell ref="A7:J7"/>
    <mergeCell ref="A8:J8"/>
    <mergeCell ref="A11:B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24"/>
  <sheetViews>
    <sheetView zoomScale="85" zoomScaleNormal="85" workbookViewId="0">
      <selection activeCell="I620" sqref="I620"/>
    </sheetView>
  </sheetViews>
  <sheetFormatPr baseColWidth="10" defaultColWidth="11.85546875" defaultRowHeight="15" outlineLevelRow="2"/>
  <cols>
    <col min="1" max="1" width="17.7109375" customWidth="1"/>
    <col min="2" max="3" width="13.140625" customWidth="1"/>
    <col min="4" max="4" width="38.140625" customWidth="1"/>
    <col min="5" max="6" width="8.7109375" customWidth="1"/>
    <col min="7" max="7" width="8.28515625" customWidth="1"/>
    <col min="8" max="9" width="10.42578125" customWidth="1"/>
    <col min="10" max="10" width="12.140625" customWidth="1"/>
    <col min="11" max="11" width="8.7109375" customWidth="1"/>
    <col min="12" max="244" width="11" customWidth="1"/>
  </cols>
  <sheetData>
    <row r="1" spans="1:11" ht="18">
      <c r="F1" s="119"/>
      <c r="G1" s="119"/>
      <c r="H1" s="119"/>
      <c r="I1" s="120"/>
    </row>
    <row r="2" spans="1:11" ht="18">
      <c r="B2" s="6"/>
      <c r="E2" s="121" t="s">
        <v>0</v>
      </c>
      <c r="F2" s="121"/>
      <c r="G2" s="121"/>
      <c r="H2" s="119"/>
      <c r="I2" s="120"/>
      <c r="J2" s="122" t="s">
        <v>1</v>
      </c>
    </row>
    <row r="3" spans="1:11" ht="18">
      <c r="B3" s="6"/>
      <c r="F3" s="119"/>
      <c r="G3" s="119"/>
      <c r="H3" s="119"/>
      <c r="I3" s="120"/>
      <c r="J3" s="122" t="s">
        <v>66</v>
      </c>
    </row>
    <row r="4" spans="1:11" ht="18">
      <c r="B4" s="6"/>
      <c r="F4" s="119"/>
      <c r="G4" s="119"/>
      <c r="H4" s="119"/>
      <c r="I4" s="120"/>
      <c r="J4" s="122"/>
    </row>
    <row r="5" spans="1:11" ht="18">
      <c r="B5" s="6"/>
      <c r="F5" s="119"/>
      <c r="G5" s="119"/>
      <c r="H5" s="119"/>
      <c r="I5" s="120"/>
      <c r="J5" s="122"/>
    </row>
    <row r="6" spans="1:11" ht="19.899999999999999" customHeight="1">
      <c r="A6" s="167" t="s">
        <v>6</v>
      </c>
      <c r="B6" s="167"/>
      <c r="C6" s="167"/>
      <c r="D6" s="167"/>
      <c r="E6" s="167"/>
      <c r="F6" s="167"/>
      <c r="G6" s="167"/>
      <c r="H6" s="167"/>
      <c r="I6" s="167"/>
      <c r="J6" s="167"/>
    </row>
    <row r="7" spans="1:11" ht="19.899999999999999" customHeight="1">
      <c r="A7" s="168" t="s">
        <v>1470</v>
      </c>
      <c r="B7" s="168"/>
      <c r="C7" s="168"/>
      <c r="D7" s="168"/>
      <c r="E7" s="168"/>
      <c r="F7" s="168"/>
      <c r="G7" s="168"/>
      <c r="H7" s="168"/>
      <c r="I7" s="168"/>
      <c r="J7" s="168"/>
    </row>
    <row r="8" spans="1:11" ht="19.899999999999999" customHeight="1">
      <c r="A8" s="168" t="s">
        <v>29</v>
      </c>
      <c r="B8" s="168"/>
      <c r="C8" s="168"/>
      <c r="D8" s="168"/>
      <c r="E8" s="168"/>
      <c r="F8" s="168"/>
      <c r="G8" s="168"/>
      <c r="H8" s="168"/>
      <c r="I8" s="168"/>
      <c r="J8" s="168"/>
    </row>
    <row r="9" spans="1:11" ht="19.899999999999999" customHeight="1">
      <c r="A9" s="123"/>
      <c r="B9" s="123"/>
      <c r="C9" s="123"/>
      <c r="D9" s="123"/>
      <c r="E9" s="123"/>
      <c r="F9" s="123"/>
      <c r="G9" s="123"/>
      <c r="H9" s="123"/>
      <c r="I9" s="123"/>
      <c r="J9" s="123"/>
    </row>
    <row r="10" spans="1:11" ht="15.75">
      <c r="C10" s="129"/>
      <c r="D10" s="65"/>
      <c r="E10" s="129"/>
      <c r="F10" s="129"/>
      <c r="G10" s="129"/>
      <c r="H10" s="129"/>
      <c r="I10" s="129"/>
    </row>
    <row r="11" spans="1:11" ht="18">
      <c r="A11" s="62" t="s">
        <v>54</v>
      </c>
      <c r="C11" s="62"/>
      <c r="D11" s="184"/>
      <c r="E11" s="184"/>
      <c r="F11" s="184"/>
      <c r="G11" s="184"/>
      <c r="H11" s="184"/>
      <c r="I11" s="184"/>
      <c r="J11" s="184"/>
      <c r="K11" s="184"/>
    </row>
    <row r="12" spans="1:11" ht="18">
      <c r="A12" s="62"/>
      <c r="C12" s="62"/>
      <c r="D12" s="131"/>
      <c r="E12" s="131"/>
      <c r="G12" s="132"/>
    </row>
    <row r="13" spans="1:11" ht="35.1" customHeight="1">
      <c r="A13" s="188" t="s">
        <v>67</v>
      </c>
      <c r="B13" s="188" t="s">
        <v>68</v>
      </c>
      <c r="C13" s="188" t="s">
        <v>89</v>
      </c>
      <c r="D13" s="188" t="s">
        <v>90</v>
      </c>
      <c r="E13" s="189" t="s">
        <v>91</v>
      </c>
      <c r="F13" s="189" t="s">
        <v>92</v>
      </c>
      <c r="G13" s="188" t="s">
        <v>47</v>
      </c>
      <c r="H13" s="190" t="s">
        <v>48</v>
      </c>
      <c r="I13" s="190" t="s">
        <v>49</v>
      </c>
      <c r="J13" s="190" t="s">
        <v>50</v>
      </c>
    </row>
    <row r="14" spans="1:11" outlineLevel="2">
      <c r="A14" s="191" t="s">
        <v>3057</v>
      </c>
      <c r="B14" s="191" t="s">
        <v>871</v>
      </c>
      <c r="C14" s="191" t="s">
        <v>872</v>
      </c>
      <c r="D14" s="191" t="s">
        <v>3227</v>
      </c>
      <c r="E14" s="191" t="s">
        <v>2612</v>
      </c>
      <c r="F14" s="191" t="s">
        <v>2612</v>
      </c>
      <c r="G14" s="191">
        <v>7</v>
      </c>
      <c r="H14" s="192">
        <v>0</v>
      </c>
      <c r="I14" s="192">
        <v>121.67</v>
      </c>
      <c r="J14" s="192">
        <f>SUM(H14,I14)</f>
        <v>121.67</v>
      </c>
    </row>
    <row r="15" spans="1:11" outlineLevel="2">
      <c r="A15" s="191" t="s">
        <v>3058</v>
      </c>
      <c r="B15" s="191" t="s">
        <v>871</v>
      </c>
      <c r="C15" s="191" t="s">
        <v>872</v>
      </c>
      <c r="D15" s="191" t="s">
        <v>3227</v>
      </c>
      <c r="E15" s="191" t="s">
        <v>2612</v>
      </c>
      <c r="F15" s="191" t="s">
        <v>2612</v>
      </c>
      <c r="G15" s="191">
        <v>7</v>
      </c>
      <c r="H15" s="192">
        <v>0</v>
      </c>
      <c r="I15" s="192">
        <v>123.05</v>
      </c>
      <c r="J15" s="192">
        <f>SUM(H15,I15)</f>
        <v>123.05</v>
      </c>
    </row>
    <row r="16" spans="1:11" outlineLevel="1">
      <c r="A16" s="193" t="s">
        <v>3501</v>
      </c>
      <c r="B16" s="194"/>
      <c r="C16" s="194"/>
      <c r="D16" s="194"/>
      <c r="E16" s="194"/>
      <c r="F16" s="194"/>
      <c r="G16" s="194">
        <f>SUBTOTAL(9,G14:G15)</f>
        <v>14</v>
      </c>
      <c r="H16" s="195">
        <f>SUBTOTAL(9,H14:H15)</f>
        <v>0</v>
      </c>
      <c r="I16" s="195">
        <f>SUBTOTAL(9,I14:I15)</f>
        <v>244.72</v>
      </c>
      <c r="J16" s="195">
        <f>SUBTOTAL(9,J14:J15)</f>
        <v>244.72</v>
      </c>
    </row>
    <row r="17" spans="1:10" outlineLevel="2">
      <c r="A17" s="191" t="s">
        <v>3059</v>
      </c>
      <c r="B17" s="191" t="s">
        <v>871</v>
      </c>
      <c r="C17" s="191" t="s">
        <v>876</v>
      </c>
      <c r="D17" s="191" t="s">
        <v>3228</v>
      </c>
      <c r="E17" s="191" t="s">
        <v>2603</v>
      </c>
      <c r="F17" s="191" t="s">
        <v>2603</v>
      </c>
      <c r="G17" s="191">
        <v>7</v>
      </c>
      <c r="H17" s="192">
        <v>0</v>
      </c>
      <c r="I17" s="192">
        <v>113.99</v>
      </c>
      <c r="J17" s="192">
        <f>SUM(H17,I17)</f>
        <v>113.99</v>
      </c>
    </row>
    <row r="18" spans="1:10" outlineLevel="2">
      <c r="A18" s="191" t="s">
        <v>3060</v>
      </c>
      <c r="B18" s="191" t="s">
        <v>871</v>
      </c>
      <c r="C18" s="191" t="s">
        <v>876</v>
      </c>
      <c r="D18" s="191" t="s">
        <v>3229</v>
      </c>
      <c r="E18" s="191" t="s">
        <v>2627</v>
      </c>
      <c r="F18" s="191" t="s">
        <v>2627</v>
      </c>
      <c r="G18" s="191">
        <v>7</v>
      </c>
      <c r="H18" s="192">
        <v>0</v>
      </c>
      <c r="I18" s="192">
        <v>118.89</v>
      </c>
      <c r="J18" s="192">
        <f>SUM(H18,I18)</f>
        <v>118.89</v>
      </c>
    </row>
    <row r="19" spans="1:10" outlineLevel="2">
      <c r="A19" s="191" t="s">
        <v>875</v>
      </c>
      <c r="B19" s="191" t="s">
        <v>871</v>
      </c>
      <c r="C19" s="191" t="s">
        <v>876</v>
      </c>
      <c r="D19" s="191" t="s">
        <v>3230</v>
      </c>
      <c r="E19" s="191" t="s">
        <v>1494</v>
      </c>
      <c r="F19" s="191" t="s">
        <v>1480</v>
      </c>
      <c r="G19" s="191">
        <v>14</v>
      </c>
      <c r="H19" s="192">
        <v>0</v>
      </c>
      <c r="I19" s="192">
        <v>225.2</v>
      </c>
      <c r="J19" s="192">
        <f>SUM(H19,I19)</f>
        <v>225.2</v>
      </c>
    </row>
    <row r="20" spans="1:10" outlineLevel="2">
      <c r="A20" s="191" t="s">
        <v>3061</v>
      </c>
      <c r="B20" s="191" t="s">
        <v>871</v>
      </c>
      <c r="C20" s="191" t="s">
        <v>876</v>
      </c>
      <c r="D20" s="191" t="s">
        <v>3229</v>
      </c>
      <c r="E20" s="191" t="s">
        <v>2627</v>
      </c>
      <c r="F20" s="191" t="s">
        <v>2627</v>
      </c>
      <c r="G20" s="191">
        <v>7</v>
      </c>
      <c r="H20" s="192">
        <v>0</v>
      </c>
      <c r="I20" s="192">
        <v>119.69</v>
      </c>
      <c r="J20" s="192">
        <f>SUM(H20,I20)</f>
        <v>119.69</v>
      </c>
    </row>
    <row r="21" spans="1:10" outlineLevel="1">
      <c r="A21" s="193" t="s">
        <v>3502</v>
      </c>
      <c r="B21" s="194"/>
      <c r="C21" s="194"/>
      <c r="D21" s="194"/>
      <c r="E21" s="194"/>
      <c r="F21" s="194"/>
      <c r="G21" s="194">
        <f>SUBTOTAL(9,G17:G20)</f>
        <v>35</v>
      </c>
      <c r="H21" s="195">
        <f>SUBTOTAL(9,H17:H20)</f>
        <v>0</v>
      </c>
      <c r="I21" s="195">
        <f>SUBTOTAL(9,I17:I20)</f>
        <v>577.77</v>
      </c>
      <c r="J21" s="195">
        <f>SUBTOTAL(9,J17:J20)</f>
        <v>577.77</v>
      </c>
    </row>
    <row r="22" spans="1:10" outlineLevel="2">
      <c r="A22" s="191" t="s">
        <v>3062</v>
      </c>
      <c r="B22" s="191" t="s">
        <v>871</v>
      </c>
      <c r="C22" s="191" t="s">
        <v>878</v>
      </c>
      <c r="D22" s="191" t="s">
        <v>3231</v>
      </c>
      <c r="E22" s="191" t="s">
        <v>2658</v>
      </c>
      <c r="F22" s="191" t="s">
        <v>2658</v>
      </c>
      <c r="G22" s="191">
        <v>7</v>
      </c>
      <c r="H22" s="192">
        <v>0</v>
      </c>
      <c r="I22" s="192">
        <v>103.89</v>
      </c>
      <c r="J22" s="192">
        <f>SUM(H22,I22)</f>
        <v>103.89</v>
      </c>
    </row>
    <row r="23" spans="1:10" outlineLevel="2">
      <c r="A23" s="191" t="s">
        <v>3063</v>
      </c>
      <c r="B23" s="191" t="s">
        <v>967</v>
      </c>
      <c r="C23" s="191" t="s">
        <v>878</v>
      </c>
      <c r="D23" s="191" t="s">
        <v>2256</v>
      </c>
      <c r="E23" s="191" t="s">
        <v>1493</v>
      </c>
      <c r="F23" s="191" t="s">
        <v>1493</v>
      </c>
      <c r="G23" s="191">
        <v>7</v>
      </c>
      <c r="H23" s="192">
        <v>0</v>
      </c>
      <c r="I23" s="192">
        <v>71.48</v>
      </c>
      <c r="J23" s="192">
        <f>SUM(H23,I23)</f>
        <v>71.48</v>
      </c>
    </row>
    <row r="24" spans="1:10" outlineLevel="2">
      <c r="A24" s="191" t="s">
        <v>3064</v>
      </c>
      <c r="B24" s="191" t="s">
        <v>871</v>
      </c>
      <c r="C24" s="191" t="s">
        <v>878</v>
      </c>
      <c r="D24" s="191" t="s">
        <v>3232</v>
      </c>
      <c r="E24" s="191" t="s">
        <v>2699</v>
      </c>
      <c r="F24" s="191" t="s">
        <v>2600</v>
      </c>
      <c r="G24" s="191">
        <v>28</v>
      </c>
      <c r="H24" s="192">
        <v>0</v>
      </c>
      <c r="I24" s="192">
        <v>442.64</v>
      </c>
      <c r="J24" s="192">
        <f>SUM(H24,I24)</f>
        <v>442.64</v>
      </c>
    </row>
    <row r="25" spans="1:10" outlineLevel="2">
      <c r="A25" s="191" t="s">
        <v>3065</v>
      </c>
      <c r="B25" s="191" t="s">
        <v>967</v>
      </c>
      <c r="C25" s="191" t="s">
        <v>878</v>
      </c>
      <c r="D25" s="191" t="s">
        <v>2256</v>
      </c>
      <c r="E25" s="191" t="s">
        <v>1493</v>
      </c>
      <c r="F25" s="191" t="s">
        <v>1493</v>
      </c>
      <c r="G25" s="191">
        <v>7</v>
      </c>
      <c r="H25" s="192">
        <v>0</v>
      </c>
      <c r="I25" s="192">
        <v>73.63</v>
      </c>
      <c r="J25" s="192">
        <f>SUM(H25,I25)</f>
        <v>73.63</v>
      </c>
    </row>
    <row r="26" spans="1:10" outlineLevel="2">
      <c r="A26" s="191" t="s">
        <v>3065</v>
      </c>
      <c r="B26" s="191" t="s">
        <v>967</v>
      </c>
      <c r="C26" s="191" t="s">
        <v>878</v>
      </c>
      <c r="D26" s="191" t="s">
        <v>3233</v>
      </c>
      <c r="E26" s="191" t="s">
        <v>3448</v>
      </c>
      <c r="F26" s="191" t="s">
        <v>3448</v>
      </c>
      <c r="G26" s="191">
        <v>0</v>
      </c>
      <c r="H26" s="192">
        <v>70</v>
      </c>
      <c r="I26" s="192">
        <v>0</v>
      </c>
      <c r="J26" s="192">
        <f>SUM(H26,I26)</f>
        <v>70</v>
      </c>
    </row>
    <row r="27" spans="1:10" outlineLevel="2">
      <c r="A27" s="191" t="s">
        <v>880</v>
      </c>
      <c r="B27" s="191" t="s">
        <v>874</v>
      </c>
      <c r="C27" s="191" t="s">
        <v>878</v>
      </c>
      <c r="D27" s="191" t="s">
        <v>3232</v>
      </c>
      <c r="E27" s="191" t="s">
        <v>2699</v>
      </c>
      <c r="F27" s="191" t="s">
        <v>2600</v>
      </c>
      <c r="G27" s="191">
        <v>28</v>
      </c>
      <c r="H27" s="192">
        <v>0</v>
      </c>
      <c r="I27" s="192">
        <v>493.32</v>
      </c>
      <c r="J27" s="192">
        <f>SUM(H27,I27)</f>
        <v>493.32</v>
      </c>
    </row>
    <row r="28" spans="1:10" outlineLevel="1">
      <c r="A28" s="193" t="s">
        <v>3503</v>
      </c>
      <c r="B28" s="194"/>
      <c r="C28" s="194"/>
      <c r="D28" s="194"/>
      <c r="E28" s="194"/>
      <c r="F28" s="194"/>
      <c r="G28" s="194">
        <f>SUBTOTAL(9,G22:G27)</f>
        <v>77</v>
      </c>
      <c r="H28" s="195">
        <f>SUBTOTAL(9,H22:H27)</f>
        <v>70</v>
      </c>
      <c r="I28" s="195">
        <f>SUBTOTAL(9,I22:I27)</f>
        <v>1184.96</v>
      </c>
      <c r="J28" s="195">
        <f>SUBTOTAL(9,J22:J27)</f>
        <v>1254.96</v>
      </c>
    </row>
    <row r="29" spans="1:10" outlineLevel="2">
      <c r="A29" s="191" t="s">
        <v>3066</v>
      </c>
      <c r="B29" s="191" t="s">
        <v>871</v>
      </c>
      <c r="C29" s="191" t="s">
        <v>881</v>
      </c>
      <c r="D29" s="191" t="s">
        <v>2442</v>
      </c>
      <c r="E29" s="191" t="s">
        <v>1485</v>
      </c>
      <c r="F29" s="191" t="s">
        <v>1486</v>
      </c>
      <c r="G29" s="191">
        <v>21</v>
      </c>
      <c r="H29" s="192">
        <v>0</v>
      </c>
      <c r="I29" s="192">
        <v>356.67</v>
      </c>
      <c r="J29" s="192">
        <f>SUM(H29,I29)</f>
        <v>356.67</v>
      </c>
    </row>
    <row r="30" spans="1:10" outlineLevel="2">
      <c r="A30" s="191" t="s">
        <v>882</v>
      </c>
      <c r="B30" s="191" t="s">
        <v>871</v>
      </c>
      <c r="C30" s="191" t="s">
        <v>881</v>
      </c>
      <c r="D30" s="191" t="s">
        <v>3234</v>
      </c>
      <c r="E30" s="191" t="s">
        <v>2683</v>
      </c>
      <c r="F30" s="191" t="s">
        <v>2683</v>
      </c>
      <c r="G30" s="191" t="s">
        <v>2760</v>
      </c>
      <c r="H30" s="192">
        <v>0</v>
      </c>
      <c r="I30" s="192">
        <v>0</v>
      </c>
      <c r="J30" s="192">
        <f>SUM(H30,I30)</f>
        <v>0</v>
      </c>
    </row>
    <row r="31" spans="1:10" outlineLevel="2">
      <c r="A31" s="191" t="s">
        <v>3067</v>
      </c>
      <c r="B31" s="191" t="s">
        <v>871</v>
      </c>
      <c r="C31" s="191" t="s">
        <v>881</v>
      </c>
      <c r="D31" s="191" t="s">
        <v>3235</v>
      </c>
      <c r="E31" s="191" t="s">
        <v>2610</v>
      </c>
      <c r="F31" s="191" t="s">
        <v>2615</v>
      </c>
      <c r="G31" s="191">
        <v>14</v>
      </c>
      <c r="H31" s="192">
        <v>0</v>
      </c>
      <c r="I31" s="192">
        <v>247.3</v>
      </c>
      <c r="J31" s="192">
        <f>SUM(H31,I31)</f>
        <v>247.3</v>
      </c>
    </row>
    <row r="32" spans="1:10" outlineLevel="2">
      <c r="A32" s="191" t="s">
        <v>3068</v>
      </c>
      <c r="B32" s="191" t="s">
        <v>871</v>
      </c>
      <c r="C32" s="191" t="s">
        <v>881</v>
      </c>
      <c r="D32" s="191" t="s">
        <v>3236</v>
      </c>
      <c r="E32" s="191" t="s">
        <v>2631</v>
      </c>
      <c r="F32" s="191" t="s">
        <v>2617</v>
      </c>
      <c r="G32" s="191">
        <v>21</v>
      </c>
      <c r="H32" s="192">
        <v>0</v>
      </c>
      <c r="I32" s="192">
        <v>324.87</v>
      </c>
      <c r="J32" s="192">
        <f>SUM(H32,I32)</f>
        <v>324.87</v>
      </c>
    </row>
    <row r="33" spans="1:10" outlineLevel="2">
      <c r="A33" s="191" t="s">
        <v>884</v>
      </c>
      <c r="B33" s="191" t="s">
        <v>871</v>
      </c>
      <c r="C33" s="191" t="s">
        <v>881</v>
      </c>
      <c r="D33" s="191" t="s">
        <v>3237</v>
      </c>
      <c r="E33" s="191" t="s">
        <v>3449</v>
      </c>
      <c r="F33" s="191" t="s">
        <v>2596</v>
      </c>
      <c r="G33" s="191">
        <v>35</v>
      </c>
      <c r="H33" s="192">
        <v>0</v>
      </c>
      <c r="I33" s="192">
        <v>485.75</v>
      </c>
      <c r="J33" s="192">
        <f>SUM(H33,I33)</f>
        <v>485.75</v>
      </c>
    </row>
    <row r="34" spans="1:10" outlineLevel="2">
      <c r="A34" s="191" t="s">
        <v>884</v>
      </c>
      <c r="B34" s="191" t="s">
        <v>871</v>
      </c>
      <c r="C34" s="191" t="s">
        <v>881</v>
      </c>
      <c r="D34" s="191" t="s">
        <v>883</v>
      </c>
      <c r="E34" s="191" t="s">
        <v>2721</v>
      </c>
      <c r="F34" s="191" t="s">
        <v>1494</v>
      </c>
      <c r="G34" s="191">
        <v>21</v>
      </c>
      <c r="H34" s="192">
        <v>0</v>
      </c>
      <c r="I34" s="192">
        <v>288.36</v>
      </c>
      <c r="J34" s="192">
        <f>SUM(H34,I34)</f>
        <v>288.36</v>
      </c>
    </row>
    <row r="35" spans="1:10" outlineLevel="2">
      <c r="A35" s="191" t="s">
        <v>3069</v>
      </c>
      <c r="B35" s="191" t="s">
        <v>871</v>
      </c>
      <c r="C35" s="191" t="s">
        <v>881</v>
      </c>
      <c r="D35" s="191" t="s">
        <v>3236</v>
      </c>
      <c r="E35" s="191" t="s">
        <v>2638</v>
      </c>
      <c r="F35" s="191" t="s">
        <v>2617</v>
      </c>
      <c r="G35" s="191">
        <v>28</v>
      </c>
      <c r="H35" s="192">
        <v>0</v>
      </c>
      <c r="I35" s="192">
        <v>389.56</v>
      </c>
      <c r="J35" s="192">
        <f>SUM(H35,I35)</f>
        <v>389.56</v>
      </c>
    </row>
    <row r="36" spans="1:10" outlineLevel="2">
      <c r="A36" s="191" t="s">
        <v>3070</v>
      </c>
      <c r="B36" s="191" t="s">
        <v>871</v>
      </c>
      <c r="C36" s="191" t="s">
        <v>881</v>
      </c>
      <c r="D36" s="191" t="s">
        <v>3238</v>
      </c>
      <c r="E36" s="191" t="s">
        <v>1481</v>
      </c>
      <c r="F36" s="191" t="s">
        <v>1481</v>
      </c>
      <c r="G36" s="191">
        <v>7</v>
      </c>
      <c r="H36" s="192">
        <v>100</v>
      </c>
      <c r="I36" s="192">
        <v>104.16</v>
      </c>
      <c r="J36" s="192">
        <f>SUM(H36,I36)</f>
        <v>204.16</v>
      </c>
    </row>
    <row r="37" spans="1:10" outlineLevel="1">
      <c r="A37" s="193" t="s">
        <v>3504</v>
      </c>
      <c r="B37" s="194"/>
      <c r="C37" s="194"/>
      <c r="D37" s="194"/>
      <c r="E37" s="194"/>
      <c r="F37" s="194"/>
      <c r="G37" s="194">
        <f>SUBTOTAL(9,G29:G36)</f>
        <v>147</v>
      </c>
      <c r="H37" s="195">
        <f>SUBTOTAL(9,H29:H36)</f>
        <v>100</v>
      </c>
      <c r="I37" s="195">
        <f>SUBTOTAL(9,I29:I36)</f>
        <v>2196.67</v>
      </c>
      <c r="J37" s="195">
        <f>SUBTOTAL(9,J29:J36)</f>
        <v>2296.67</v>
      </c>
    </row>
    <row r="38" spans="1:10" outlineLevel="2">
      <c r="A38" s="191" t="s">
        <v>3071</v>
      </c>
      <c r="B38" s="191" t="s">
        <v>871</v>
      </c>
      <c r="C38" s="191" t="s">
        <v>885</v>
      </c>
      <c r="D38" s="191" t="s">
        <v>3239</v>
      </c>
      <c r="E38" s="191" t="s">
        <v>2687</v>
      </c>
      <c r="F38" s="191" t="s">
        <v>2661</v>
      </c>
      <c r="G38" s="191">
        <v>21</v>
      </c>
      <c r="H38" s="192">
        <v>150</v>
      </c>
      <c r="I38" s="192">
        <v>336.15</v>
      </c>
      <c r="J38" s="192">
        <f>SUM(H38,I38)</f>
        <v>486.15</v>
      </c>
    </row>
    <row r="39" spans="1:10" outlineLevel="1">
      <c r="A39" s="193" t="s">
        <v>2984</v>
      </c>
      <c r="B39" s="194"/>
      <c r="C39" s="194"/>
      <c r="D39" s="194"/>
      <c r="E39" s="194"/>
      <c r="F39" s="194"/>
      <c r="G39" s="194">
        <f>SUBTOTAL(9,G38:G38)</f>
        <v>21</v>
      </c>
      <c r="H39" s="195">
        <f>SUBTOTAL(9,H38:H38)</f>
        <v>150</v>
      </c>
      <c r="I39" s="195">
        <f>SUBTOTAL(9,I38:I38)</f>
        <v>336.15</v>
      </c>
      <c r="J39" s="195">
        <f>SUBTOTAL(9,J38:J38)</f>
        <v>486.15</v>
      </c>
    </row>
    <row r="40" spans="1:10" outlineLevel="2">
      <c r="A40" s="191" t="s">
        <v>3072</v>
      </c>
      <c r="B40" s="191" t="s">
        <v>871</v>
      </c>
      <c r="C40" s="191" t="s">
        <v>3047</v>
      </c>
      <c r="D40" s="191" t="s">
        <v>1545</v>
      </c>
      <c r="E40" s="191" t="s">
        <v>2631</v>
      </c>
      <c r="F40" s="191" t="s">
        <v>2617</v>
      </c>
      <c r="G40" s="191">
        <v>21</v>
      </c>
      <c r="H40" s="192">
        <v>0</v>
      </c>
      <c r="I40" s="192">
        <v>341.97</v>
      </c>
      <c r="J40" s="192">
        <f>SUM(H40,I40)</f>
        <v>341.97</v>
      </c>
    </row>
    <row r="41" spans="1:10" outlineLevel="2">
      <c r="A41" s="191" t="s">
        <v>3073</v>
      </c>
      <c r="B41" s="191" t="s">
        <v>871</v>
      </c>
      <c r="C41" s="191" t="s">
        <v>3047</v>
      </c>
      <c r="D41" s="191" t="s">
        <v>1545</v>
      </c>
      <c r="E41" s="191" t="s">
        <v>2631</v>
      </c>
      <c r="F41" s="191" t="s">
        <v>2617</v>
      </c>
      <c r="G41" s="191">
        <v>21</v>
      </c>
      <c r="H41" s="192">
        <v>0</v>
      </c>
      <c r="I41" s="192">
        <v>342.69</v>
      </c>
      <c r="J41" s="192">
        <f>SUM(H41,I41)</f>
        <v>342.69</v>
      </c>
    </row>
    <row r="42" spans="1:10" outlineLevel="1">
      <c r="A42" s="193" t="s">
        <v>3505</v>
      </c>
      <c r="B42" s="194"/>
      <c r="C42" s="194"/>
      <c r="D42" s="194"/>
      <c r="E42" s="194"/>
      <c r="F42" s="194"/>
      <c r="G42" s="194">
        <f>SUBTOTAL(9,G40:G41)</f>
        <v>42</v>
      </c>
      <c r="H42" s="195">
        <f>SUBTOTAL(9,H40:H41)</f>
        <v>0</v>
      </c>
      <c r="I42" s="195">
        <f>SUBTOTAL(9,I40:I41)</f>
        <v>684.66000000000008</v>
      </c>
      <c r="J42" s="195">
        <f>SUBTOTAL(9,J40:J41)</f>
        <v>684.66000000000008</v>
      </c>
    </row>
    <row r="43" spans="1:10" outlineLevel="2">
      <c r="A43" s="191" t="s">
        <v>886</v>
      </c>
      <c r="B43" s="191" t="s">
        <v>871</v>
      </c>
      <c r="C43" s="191" t="s">
        <v>887</v>
      </c>
      <c r="D43" s="191" t="s">
        <v>3240</v>
      </c>
      <c r="E43" s="191" t="s">
        <v>2627</v>
      </c>
      <c r="F43" s="191" t="s">
        <v>1482</v>
      </c>
      <c r="G43" s="191">
        <v>21</v>
      </c>
      <c r="H43" s="192">
        <v>0</v>
      </c>
      <c r="I43" s="192">
        <v>354.9</v>
      </c>
      <c r="J43" s="192">
        <f>SUM(H43,I43)</f>
        <v>354.9</v>
      </c>
    </row>
    <row r="44" spans="1:10" outlineLevel="2">
      <c r="A44" s="191" t="s">
        <v>886</v>
      </c>
      <c r="B44" s="191" t="s">
        <v>871</v>
      </c>
      <c r="C44" s="191" t="s">
        <v>887</v>
      </c>
      <c r="D44" s="191" t="s">
        <v>3241</v>
      </c>
      <c r="E44" s="191" t="s">
        <v>1487</v>
      </c>
      <c r="F44" s="191" t="s">
        <v>1487</v>
      </c>
      <c r="G44" s="191">
        <v>7</v>
      </c>
      <c r="H44" s="192">
        <v>0</v>
      </c>
      <c r="I44" s="192">
        <v>118.89</v>
      </c>
      <c r="J44" s="192">
        <f>SUM(H44,I44)</f>
        <v>118.89</v>
      </c>
    </row>
    <row r="45" spans="1:10" outlineLevel="2">
      <c r="A45" s="191" t="s">
        <v>886</v>
      </c>
      <c r="B45" s="191" t="s">
        <v>871</v>
      </c>
      <c r="C45" s="191" t="s">
        <v>887</v>
      </c>
      <c r="D45" s="191" t="s">
        <v>1629</v>
      </c>
      <c r="E45" s="191" t="s">
        <v>2664</v>
      </c>
      <c r="F45" s="191" t="s">
        <v>2664</v>
      </c>
      <c r="G45" s="191">
        <v>7</v>
      </c>
      <c r="H45" s="192">
        <v>0</v>
      </c>
      <c r="I45" s="192">
        <v>118.89</v>
      </c>
      <c r="J45" s="192">
        <f>SUM(H45,I45)</f>
        <v>118.89</v>
      </c>
    </row>
    <row r="46" spans="1:10" outlineLevel="2">
      <c r="A46" s="191" t="s">
        <v>886</v>
      </c>
      <c r="B46" s="191" t="s">
        <v>871</v>
      </c>
      <c r="C46" s="191" t="s">
        <v>887</v>
      </c>
      <c r="D46" s="191" t="s">
        <v>193</v>
      </c>
      <c r="E46" s="191" t="s">
        <v>2650</v>
      </c>
      <c r="F46" s="191" t="s">
        <v>2646</v>
      </c>
      <c r="G46" s="191">
        <v>14</v>
      </c>
      <c r="H46" s="192">
        <v>768.11</v>
      </c>
      <c r="I46" s="192">
        <v>238.94</v>
      </c>
      <c r="J46" s="192">
        <f>SUM(H46,I46)</f>
        <v>1007.05</v>
      </c>
    </row>
    <row r="47" spans="1:10" outlineLevel="2">
      <c r="A47" s="191" t="s">
        <v>888</v>
      </c>
      <c r="B47" s="191" t="s">
        <v>871</v>
      </c>
      <c r="C47" s="191" t="s">
        <v>887</v>
      </c>
      <c r="D47" s="191" t="s">
        <v>3242</v>
      </c>
      <c r="E47" s="191" t="s">
        <v>1486</v>
      </c>
      <c r="F47" s="191" t="s">
        <v>1486</v>
      </c>
      <c r="G47" s="191">
        <v>7</v>
      </c>
      <c r="H47" s="192">
        <v>0</v>
      </c>
      <c r="I47" s="192">
        <v>120.28</v>
      </c>
      <c r="J47" s="192">
        <f>SUM(H47,I47)</f>
        <v>120.28</v>
      </c>
    </row>
    <row r="48" spans="1:10" outlineLevel="2">
      <c r="A48" s="191" t="s">
        <v>888</v>
      </c>
      <c r="B48" s="191" t="s">
        <v>871</v>
      </c>
      <c r="C48" s="191" t="s">
        <v>887</v>
      </c>
      <c r="D48" s="191" t="s">
        <v>3243</v>
      </c>
      <c r="E48" s="191" t="s">
        <v>1496</v>
      </c>
      <c r="F48" s="191" t="s">
        <v>1496</v>
      </c>
      <c r="G48" s="191">
        <v>7</v>
      </c>
      <c r="H48" s="192">
        <v>0</v>
      </c>
      <c r="I48" s="192">
        <v>120.28</v>
      </c>
      <c r="J48" s="192">
        <f>SUM(H48,I48)</f>
        <v>120.28</v>
      </c>
    </row>
    <row r="49" spans="1:10" outlineLevel="1">
      <c r="A49" s="193" t="s">
        <v>3506</v>
      </c>
      <c r="B49" s="194"/>
      <c r="C49" s="194"/>
      <c r="D49" s="194"/>
      <c r="E49" s="194"/>
      <c r="F49" s="194"/>
      <c r="G49" s="194">
        <f>SUBTOTAL(9,G43:G48)</f>
        <v>63</v>
      </c>
      <c r="H49" s="195">
        <f>SUBTOTAL(9,H43:H48)</f>
        <v>768.11</v>
      </c>
      <c r="I49" s="195">
        <f>SUBTOTAL(9,I43:I48)</f>
        <v>1072.1799999999998</v>
      </c>
      <c r="J49" s="195">
        <f>SUBTOTAL(9,J43:J48)</f>
        <v>1840.29</v>
      </c>
    </row>
    <row r="50" spans="1:10" outlineLevel="2">
      <c r="A50" s="191" t="s">
        <v>890</v>
      </c>
      <c r="B50" s="191" t="s">
        <v>871</v>
      </c>
      <c r="C50" s="191" t="s">
        <v>891</v>
      </c>
      <c r="D50" s="191" t="s">
        <v>3244</v>
      </c>
      <c r="E50" s="191" t="s">
        <v>1491</v>
      </c>
      <c r="F50" s="191" t="s">
        <v>2661</v>
      </c>
      <c r="G50" s="191">
        <v>28</v>
      </c>
      <c r="H50" s="192">
        <v>150</v>
      </c>
      <c r="I50" s="192">
        <v>416.64</v>
      </c>
      <c r="J50" s="192">
        <f>SUM(H50,I50)</f>
        <v>566.64</v>
      </c>
    </row>
    <row r="51" spans="1:10" outlineLevel="1">
      <c r="A51" s="193" t="s">
        <v>3507</v>
      </c>
      <c r="B51" s="194"/>
      <c r="C51" s="194"/>
      <c r="D51" s="194"/>
      <c r="E51" s="194"/>
      <c r="F51" s="194"/>
      <c r="G51" s="194">
        <f>SUBTOTAL(9,G50:G50)</f>
        <v>28</v>
      </c>
      <c r="H51" s="195">
        <f>SUBTOTAL(9,H50:H50)</f>
        <v>150</v>
      </c>
      <c r="I51" s="195">
        <f>SUBTOTAL(9,I50:I50)</f>
        <v>416.64</v>
      </c>
      <c r="J51" s="195">
        <f>SUBTOTAL(9,J50:J50)</f>
        <v>566.64</v>
      </c>
    </row>
    <row r="52" spans="1:10" outlineLevel="2">
      <c r="A52" s="191" t="s">
        <v>892</v>
      </c>
      <c r="B52" s="191" t="s">
        <v>871</v>
      </c>
      <c r="C52" s="191" t="s">
        <v>893</v>
      </c>
      <c r="D52" s="191" t="s">
        <v>3245</v>
      </c>
      <c r="E52" s="191" t="s">
        <v>2616</v>
      </c>
      <c r="F52" s="191" t="s">
        <v>2707</v>
      </c>
      <c r="G52" s="191">
        <v>14</v>
      </c>
      <c r="H52" s="192">
        <v>0</v>
      </c>
      <c r="I52" s="192">
        <v>180.86</v>
      </c>
      <c r="J52" s="192">
        <f>SUM(H52,I52)</f>
        <v>180.86</v>
      </c>
    </row>
    <row r="53" spans="1:10" outlineLevel="2">
      <c r="A53" s="191" t="s">
        <v>892</v>
      </c>
      <c r="B53" s="191" t="s">
        <v>871</v>
      </c>
      <c r="C53" s="191" t="s">
        <v>893</v>
      </c>
      <c r="D53" s="191" t="s">
        <v>3246</v>
      </c>
      <c r="E53" s="191" t="s">
        <v>1494</v>
      </c>
      <c r="F53" s="191" t="s">
        <v>1494</v>
      </c>
      <c r="G53" s="191">
        <v>7</v>
      </c>
      <c r="H53" s="192">
        <v>0</v>
      </c>
      <c r="I53" s="192">
        <v>90.87</v>
      </c>
      <c r="J53" s="192">
        <f>SUM(H53,I53)</f>
        <v>90.87</v>
      </c>
    </row>
    <row r="54" spans="1:10" outlineLevel="1">
      <c r="A54" s="193" t="s">
        <v>3508</v>
      </c>
      <c r="B54" s="194"/>
      <c r="C54" s="194"/>
      <c r="D54" s="194"/>
      <c r="E54" s="194"/>
      <c r="F54" s="194"/>
      <c r="G54" s="194">
        <f>SUBTOTAL(9,G52:G53)</f>
        <v>21</v>
      </c>
      <c r="H54" s="195">
        <f>SUBTOTAL(9,H52:H53)</f>
        <v>0</v>
      </c>
      <c r="I54" s="195">
        <f>SUBTOTAL(9,I52:I53)</f>
        <v>271.73</v>
      </c>
      <c r="J54" s="195">
        <f>SUBTOTAL(9,J52:J53)</f>
        <v>271.73</v>
      </c>
    </row>
    <row r="55" spans="1:10" outlineLevel="2">
      <c r="A55" s="191" t="s">
        <v>894</v>
      </c>
      <c r="B55" s="191" t="s">
        <v>871</v>
      </c>
      <c r="C55" s="191" t="s">
        <v>895</v>
      </c>
      <c r="D55" s="191" t="s">
        <v>3247</v>
      </c>
      <c r="E55" s="191" t="s">
        <v>2727</v>
      </c>
      <c r="F55" s="191" t="s">
        <v>1483</v>
      </c>
      <c r="G55" s="191">
        <v>14</v>
      </c>
      <c r="H55" s="192">
        <v>0</v>
      </c>
      <c r="I55" s="192">
        <v>208.18</v>
      </c>
      <c r="J55" s="192">
        <f>SUM(H55,I55)</f>
        <v>208.18</v>
      </c>
    </row>
    <row r="56" spans="1:10" outlineLevel="2">
      <c r="A56" s="191" t="s">
        <v>894</v>
      </c>
      <c r="B56" s="191" t="s">
        <v>871</v>
      </c>
      <c r="C56" s="191" t="s">
        <v>895</v>
      </c>
      <c r="D56" s="191" t="s">
        <v>3248</v>
      </c>
      <c r="E56" s="191" t="s">
        <v>2719</v>
      </c>
      <c r="F56" s="191" t="s">
        <v>2608</v>
      </c>
      <c r="G56" s="191">
        <v>21</v>
      </c>
      <c r="H56" s="192">
        <v>0</v>
      </c>
      <c r="I56" s="192">
        <v>156.12</v>
      </c>
      <c r="J56" s="192">
        <f>SUM(H56,I56)</f>
        <v>156.12</v>
      </c>
    </row>
    <row r="57" spans="1:10" outlineLevel="2">
      <c r="A57" s="191" t="s">
        <v>894</v>
      </c>
      <c r="B57" s="191" t="s">
        <v>871</v>
      </c>
      <c r="C57" s="191" t="s">
        <v>895</v>
      </c>
      <c r="D57" s="191" t="s">
        <v>3450</v>
      </c>
      <c r="E57" s="191" t="s">
        <v>2642</v>
      </c>
      <c r="F57" s="191" t="s">
        <v>2642</v>
      </c>
      <c r="G57" s="191">
        <v>7</v>
      </c>
      <c r="H57" s="192">
        <v>0</v>
      </c>
      <c r="I57" s="192">
        <v>130.57</v>
      </c>
      <c r="J57" s="192">
        <f>SUM(H57,I57)</f>
        <v>130.57</v>
      </c>
    </row>
    <row r="58" spans="1:10" outlineLevel="1">
      <c r="A58" s="193" t="s">
        <v>3509</v>
      </c>
      <c r="B58" s="194"/>
      <c r="C58" s="194"/>
      <c r="D58" s="194"/>
      <c r="E58" s="194"/>
      <c r="F58" s="194"/>
      <c r="G58" s="194">
        <f>SUBTOTAL(9,G55:G57)</f>
        <v>42</v>
      </c>
      <c r="H58" s="195">
        <f>SUBTOTAL(9,H55:H57)</f>
        <v>0</v>
      </c>
      <c r="I58" s="195">
        <f>SUBTOTAL(9,I55:I57)</f>
        <v>494.87</v>
      </c>
      <c r="J58" s="195">
        <f>SUBTOTAL(9,J55:J57)</f>
        <v>494.87</v>
      </c>
    </row>
    <row r="59" spans="1:10" outlineLevel="2">
      <c r="A59" s="191" t="s">
        <v>3074</v>
      </c>
      <c r="B59" s="191" t="s">
        <v>871</v>
      </c>
      <c r="C59" s="191" t="s">
        <v>3048</v>
      </c>
      <c r="D59" s="191" t="s">
        <v>2006</v>
      </c>
      <c r="E59" s="191" t="s">
        <v>2660</v>
      </c>
      <c r="F59" s="191" t="s">
        <v>2660</v>
      </c>
      <c r="G59" s="191">
        <v>7</v>
      </c>
      <c r="H59" s="192">
        <v>0</v>
      </c>
      <c r="I59" s="192">
        <v>121.67</v>
      </c>
      <c r="J59" s="192">
        <f>SUM(H59,I59)</f>
        <v>121.67</v>
      </c>
    </row>
    <row r="60" spans="1:10" outlineLevel="2">
      <c r="A60" s="191" t="s">
        <v>3074</v>
      </c>
      <c r="B60" s="191" t="s">
        <v>871</v>
      </c>
      <c r="C60" s="191" t="s">
        <v>3048</v>
      </c>
      <c r="D60" s="191" t="s">
        <v>3228</v>
      </c>
      <c r="E60" s="191" t="s">
        <v>2603</v>
      </c>
      <c r="F60" s="191" t="s">
        <v>2603</v>
      </c>
      <c r="G60" s="191">
        <v>7</v>
      </c>
      <c r="H60" s="192">
        <v>0</v>
      </c>
      <c r="I60" s="192">
        <v>122.26</v>
      </c>
      <c r="J60" s="192">
        <f>SUM(H60,I60)</f>
        <v>122.26</v>
      </c>
    </row>
    <row r="61" spans="1:10" outlineLevel="1">
      <c r="A61" s="193" t="s">
        <v>3510</v>
      </c>
      <c r="B61" s="194"/>
      <c r="C61" s="194"/>
      <c r="D61" s="194"/>
      <c r="E61" s="194"/>
      <c r="F61" s="194"/>
      <c r="G61" s="194">
        <f>SUBTOTAL(9,G59:G60)</f>
        <v>14</v>
      </c>
      <c r="H61" s="195">
        <f>SUBTOTAL(9,H59:H60)</f>
        <v>0</v>
      </c>
      <c r="I61" s="195">
        <f>SUBTOTAL(9,I59:I60)</f>
        <v>243.93</v>
      </c>
      <c r="J61" s="195">
        <f>SUBTOTAL(9,J59:J60)</f>
        <v>243.93</v>
      </c>
    </row>
    <row r="62" spans="1:10" outlineLevel="2">
      <c r="A62" s="191" t="s">
        <v>897</v>
      </c>
      <c r="B62" s="191" t="s">
        <v>871</v>
      </c>
      <c r="C62" s="191" t="s">
        <v>898</v>
      </c>
      <c r="D62" s="191" t="s">
        <v>3249</v>
      </c>
      <c r="E62" s="191" t="s">
        <v>2616</v>
      </c>
      <c r="F62" s="191" t="s">
        <v>2707</v>
      </c>
      <c r="G62" s="191">
        <v>14</v>
      </c>
      <c r="H62" s="192">
        <v>100</v>
      </c>
      <c r="I62" s="192">
        <v>177.46</v>
      </c>
      <c r="J62" s="192">
        <f>SUM(H62,I62)</f>
        <v>277.46000000000004</v>
      </c>
    </row>
    <row r="63" spans="1:10" outlineLevel="2">
      <c r="A63" s="191" t="s">
        <v>897</v>
      </c>
      <c r="B63" s="191" t="s">
        <v>871</v>
      </c>
      <c r="C63" s="191" t="s">
        <v>898</v>
      </c>
      <c r="D63" s="191" t="s">
        <v>2058</v>
      </c>
      <c r="E63" s="191" t="s">
        <v>2599</v>
      </c>
      <c r="F63" s="191" t="s">
        <v>2600</v>
      </c>
      <c r="G63" s="191">
        <v>14</v>
      </c>
      <c r="H63" s="192">
        <v>0</v>
      </c>
      <c r="I63" s="192">
        <v>178.08</v>
      </c>
      <c r="J63" s="192">
        <f>SUM(H63,I63)</f>
        <v>178.08</v>
      </c>
    </row>
    <row r="64" spans="1:10" outlineLevel="2">
      <c r="A64" s="191" t="s">
        <v>899</v>
      </c>
      <c r="B64" s="191" t="s">
        <v>896</v>
      </c>
      <c r="C64" s="191" t="s">
        <v>898</v>
      </c>
      <c r="D64" s="191" t="s">
        <v>3249</v>
      </c>
      <c r="E64" s="191" t="s">
        <v>2616</v>
      </c>
      <c r="F64" s="191" t="s">
        <v>2707</v>
      </c>
      <c r="G64" s="191">
        <v>14</v>
      </c>
      <c r="H64" s="192">
        <v>100</v>
      </c>
      <c r="I64" s="192">
        <v>121.54</v>
      </c>
      <c r="J64" s="192">
        <f>SUM(H64,I64)</f>
        <v>221.54000000000002</v>
      </c>
    </row>
    <row r="65" spans="1:10" outlineLevel="2">
      <c r="A65" s="191" t="s">
        <v>899</v>
      </c>
      <c r="B65" s="191" t="s">
        <v>896</v>
      </c>
      <c r="C65" s="191" t="s">
        <v>898</v>
      </c>
      <c r="D65" s="191" t="s">
        <v>2058</v>
      </c>
      <c r="E65" s="191" t="s">
        <v>2599</v>
      </c>
      <c r="F65" s="191" t="s">
        <v>2600</v>
      </c>
      <c r="G65" s="191">
        <v>14</v>
      </c>
      <c r="H65" s="192">
        <v>0</v>
      </c>
      <c r="I65" s="192">
        <v>122.98</v>
      </c>
      <c r="J65" s="192">
        <f>SUM(H65,I65)</f>
        <v>122.98</v>
      </c>
    </row>
    <row r="66" spans="1:10" outlineLevel="2">
      <c r="A66" s="191" t="s">
        <v>900</v>
      </c>
      <c r="B66" s="191" t="s">
        <v>871</v>
      </c>
      <c r="C66" s="191" t="s">
        <v>898</v>
      </c>
      <c r="D66" s="191" t="s">
        <v>3249</v>
      </c>
      <c r="E66" s="191" t="s">
        <v>2616</v>
      </c>
      <c r="F66" s="191" t="s">
        <v>2707</v>
      </c>
      <c r="G66" s="191">
        <v>14</v>
      </c>
      <c r="H66" s="192">
        <v>100</v>
      </c>
      <c r="I66" s="192">
        <v>226.88</v>
      </c>
      <c r="J66" s="192">
        <f>SUM(H66,I66)</f>
        <v>326.88</v>
      </c>
    </row>
    <row r="67" spans="1:10" outlineLevel="2">
      <c r="A67" s="191" t="s">
        <v>900</v>
      </c>
      <c r="B67" s="191" t="s">
        <v>871</v>
      </c>
      <c r="C67" s="191" t="s">
        <v>898</v>
      </c>
      <c r="D67" s="191" t="s">
        <v>2058</v>
      </c>
      <c r="E67" s="191" t="s">
        <v>2599</v>
      </c>
      <c r="F67" s="191" t="s">
        <v>2600</v>
      </c>
      <c r="G67" s="191">
        <v>14</v>
      </c>
      <c r="H67" s="192">
        <v>0</v>
      </c>
      <c r="I67" s="192">
        <v>226.88</v>
      </c>
      <c r="J67" s="192">
        <f>SUM(H67,I67)</f>
        <v>226.88</v>
      </c>
    </row>
    <row r="68" spans="1:10" outlineLevel="2">
      <c r="A68" s="191" t="s">
        <v>900</v>
      </c>
      <c r="B68" s="191" t="s">
        <v>871</v>
      </c>
      <c r="C68" s="191" t="s">
        <v>898</v>
      </c>
      <c r="D68" s="191" t="s">
        <v>3250</v>
      </c>
      <c r="E68" s="191" t="s">
        <v>2675</v>
      </c>
      <c r="F68" s="191" t="s">
        <v>1504</v>
      </c>
      <c r="G68" s="191">
        <v>14</v>
      </c>
      <c r="H68" s="192">
        <v>100</v>
      </c>
      <c r="I68" s="192">
        <v>226.88</v>
      </c>
      <c r="J68" s="192">
        <f>SUM(H68,I68)</f>
        <v>326.88</v>
      </c>
    </row>
    <row r="69" spans="1:10" outlineLevel="1">
      <c r="A69" s="193" t="s">
        <v>3511</v>
      </c>
      <c r="B69" s="194"/>
      <c r="C69" s="194"/>
      <c r="D69" s="194"/>
      <c r="E69" s="194"/>
      <c r="F69" s="194"/>
      <c r="G69" s="194">
        <f>SUBTOTAL(9,G62:G68)</f>
        <v>98</v>
      </c>
      <c r="H69" s="195">
        <f>SUBTOTAL(9,H62:H68)</f>
        <v>400</v>
      </c>
      <c r="I69" s="195">
        <f>SUBTOTAL(9,I62:I68)</f>
        <v>1280.7000000000003</v>
      </c>
      <c r="J69" s="195">
        <f>SUBTOTAL(9,J62:J68)</f>
        <v>1680.7000000000003</v>
      </c>
    </row>
    <row r="70" spans="1:10" outlineLevel="2">
      <c r="A70" s="191" t="s">
        <v>889</v>
      </c>
      <c r="B70" s="191" t="s">
        <v>871</v>
      </c>
      <c r="C70" s="191" t="s">
        <v>3049</v>
      </c>
      <c r="D70" s="191" t="s">
        <v>1849</v>
      </c>
      <c r="E70" s="191" t="s">
        <v>1504</v>
      </c>
      <c r="F70" s="191" t="s">
        <v>1504</v>
      </c>
      <c r="G70" s="191">
        <v>7</v>
      </c>
      <c r="H70" s="192">
        <v>0</v>
      </c>
      <c r="I70" s="192">
        <v>92.82</v>
      </c>
      <c r="J70" s="192">
        <f>SUM(H70,I70)</f>
        <v>92.82</v>
      </c>
    </row>
    <row r="71" spans="1:10" outlineLevel="2">
      <c r="A71" s="191" t="s">
        <v>889</v>
      </c>
      <c r="B71" s="191" t="s">
        <v>871</v>
      </c>
      <c r="C71" s="191" t="s">
        <v>3049</v>
      </c>
      <c r="D71" s="191" t="s">
        <v>1026</v>
      </c>
      <c r="E71" s="191" t="s">
        <v>2626</v>
      </c>
      <c r="F71" s="191" t="s">
        <v>3451</v>
      </c>
      <c r="G71" s="191">
        <v>14</v>
      </c>
      <c r="H71" s="192">
        <v>0</v>
      </c>
      <c r="I71" s="192">
        <v>192.76</v>
      </c>
      <c r="J71" s="192">
        <f>SUM(H71,I71)</f>
        <v>192.76</v>
      </c>
    </row>
    <row r="72" spans="1:10" outlineLevel="2">
      <c r="A72" s="191" t="s">
        <v>889</v>
      </c>
      <c r="B72" s="191" t="s">
        <v>871</v>
      </c>
      <c r="C72" s="191" t="s">
        <v>3049</v>
      </c>
      <c r="D72" s="191" t="s">
        <v>3251</v>
      </c>
      <c r="E72" s="191" t="s">
        <v>2617</v>
      </c>
      <c r="F72" s="191" t="s">
        <v>2617</v>
      </c>
      <c r="G72" s="191">
        <v>7</v>
      </c>
      <c r="H72" s="192">
        <v>0</v>
      </c>
      <c r="I72" s="192">
        <v>96.38</v>
      </c>
      <c r="J72" s="192">
        <f>SUM(H72,I72)</f>
        <v>96.38</v>
      </c>
    </row>
    <row r="73" spans="1:10" outlineLevel="2">
      <c r="A73" s="191" t="s">
        <v>889</v>
      </c>
      <c r="B73" s="191" t="s">
        <v>871</v>
      </c>
      <c r="C73" s="191" t="s">
        <v>3049</v>
      </c>
      <c r="D73" s="191" t="s">
        <v>3252</v>
      </c>
      <c r="E73" s="191" t="s">
        <v>2717</v>
      </c>
      <c r="F73" s="191" t="s">
        <v>1490</v>
      </c>
      <c r="G73" s="191">
        <v>21</v>
      </c>
      <c r="H73" s="192">
        <v>0</v>
      </c>
      <c r="I73" s="192">
        <v>426.33</v>
      </c>
      <c r="J73" s="192">
        <f>SUM(H73,I73)</f>
        <v>426.33</v>
      </c>
    </row>
    <row r="74" spans="1:10" outlineLevel="1">
      <c r="A74" s="193" t="s">
        <v>3512</v>
      </c>
      <c r="B74" s="194"/>
      <c r="C74" s="194"/>
      <c r="D74" s="194"/>
      <c r="E74" s="194"/>
      <c r="F74" s="194"/>
      <c r="G74" s="194">
        <f>SUBTOTAL(9,G70:G73)</f>
        <v>49</v>
      </c>
      <c r="H74" s="195">
        <f>SUBTOTAL(9,H70:H73)</f>
        <v>0</v>
      </c>
      <c r="I74" s="195">
        <f>SUBTOTAL(9,I70:I73)</f>
        <v>808.29</v>
      </c>
      <c r="J74" s="195">
        <f>SUBTOTAL(9,J70:J73)</f>
        <v>808.29</v>
      </c>
    </row>
    <row r="75" spans="1:10" outlineLevel="2">
      <c r="A75" s="191" t="s">
        <v>3075</v>
      </c>
      <c r="B75" s="191" t="s">
        <v>3076</v>
      </c>
      <c r="C75" s="191" t="s">
        <v>3050</v>
      </c>
      <c r="D75" s="191" t="s">
        <v>3253</v>
      </c>
      <c r="E75" s="191" t="s">
        <v>2625</v>
      </c>
      <c r="F75" s="191" t="s">
        <v>2626</v>
      </c>
      <c r="G75" s="191">
        <v>28</v>
      </c>
      <c r="H75" s="192">
        <v>0</v>
      </c>
      <c r="I75" s="192">
        <v>444.8</v>
      </c>
      <c r="J75" s="192">
        <f>SUM(H75,I75)</f>
        <v>444.8</v>
      </c>
    </row>
    <row r="76" spans="1:10" outlineLevel="1">
      <c r="A76" s="193" t="s">
        <v>3513</v>
      </c>
      <c r="B76" s="194"/>
      <c r="C76" s="194"/>
      <c r="D76" s="194"/>
      <c r="E76" s="194"/>
      <c r="F76" s="194"/>
      <c r="G76" s="194">
        <f>SUBTOTAL(9,G75:G75)</f>
        <v>28</v>
      </c>
      <c r="H76" s="195">
        <f>SUBTOTAL(9,H75:H75)</f>
        <v>0</v>
      </c>
      <c r="I76" s="195">
        <f>SUBTOTAL(9,I75:I75)</f>
        <v>444.8</v>
      </c>
      <c r="J76" s="195">
        <f>SUBTOTAL(9,J75:J75)</f>
        <v>444.8</v>
      </c>
    </row>
    <row r="77" spans="1:10" outlineLevel="2">
      <c r="A77" s="191" t="s">
        <v>901</v>
      </c>
      <c r="B77" s="191" t="s">
        <v>871</v>
      </c>
      <c r="C77" s="191" t="s">
        <v>902</v>
      </c>
      <c r="D77" s="191" t="s">
        <v>1798</v>
      </c>
      <c r="E77" s="191" t="s">
        <v>2699</v>
      </c>
      <c r="F77" s="191" t="s">
        <v>2600</v>
      </c>
      <c r="G77" s="191">
        <v>28</v>
      </c>
      <c r="H77" s="192">
        <v>0</v>
      </c>
      <c r="I77" s="192">
        <v>492.2</v>
      </c>
      <c r="J77" s="192">
        <f>SUM(H77,I77)</f>
        <v>492.2</v>
      </c>
    </row>
    <row r="78" spans="1:10" outlineLevel="2">
      <c r="A78" s="191" t="s">
        <v>901</v>
      </c>
      <c r="B78" s="191" t="s">
        <v>871</v>
      </c>
      <c r="C78" s="191" t="s">
        <v>902</v>
      </c>
      <c r="D78" s="191" t="s">
        <v>3254</v>
      </c>
      <c r="E78" s="191" t="s">
        <v>2612</v>
      </c>
      <c r="F78" s="191" t="s">
        <v>2612</v>
      </c>
      <c r="G78" s="191">
        <v>7</v>
      </c>
      <c r="H78" s="192">
        <v>0</v>
      </c>
      <c r="I78" s="192">
        <v>123.05</v>
      </c>
      <c r="J78" s="192">
        <f>SUM(H78,I78)</f>
        <v>123.05</v>
      </c>
    </row>
    <row r="79" spans="1:10" outlineLevel="2">
      <c r="A79" s="191" t="s">
        <v>901</v>
      </c>
      <c r="B79" s="191" t="s">
        <v>871</v>
      </c>
      <c r="C79" s="191" t="s">
        <v>902</v>
      </c>
      <c r="D79" s="191" t="s">
        <v>3255</v>
      </c>
      <c r="E79" s="191" t="s">
        <v>1487</v>
      </c>
      <c r="F79" s="191" t="s">
        <v>1487</v>
      </c>
      <c r="G79" s="191">
        <v>7</v>
      </c>
      <c r="H79" s="192">
        <v>0</v>
      </c>
      <c r="I79" s="192">
        <v>123.05</v>
      </c>
      <c r="J79" s="192">
        <f>SUM(H79,I79)</f>
        <v>123.05</v>
      </c>
    </row>
    <row r="80" spans="1:10" outlineLevel="2">
      <c r="A80" s="191" t="s">
        <v>903</v>
      </c>
      <c r="B80" s="191" t="s">
        <v>904</v>
      </c>
      <c r="C80" s="191" t="s">
        <v>902</v>
      </c>
      <c r="D80" s="191" t="s">
        <v>2254</v>
      </c>
      <c r="E80" s="191" t="s">
        <v>2658</v>
      </c>
      <c r="F80" s="191" t="s">
        <v>2658</v>
      </c>
      <c r="G80" s="191">
        <v>7</v>
      </c>
      <c r="H80" s="192">
        <v>0</v>
      </c>
      <c r="I80" s="192">
        <v>104.16</v>
      </c>
      <c r="J80" s="192">
        <f>SUM(H80,I80)</f>
        <v>104.16</v>
      </c>
    </row>
    <row r="81" spans="1:10" outlineLevel="2">
      <c r="A81" s="191" t="s">
        <v>903</v>
      </c>
      <c r="B81" s="191" t="s">
        <v>904</v>
      </c>
      <c r="C81" s="191" t="s">
        <v>902</v>
      </c>
      <c r="D81" s="191" t="s">
        <v>2064</v>
      </c>
      <c r="E81" s="191" t="s">
        <v>2649</v>
      </c>
      <c r="F81" s="191" t="s">
        <v>2586</v>
      </c>
      <c r="G81" s="191">
        <v>21</v>
      </c>
      <c r="H81" s="192">
        <v>100</v>
      </c>
      <c r="I81" s="192">
        <v>320.37</v>
      </c>
      <c r="J81" s="192">
        <f>SUM(H81,I81)</f>
        <v>420.37</v>
      </c>
    </row>
    <row r="82" spans="1:10" outlineLevel="2">
      <c r="A82" s="191" t="s">
        <v>905</v>
      </c>
      <c r="B82" s="191" t="s">
        <v>871</v>
      </c>
      <c r="C82" s="191" t="s">
        <v>902</v>
      </c>
      <c r="D82" s="191" t="s">
        <v>1798</v>
      </c>
      <c r="E82" s="191" t="s">
        <v>2699</v>
      </c>
      <c r="F82" s="191" t="s">
        <v>2600</v>
      </c>
      <c r="G82" s="191">
        <v>28</v>
      </c>
      <c r="H82" s="192">
        <v>0</v>
      </c>
      <c r="I82" s="192">
        <v>481.12</v>
      </c>
      <c r="J82" s="192">
        <f>SUM(H82,I82)</f>
        <v>481.12</v>
      </c>
    </row>
    <row r="83" spans="1:10" outlineLevel="2">
      <c r="A83" s="191" t="s">
        <v>905</v>
      </c>
      <c r="B83" s="191" t="s">
        <v>871</v>
      </c>
      <c r="C83" s="191" t="s">
        <v>902</v>
      </c>
      <c r="D83" s="191" t="s">
        <v>3254</v>
      </c>
      <c r="E83" s="191" t="s">
        <v>2612</v>
      </c>
      <c r="F83" s="191" t="s">
        <v>2612</v>
      </c>
      <c r="G83" s="191">
        <v>7</v>
      </c>
      <c r="H83" s="192">
        <v>0</v>
      </c>
      <c r="I83" s="192">
        <v>120.28</v>
      </c>
      <c r="J83" s="192">
        <f>SUM(H83,I83)</f>
        <v>120.28</v>
      </c>
    </row>
    <row r="84" spans="1:10" outlineLevel="2">
      <c r="A84" s="191" t="s">
        <v>905</v>
      </c>
      <c r="B84" s="191" t="s">
        <v>871</v>
      </c>
      <c r="C84" s="191" t="s">
        <v>902</v>
      </c>
      <c r="D84" s="191" t="s">
        <v>3255</v>
      </c>
      <c r="E84" s="191" t="s">
        <v>1487</v>
      </c>
      <c r="F84" s="191" t="s">
        <v>1487</v>
      </c>
      <c r="G84" s="191">
        <v>7</v>
      </c>
      <c r="H84" s="192">
        <v>0</v>
      </c>
      <c r="I84" s="192">
        <v>120.28</v>
      </c>
      <c r="J84" s="192">
        <f>SUM(H84,I84)</f>
        <v>120.28</v>
      </c>
    </row>
    <row r="85" spans="1:10" outlineLevel="1">
      <c r="A85" s="193" t="s">
        <v>3514</v>
      </c>
      <c r="B85" s="194"/>
      <c r="C85" s="194"/>
      <c r="D85" s="194"/>
      <c r="E85" s="194"/>
      <c r="F85" s="194"/>
      <c r="G85" s="194">
        <f>SUBTOTAL(9,G77:G84)</f>
        <v>112</v>
      </c>
      <c r="H85" s="195">
        <f>SUBTOTAL(9,H77:H84)</f>
        <v>100</v>
      </c>
      <c r="I85" s="195">
        <f>SUBTOTAL(9,I77:I84)</f>
        <v>1884.5099999999998</v>
      </c>
      <c r="J85" s="195">
        <f>SUBTOTAL(9,J77:J84)</f>
        <v>1984.5099999999998</v>
      </c>
    </row>
    <row r="86" spans="1:10" outlineLevel="2">
      <c r="A86" s="191" t="s">
        <v>907</v>
      </c>
      <c r="B86" s="191" t="s">
        <v>871</v>
      </c>
      <c r="C86" s="191" t="s">
        <v>906</v>
      </c>
      <c r="D86" s="191" t="s">
        <v>2410</v>
      </c>
      <c r="E86" s="191" t="s">
        <v>2683</v>
      </c>
      <c r="F86" s="191" t="s">
        <v>2612</v>
      </c>
      <c r="G86" s="191">
        <v>21</v>
      </c>
      <c r="H86" s="192">
        <v>0</v>
      </c>
      <c r="I86" s="192">
        <v>356.67</v>
      </c>
      <c r="J86" s="192">
        <f>SUM(H86,I86)</f>
        <v>356.67</v>
      </c>
    </row>
    <row r="87" spans="1:10" outlineLevel="1">
      <c r="A87" s="193" t="s">
        <v>3515</v>
      </c>
      <c r="B87" s="194"/>
      <c r="C87" s="194"/>
      <c r="D87" s="194"/>
      <c r="E87" s="194"/>
      <c r="F87" s="194"/>
      <c r="G87" s="194">
        <f>SUBTOTAL(9,G86:G86)</f>
        <v>21</v>
      </c>
      <c r="H87" s="195">
        <f>SUBTOTAL(9,H86:H86)</f>
        <v>0</v>
      </c>
      <c r="I87" s="195">
        <f>SUBTOTAL(9,I86:I86)</f>
        <v>356.67</v>
      </c>
      <c r="J87" s="195">
        <f>SUBTOTAL(9,J86:J86)</f>
        <v>356.67</v>
      </c>
    </row>
    <row r="88" spans="1:10" outlineLevel="2">
      <c r="A88" s="191" t="s">
        <v>3077</v>
      </c>
      <c r="B88" s="191" t="s">
        <v>871</v>
      </c>
      <c r="C88" s="191" t="s">
        <v>909</v>
      </c>
      <c r="D88" s="191" t="s">
        <v>3254</v>
      </c>
      <c r="E88" s="191" t="s">
        <v>2612</v>
      </c>
      <c r="F88" s="191" t="s">
        <v>2612</v>
      </c>
      <c r="G88" s="191">
        <v>1</v>
      </c>
      <c r="H88" s="192">
        <v>0</v>
      </c>
      <c r="I88" s="192">
        <v>15.61</v>
      </c>
      <c r="J88" s="192">
        <f>SUM(H88,I88)</f>
        <v>15.61</v>
      </c>
    </row>
    <row r="89" spans="1:10" outlineLevel="2">
      <c r="A89" s="191" t="s">
        <v>3077</v>
      </c>
      <c r="B89" s="191" t="s">
        <v>871</v>
      </c>
      <c r="C89" s="191" t="s">
        <v>909</v>
      </c>
      <c r="D89" s="191" t="s">
        <v>3256</v>
      </c>
      <c r="E89" s="191" t="s">
        <v>2646</v>
      </c>
      <c r="F89" s="191" t="s">
        <v>2646</v>
      </c>
      <c r="G89" s="191">
        <v>7</v>
      </c>
      <c r="H89" s="192">
        <v>0</v>
      </c>
      <c r="I89" s="192">
        <v>111.2</v>
      </c>
      <c r="J89" s="192">
        <f>SUM(H89,I89)</f>
        <v>111.2</v>
      </c>
    </row>
    <row r="90" spans="1:10" outlineLevel="2">
      <c r="A90" s="191" t="s">
        <v>911</v>
      </c>
      <c r="B90" s="191" t="s">
        <v>874</v>
      </c>
      <c r="C90" s="191" t="s">
        <v>909</v>
      </c>
      <c r="D90" s="191" t="s">
        <v>3257</v>
      </c>
      <c r="E90" s="191" t="s">
        <v>2647</v>
      </c>
      <c r="F90" s="191" t="s">
        <v>2600</v>
      </c>
      <c r="G90" s="191">
        <v>21</v>
      </c>
      <c r="H90" s="192">
        <v>0</v>
      </c>
      <c r="I90" s="192">
        <v>411.33</v>
      </c>
      <c r="J90" s="192">
        <f>SUM(H90,I90)</f>
        <v>411.33</v>
      </c>
    </row>
    <row r="91" spans="1:10" outlineLevel="2">
      <c r="A91" s="191" t="s">
        <v>911</v>
      </c>
      <c r="B91" s="191" t="s">
        <v>874</v>
      </c>
      <c r="C91" s="191" t="s">
        <v>909</v>
      </c>
      <c r="D91" s="191" t="s">
        <v>3254</v>
      </c>
      <c r="E91" s="191" t="s">
        <v>2612</v>
      </c>
      <c r="F91" s="191" t="s">
        <v>2612</v>
      </c>
      <c r="G91" s="191">
        <v>7</v>
      </c>
      <c r="H91" s="192">
        <v>0</v>
      </c>
      <c r="I91" s="192">
        <v>137.11000000000001</v>
      </c>
      <c r="J91" s="192">
        <f>SUM(H91,I91)</f>
        <v>137.11000000000001</v>
      </c>
    </row>
    <row r="92" spans="1:10" outlineLevel="2">
      <c r="A92" s="191" t="s">
        <v>913</v>
      </c>
      <c r="B92" s="191" t="s">
        <v>871</v>
      </c>
      <c r="C92" s="191" t="s">
        <v>909</v>
      </c>
      <c r="D92" s="191" t="s">
        <v>3254</v>
      </c>
      <c r="E92" s="191" t="s">
        <v>2612</v>
      </c>
      <c r="F92" s="191" t="s">
        <v>2612</v>
      </c>
      <c r="G92" s="191">
        <v>1</v>
      </c>
      <c r="H92" s="192">
        <v>0</v>
      </c>
      <c r="I92" s="192">
        <v>17.78</v>
      </c>
      <c r="J92" s="192">
        <f>SUM(H92,I92)</f>
        <v>17.78</v>
      </c>
    </row>
    <row r="93" spans="1:10" outlineLevel="2">
      <c r="A93" s="191" t="s">
        <v>913</v>
      </c>
      <c r="B93" s="191" t="s">
        <v>871</v>
      </c>
      <c r="C93" s="191" t="s">
        <v>909</v>
      </c>
      <c r="D93" s="191" t="s">
        <v>3255</v>
      </c>
      <c r="E93" s="191" t="s">
        <v>1487</v>
      </c>
      <c r="F93" s="191" t="s">
        <v>1487</v>
      </c>
      <c r="G93" s="191">
        <v>1</v>
      </c>
      <c r="H93" s="192">
        <v>0</v>
      </c>
      <c r="I93" s="192">
        <v>17.78</v>
      </c>
      <c r="J93" s="192">
        <f>SUM(H93,I93)</f>
        <v>17.78</v>
      </c>
    </row>
    <row r="94" spans="1:10" outlineLevel="2">
      <c r="A94" s="191" t="s">
        <v>3078</v>
      </c>
      <c r="B94" s="191" t="s">
        <v>3079</v>
      </c>
      <c r="C94" s="191" t="s">
        <v>909</v>
      </c>
      <c r="D94" s="191" t="s">
        <v>3258</v>
      </c>
      <c r="E94" s="191" t="s">
        <v>1480</v>
      </c>
      <c r="F94" s="191" t="s">
        <v>3452</v>
      </c>
      <c r="G94" s="191">
        <v>21</v>
      </c>
      <c r="H94" s="192">
        <v>100</v>
      </c>
      <c r="I94" s="192">
        <v>223.56</v>
      </c>
      <c r="J94" s="192">
        <f>SUM(H94,I94)</f>
        <v>323.56</v>
      </c>
    </row>
    <row r="95" spans="1:10" outlineLevel="2">
      <c r="A95" s="191" t="s">
        <v>914</v>
      </c>
      <c r="B95" s="191" t="s">
        <v>871</v>
      </c>
      <c r="C95" s="191" t="s">
        <v>909</v>
      </c>
      <c r="D95" s="191" t="s">
        <v>3232</v>
      </c>
      <c r="E95" s="191" t="s">
        <v>2699</v>
      </c>
      <c r="F95" s="191" t="s">
        <v>2600</v>
      </c>
      <c r="G95" s="191">
        <v>28</v>
      </c>
      <c r="H95" s="192">
        <v>0</v>
      </c>
      <c r="I95" s="192">
        <v>416.64</v>
      </c>
      <c r="J95" s="192">
        <f>SUM(H95,I95)</f>
        <v>416.64</v>
      </c>
    </row>
    <row r="96" spans="1:10" outlineLevel="2">
      <c r="A96" s="191" t="s">
        <v>914</v>
      </c>
      <c r="B96" s="191" t="s">
        <v>871</v>
      </c>
      <c r="C96" s="191" t="s">
        <v>909</v>
      </c>
      <c r="D96" s="191" t="s">
        <v>3254</v>
      </c>
      <c r="E96" s="191" t="s">
        <v>2612</v>
      </c>
      <c r="F96" s="191" t="s">
        <v>2612</v>
      </c>
      <c r="G96" s="191">
        <v>1</v>
      </c>
      <c r="H96" s="192">
        <v>0</v>
      </c>
      <c r="I96" s="192">
        <v>14.88</v>
      </c>
      <c r="J96" s="192">
        <f>SUM(H96,I96)</f>
        <v>14.88</v>
      </c>
    </row>
    <row r="97" spans="1:10" outlineLevel="2">
      <c r="A97" s="191" t="s">
        <v>915</v>
      </c>
      <c r="B97" s="191" t="s">
        <v>871</v>
      </c>
      <c r="C97" s="191" t="s">
        <v>909</v>
      </c>
      <c r="D97" s="191" t="s">
        <v>1807</v>
      </c>
      <c r="E97" s="191" t="s">
        <v>2699</v>
      </c>
      <c r="F97" s="191" t="s">
        <v>2600</v>
      </c>
      <c r="G97" s="191">
        <v>28</v>
      </c>
      <c r="H97" s="192">
        <v>0</v>
      </c>
      <c r="I97" s="192">
        <v>448.2</v>
      </c>
      <c r="J97" s="192">
        <f>SUM(H97,I97)</f>
        <v>448.2</v>
      </c>
    </row>
    <row r="98" spans="1:10" outlineLevel="2">
      <c r="A98" s="191" t="s">
        <v>915</v>
      </c>
      <c r="B98" s="191" t="s">
        <v>871</v>
      </c>
      <c r="C98" s="191" t="s">
        <v>909</v>
      </c>
      <c r="D98" s="191" t="s">
        <v>3254</v>
      </c>
      <c r="E98" s="191" t="s">
        <v>2612</v>
      </c>
      <c r="F98" s="191" t="s">
        <v>2612</v>
      </c>
      <c r="G98" s="191">
        <v>1</v>
      </c>
      <c r="H98" s="192">
        <v>0</v>
      </c>
      <c r="I98" s="192">
        <v>16.010000000000002</v>
      </c>
      <c r="J98" s="192">
        <f>SUM(H98,I98)</f>
        <v>16.010000000000002</v>
      </c>
    </row>
    <row r="99" spans="1:10" outlineLevel="2">
      <c r="A99" s="191" t="s">
        <v>915</v>
      </c>
      <c r="B99" s="191" t="s">
        <v>871</v>
      </c>
      <c r="C99" s="191" t="s">
        <v>909</v>
      </c>
      <c r="D99" s="191" t="s">
        <v>3255</v>
      </c>
      <c r="E99" s="191" t="s">
        <v>1487</v>
      </c>
      <c r="F99" s="191" t="s">
        <v>1487</v>
      </c>
      <c r="G99" s="191">
        <v>1</v>
      </c>
      <c r="H99" s="192">
        <v>0</v>
      </c>
      <c r="I99" s="192">
        <v>16.010000000000002</v>
      </c>
      <c r="J99" s="192">
        <f>SUM(H99,I99)</f>
        <v>16.010000000000002</v>
      </c>
    </row>
    <row r="100" spans="1:10" outlineLevel="2">
      <c r="A100" s="191" t="s">
        <v>915</v>
      </c>
      <c r="B100" s="191" t="s">
        <v>871</v>
      </c>
      <c r="C100" s="191" t="s">
        <v>909</v>
      </c>
      <c r="D100" s="191" t="s">
        <v>3258</v>
      </c>
      <c r="E100" s="191" t="s">
        <v>2718</v>
      </c>
      <c r="F100" s="191" t="s">
        <v>1480</v>
      </c>
      <c r="G100" s="191">
        <v>21</v>
      </c>
      <c r="H100" s="192">
        <v>100</v>
      </c>
      <c r="I100" s="192">
        <v>337.8</v>
      </c>
      <c r="J100" s="192">
        <f>SUM(H100,I100)</f>
        <v>437.8</v>
      </c>
    </row>
    <row r="101" spans="1:10" outlineLevel="2">
      <c r="A101" s="191" t="s">
        <v>916</v>
      </c>
      <c r="B101" s="191" t="s">
        <v>871</v>
      </c>
      <c r="C101" s="191" t="s">
        <v>909</v>
      </c>
      <c r="D101" s="191" t="s">
        <v>3257</v>
      </c>
      <c r="E101" s="191" t="s">
        <v>2647</v>
      </c>
      <c r="F101" s="191" t="s">
        <v>2600</v>
      </c>
      <c r="G101" s="191">
        <v>21</v>
      </c>
      <c r="H101" s="192">
        <v>0</v>
      </c>
      <c r="I101" s="192">
        <v>374.49</v>
      </c>
      <c r="J101" s="192">
        <f>SUM(H101,I101)</f>
        <v>374.49</v>
      </c>
    </row>
    <row r="102" spans="1:10" outlineLevel="2">
      <c r="A102" s="191" t="s">
        <v>916</v>
      </c>
      <c r="B102" s="191" t="s">
        <v>871</v>
      </c>
      <c r="C102" s="191" t="s">
        <v>909</v>
      </c>
      <c r="D102" s="191" t="s">
        <v>3254</v>
      </c>
      <c r="E102" s="191" t="s">
        <v>2612</v>
      </c>
      <c r="F102" s="191" t="s">
        <v>2612</v>
      </c>
      <c r="G102" s="191">
        <v>1</v>
      </c>
      <c r="H102" s="192">
        <v>0</v>
      </c>
      <c r="I102" s="192">
        <v>17.829999999999998</v>
      </c>
      <c r="J102" s="192">
        <f>SUM(H102,I102)</f>
        <v>17.829999999999998</v>
      </c>
    </row>
    <row r="103" spans="1:10" outlineLevel="2">
      <c r="A103" s="191" t="s">
        <v>916</v>
      </c>
      <c r="B103" s="191" t="s">
        <v>871</v>
      </c>
      <c r="C103" s="191" t="s">
        <v>909</v>
      </c>
      <c r="D103" s="191" t="s">
        <v>3255</v>
      </c>
      <c r="E103" s="191" t="s">
        <v>1487</v>
      </c>
      <c r="F103" s="191" t="s">
        <v>1487</v>
      </c>
      <c r="G103" s="191">
        <v>1</v>
      </c>
      <c r="H103" s="192">
        <v>0</v>
      </c>
      <c r="I103" s="192">
        <v>17.829999999999998</v>
      </c>
      <c r="J103" s="192">
        <f>SUM(H103,I103)</f>
        <v>17.829999999999998</v>
      </c>
    </row>
    <row r="104" spans="1:10" outlineLevel="2">
      <c r="A104" s="191" t="s">
        <v>916</v>
      </c>
      <c r="B104" s="191" t="s">
        <v>871</v>
      </c>
      <c r="C104" s="191" t="s">
        <v>909</v>
      </c>
      <c r="D104" s="191" t="s">
        <v>3256</v>
      </c>
      <c r="E104" s="191" t="s">
        <v>2646</v>
      </c>
      <c r="F104" s="191" t="s">
        <v>2646</v>
      </c>
      <c r="G104" s="191">
        <v>7</v>
      </c>
      <c r="H104" s="192">
        <v>0</v>
      </c>
      <c r="I104" s="192">
        <v>125.87</v>
      </c>
      <c r="J104" s="192">
        <f>SUM(H104,I104)</f>
        <v>125.87</v>
      </c>
    </row>
    <row r="105" spans="1:10" outlineLevel="2">
      <c r="A105" s="191" t="s">
        <v>917</v>
      </c>
      <c r="B105" s="191" t="s">
        <v>871</v>
      </c>
      <c r="C105" s="191" t="s">
        <v>909</v>
      </c>
      <c r="D105" s="191" t="s">
        <v>3254</v>
      </c>
      <c r="E105" s="191" t="s">
        <v>2612</v>
      </c>
      <c r="F105" s="191" t="s">
        <v>2612</v>
      </c>
      <c r="G105" s="191">
        <v>1</v>
      </c>
      <c r="H105" s="192">
        <v>0</v>
      </c>
      <c r="I105" s="192">
        <v>15.81</v>
      </c>
      <c r="J105" s="192">
        <f>SUM(H105,I105)</f>
        <v>15.81</v>
      </c>
    </row>
    <row r="106" spans="1:10" outlineLevel="2">
      <c r="A106" s="191" t="s">
        <v>917</v>
      </c>
      <c r="B106" s="191" t="s">
        <v>871</v>
      </c>
      <c r="C106" s="191" t="s">
        <v>909</v>
      </c>
      <c r="D106" s="191" t="s">
        <v>3255</v>
      </c>
      <c r="E106" s="191" t="s">
        <v>1487</v>
      </c>
      <c r="F106" s="191" t="s">
        <v>1487</v>
      </c>
      <c r="G106" s="191">
        <v>1</v>
      </c>
      <c r="H106" s="192">
        <v>0</v>
      </c>
      <c r="I106" s="192">
        <v>15.81</v>
      </c>
      <c r="J106" s="192">
        <f>SUM(H106,I106)</f>
        <v>15.81</v>
      </c>
    </row>
    <row r="107" spans="1:10" outlineLevel="2">
      <c r="A107" s="191" t="s">
        <v>917</v>
      </c>
      <c r="B107" s="191" t="s">
        <v>871</v>
      </c>
      <c r="C107" s="191" t="s">
        <v>909</v>
      </c>
      <c r="D107" s="191" t="s">
        <v>3259</v>
      </c>
      <c r="E107" s="191" t="s">
        <v>2703</v>
      </c>
      <c r="F107" s="191" t="s">
        <v>1493</v>
      </c>
      <c r="G107" s="191">
        <v>28</v>
      </c>
      <c r="H107" s="192">
        <v>0</v>
      </c>
      <c r="I107" s="192">
        <v>444.8</v>
      </c>
      <c r="J107" s="192">
        <f>SUM(H107,I107)</f>
        <v>444.8</v>
      </c>
    </row>
    <row r="108" spans="1:10" outlineLevel="2">
      <c r="A108" s="191" t="s">
        <v>917</v>
      </c>
      <c r="B108" s="191" t="s">
        <v>871</v>
      </c>
      <c r="C108" s="191" t="s">
        <v>909</v>
      </c>
      <c r="D108" s="191" t="s">
        <v>3256</v>
      </c>
      <c r="E108" s="191" t="s">
        <v>2646</v>
      </c>
      <c r="F108" s="191" t="s">
        <v>2646</v>
      </c>
      <c r="G108" s="191">
        <v>7</v>
      </c>
      <c r="H108" s="192">
        <v>0</v>
      </c>
      <c r="I108" s="192">
        <v>111.2</v>
      </c>
      <c r="J108" s="192">
        <f>SUM(H108,I108)</f>
        <v>111.2</v>
      </c>
    </row>
    <row r="109" spans="1:10" outlineLevel="1">
      <c r="A109" s="193" t="s">
        <v>3516</v>
      </c>
      <c r="B109" s="194"/>
      <c r="C109" s="194"/>
      <c r="D109" s="194"/>
      <c r="E109" s="194"/>
      <c r="F109" s="194"/>
      <c r="G109" s="194">
        <f>SUBTOTAL(9,G88:G108)</f>
        <v>206</v>
      </c>
      <c r="H109" s="195">
        <f>SUBTOTAL(9,H88:H108)</f>
        <v>200</v>
      </c>
      <c r="I109" s="195">
        <f>SUBTOTAL(9,I88:I108)</f>
        <v>3307.5499999999993</v>
      </c>
      <c r="J109" s="195">
        <f>SUBTOTAL(9,J88:J108)</f>
        <v>3507.5499999999993</v>
      </c>
    </row>
    <row r="110" spans="1:10" outlineLevel="2">
      <c r="A110" s="191" t="s">
        <v>918</v>
      </c>
      <c r="B110" s="191" t="s">
        <v>919</v>
      </c>
      <c r="C110" s="191" t="s">
        <v>920</v>
      </c>
      <c r="D110" s="191" t="s">
        <v>3260</v>
      </c>
      <c r="E110" s="191" t="s">
        <v>3453</v>
      </c>
      <c r="F110" s="191" t="s">
        <v>3453</v>
      </c>
      <c r="G110" s="191">
        <v>0</v>
      </c>
      <c r="H110" s="192">
        <v>1596</v>
      </c>
      <c r="I110" s="192">
        <v>0</v>
      </c>
      <c r="J110" s="192">
        <f>SUM(H110,I110)</f>
        <v>1596</v>
      </c>
    </row>
    <row r="111" spans="1:10" outlineLevel="1">
      <c r="A111" s="193" t="s">
        <v>3517</v>
      </c>
      <c r="B111" s="194"/>
      <c r="C111" s="194"/>
      <c r="D111" s="194"/>
      <c r="E111" s="194"/>
      <c r="F111" s="194"/>
      <c r="G111" s="194">
        <f>SUBTOTAL(9,G110:G110)</f>
        <v>0</v>
      </c>
      <c r="H111" s="195">
        <f>SUBTOTAL(9,H110:H110)</f>
        <v>1596</v>
      </c>
      <c r="I111" s="195">
        <f>SUBTOTAL(9,I110:I110)</f>
        <v>0</v>
      </c>
      <c r="J111" s="195">
        <f>SUBTOTAL(9,J110:J110)</f>
        <v>1596</v>
      </c>
    </row>
    <row r="112" spans="1:10" outlineLevel="2">
      <c r="A112" s="191" t="s">
        <v>923</v>
      </c>
      <c r="B112" s="191" t="s">
        <v>921</v>
      </c>
      <c r="C112" s="191" t="s">
        <v>922</v>
      </c>
      <c r="D112" s="191" t="s">
        <v>3261</v>
      </c>
      <c r="E112" s="191" t="s">
        <v>1491</v>
      </c>
      <c r="F112" s="191" t="s">
        <v>2687</v>
      </c>
      <c r="G112" s="191">
        <v>14</v>
      </c>
      <c r="H112" s="192">
        <v>100</v>
      </c>
      <c r="I112" s="192">
        <v>130.82</v>
      </c>
      <c r="J112" s="192">
        <f>SUM(H112,I112)</f>
        <v>230.82</v>
      </c>
    </row>
    <row r="113" spans="1:10" outlineLevel="1">
      <c r="A113" s="193" t="s">
        <v>3518</v>
      </c>
      <c r="B113" s="194"/>
      <c r="C113" s="194"/>
      <c r="D113" s="194"/>
      <c r="E113" s="194"/>
      <c r="F113" s="194"/>
      <c r="G113" s="194">
        <f>SUBTOTAL(9,G112:G112)</f>
        <v>14</v>
      </c>
      <c r="H113" s="195">
        <f>SUBTOTAL(9,H112:H112)</f>
        <v>100</v>
      </c>
      <c r="I113" s="195">
        <f>SUBTOTAL(9,I112:I112)</f>
        <v>130.82</v>
      </c>
      <c r="J113" s="195">
        <f>SUBTOTAL(9,J112:J112)</f>
        <v>230.82</v>
      </c>
    </row>
    <row r="114" spans="1:10" outlineLevel="2">
      <c r="A114" s="191" t="s">
        <v>925</v>
      </c>
      <c r="B114" s="191" t="s">
        <v>871</v>
      </c>
      <c r="C114" s="191" t="s">
        <v>924</v>
      </c>
      <c r="D114" s="191" t="s">
        <v>3262</v>
      </c>
      <c r="E114" s="191" t="s">
        <v>3454</v>
      </c>
      <c r="F114" s="191" t="s">
        <v>3454</v>
      </c>
      <c r="G114" s="191">
        <v>7</v>
      </c>
      <c r="H114" s="192">
        <v>0</v>
      </c>
      <c r="I114" s="192">
        <v>89.04</v>
      </c>
      <c r="J114" s="192">
        <f>SUM(H114,I114)</f>
        <v>89.04</v>
      </c>
    </row>
    <row r="115" spans="1:10" outlineLevel="2">
      <c r="A115" s="191" t="s">
        <v>925</v>
      </c>
      <c r="B115" s="191" t="s">
        <v>871</v>
      </c>
      <c r="C115" s="191" t="s">
        <v>924</v>
      </c>
      <c r="D115" s="191" t="s">
        <v>3263</v>
      </c>
      <c r="E115" s="191" t="s">
        <v>2585</v>
      </c>
      <c r="F115" s="191" t="s">
        <v>2585</v>
      </c>
      <c r="G115" s="191">
        <v>7</v>
      </c>
      <c r="H115" s="192">
        <v>0</v>
      </c>
      <c r="I115" s="192">
        <v>89.04</v>
      </c>
      <c r="J115" s="192">
        <f>SUM(H115,I115)</f>
        <v>89.04</v>
      </c>
    </row>
    <row r="116" spans="1:10" outlineLevel="2">
      <c r="A116" s="191" t="s">
        <v>925</v>
      </c>
      <c r="B116" s="191" t="s">
        <v>871</v>
      </c>
      <c r="C116" s="191" t="s">
        <v>924</v>
      </c>
      <c r="D116" s="191" t="s">
        <v>3263</v>
      </c>
      <c r="E116" s="191" t="s">
        <v>1504</v>
      </c>
      <c r="F116" s="191" t="s">
        <v>1504</v>
      </c>
      <c r="G116" s="191">
        <v>7</v>
      </c>
      <c r="H116" s="192">
        <v>0</v>
      </c>
      <c r="I116" s="192">
        <v>89.04</v>
      </c>
      <c r="J116" s="192">
        <f>SUM(H116,I116)</f>
        <v>89.04</v>
      </c>
    </row>
    <row r="117" spans="1:10" outlineLevel="2">
      <c r="A117" s="191" t="s">
        <v>925</v>
      </c>
      <c r="B117" s="191" t="s">
        <v>871</v>
      </c>
      <c r="C117" s="191" t="s">
        <v>924</v>
      </c>
      <c r="D117" s="191" t="s">
        <v>3263</v>
      </c>
      <c r="E117" s="191" t="s">
        <v>2664</v>
      </c>
      <c r="F117" s="191" t="s">
        <v>2664</v>
      </c>
      <c r="G117" s="191">
        <v>7</v>
      </c>
      <c r="H117" s="192">
        <v>0</v>
      </c>
      <c r="I117" s="192">
        <v>89.04</v>
      </c>
      <c r="J117" s="192">
        <f>SUM(H117,I117)</f>
        <v>89.04</v>
      </c>
    </row>
    <row r="118" spans="1:10" outlineLevel="2">
      <c r="A118" s="191" t="s">
        <v>925</v>
      </c>
      <c r="B118" s="191" t="s">
        <v>871</v>
      </c>
      <c r="C118" s="191" t="s">
        <v>924</v>
      </c>
      <c r="D118" s="191" t="s">
        <v>3263</v>
      </c>
      <c r="E118" s="191" t="s">
        <v>1488</v>
      </c>
      <c r="F118" s="191" t="s">
        <v>1488</v>
      </c>
      <c r="G118" s="191">
        <v>7</v>
      </c>
      <c r="H118" s="192">
        <v>0</v>
      </c>
      <c r="I118" s="192">
        <v>89.04</v>
      </c>
      <c r="J118" s="192">
        <f>SUM(H118,I118)</f>
        <v>89.04</v>
      </c>
    </row>
    <row r="119" spans="1:10" outlineLevel="2">
      <c r="A119" s="191" t="s">
        <v>926</v>
      </c>
      <c r="B119" s="191" t="s">
        <v>871</v>
      </c>
      <c r="C119" s="191" t="s">
        <v>924</v>
      </c>
      <c r="D119" s="191" t="s">
        <v>357</v>
      </c>
      <c r="E119" s="191" t="s">
        <v>2648</v>
      </c>
      <c r="F119" s="191" t="s">
        <v>2648</v>
      </c>
      <c r="G119" s="191">
        <v>7</v>
      </c>
      <c r="H119" s="192">
        <v>0</v>
      </c>
      <c r="I119" s="192">
        <v>118.89</v>
      </c>
      <c r="J119" s="192">
        <f>SUM(H119,I119)</f>
        <v>118.89</v>
      </c>
    </row>
    <row r="120" spans="1:10" outlineLevel="2">
      <c r="A120" s="191" t="s">
        <v>927</v>
      </c>
      <c r="B120" s="191" t="s">
        <v>871</v>
      </c>
      <c r="C120" s="191" t="s">
        <v>924</v>
      </c>
      <c r="D120" s="191" t="s">
        <v>3264</v>
      </c>
      <c r="E120" s="191" t="s">
        <v>2746</v>
      </c>
      <c r="F120" s="191" t="s">
        <v>2586</v>
      </c>
      <c r="G120" s="191">
        <v>35</v>
      </c>
      <c r="H120" s="192">
        <v>150</v>
      </c>
      <c r="I120" s="192">
        <v>230.6</v>
      </c>
      <c r="J120" s="192">
        <f>SUM(H120,I120)</f>
        <v>380.6</v>
      </c>
    </row>
    <row r="121" spans="1:10" outlineLevel="2">
      <c r="A121" s="191" t="s">
        <v>927</v>
      </c>
      <c r="B121" s="191" t="s">
        <v>871</v>
      </c>
      <c r="C121" s="191" t="s">
        <v>924</v>
      </c>
      <c r="D121" s="191" t="s">
        <v>3265</v>
      </c>
      <c r="E121" s="191" t="s">
        <v>1480</v>
      </c>
      <c r="F121" s="191" t="s">
        <v>1480</v>
      </c>
      <c r="G121" s="191">
        <v>7</v>
      </c>
      <c r="H121" s="192">
        <v>0</v>
      </c>
      <c r="I121" s="192">
        <v>56.07</v>
      </c>
      <c r="J121" s="192">
        <f>SUM(H121,I121)</f>
        <v>56.07</v>
      </c>
    </row>
    <row r="122" spans="1:10" outlineLevel="2">
      <c r="A122" s="191" t="s">
        <v>928</v>
      </c>
      <c r="B122" s="191" t="s">
        <v>871</v>
      </c>
      <c r="C122" s="191" t="s">
        <v>924</v>
      </c>
      <c r="D122" s="191" t="s">
        <v>3229</v>
      </c>
      <c r="E122" s="191" t="s">
        <v>2627</v>
      </c>
      <c r="F122" s="191" t="s">
        <v>2627</v>
      </c>
      <c r="G122" s="191">
        <v>7</v>
      </c>
      <c r="H122" s="192">
        <v>0</v>
      </c>
      <c r="I122" s="192">
        <v>47.09</v>
      </c>
      <c r="J122" s="192">
        <f>SUM(H122,I122)</f>
        <v>47.09</v>
      </c>
    </row>
    <row r="123" spans="1:10" outlineLevel="2">
      <c r="A123" s="191" t="s">
        <v>928</v>
      </c>
      <c r="B123" s="191" t="s">
        <v>871</v>
      </c>
      <c r="C123" s="191" t="s">
        <v>924</v>
      </c>
      <c r="D123" s="191" t="s">
        <v>2254</v>
      </c>
      <c r="E123" s="191" t="s">
        <v>2658</v>
      </c>
      <c r="F123" s="191" t="s">
        <v>2658</v>
      </c>
      <c r="G123" s="191">
        <v>7</v>
      </c>
      <c r="H123" s="192">
        <v>0</v>
      </c>
      <c r="I123" s="192">
        <v>47.09</v>
      </c>
      <c r="J123" s="192">
        <f>SUM(H123,I123)</f>
        <v>47.09</v>
      </c>
    </row>
    <row r="124" spans="1:10" outlineLevel="2">
      <c r="A124" s="191" t="s">
        <v>928</v>
      </c>
      <c r="B124" s="191" t="s">
        <v>871</v>
      </c>
      <c r="C124" s="191" t="s">
        <v>924</v>
      </c>
      <c r="D124" s="191" t="s">
        <v>3266</v>
      </c>
      <c r="E124" s="191" t="s">
        <v>1485</v>
      </c>
      <c r="F124" s="191" t="s">
        <v>1485</v>
      </c>
      <c r="G124" s="191">
        <v>7</v>
      </c>
      <c r="H124" s="192">
        <v>0</v>
      </c>
      <c r="I124" s="192">
        <v>47.09</v>
      </c>
      <c r="J124" s="192">
        <f>SUM(H124,I124)</f>
        <v>47.09</v>
      </c>
    </row>
    <row r="125" spans="1:10" outlineLevel="2">
      <c r="A125" s="191" t="s">
        <v>928</v>
      </c>
      <c r="B125" s="191" t="s">
        <v>871</v>
      </c>
      <c r="C125" s="191" t="s">
        <v>924</v>
      </c>
      <c r="D125" s="191" t="s">
        <v>2346</v>
      </c>
      <c r="E125" s="191" t="s">
        <v>1493</v>
      </c>
      <c r="F125" s="191" t="s">
        <v>2609</v>
      </c>
      <c r="G125" s="191">
        <v>14</v>
      </c>
      <c r="H125" s="192">
        <v>0</v>
      </c>
      <c r="I125" s="192">
        <v>102.42</v>
      </c>
      <c r="J125" s="192">
        <f>SUM(H125,I125)</f>
        <v>102.42</v>
      </c>
    </row>
    <row r="126" spans="1:10" outlineLevel="1">
      <c r="A126" s="193" t="s">
        <v>3519</v>
      </c>
      <c r="B126" s="194"/>
      <c r="C126" s="194"/>
      <c r="D126" s="194"/>
      <c r="E126" s="194"/>
      <c r="F126" s="194"/>
      <c r="G126" s="194">
        <f>SUBTOTAL(9,G114:G125)</f>
        <v>119</v>
      </c>
      <c r="H126" s="195">
        <f>SUBTOTAL(9,H114:H125)</f>
        <v>150</v>
      </c>
      <c r="I126" s="195">
        <f>SUBTOTAL(9,I114:I125)</f>
        <v>1094.4500000000003</v>
      </c>
      <c r="J126" s="195">
        <f>SUBTOTAL(9,J114:J125)</f>
        <v>1244.45</v>
      </c>
    </row>
    <row r="127" spans="1:10" outlineLevel="2">
      <c r="A127" s="191" t="s">
        <v>931</v>
      </c>
      <c r="B127" s="191" t="s">
        <v>873</v>
      </c>
      <c r="C127" s="191" t="s">
        <v>930</v>
      </c>
      <c r="D127" s="191" t="s">
        <v>3267</v>
      </c>
      <c r="E127" s="191" t="s">
        <v>2658</v>
      </c>
      <c r="F127" s="191" t="s">
        <v>2658</v>
      </c>
      <c r="G127" s="191">
        <v>7</v>
      </c>
      <c r="H127" s="192">
        <v>0</v>
      </c>
      <c r="I127" s="192">
        <v>91.27</v>
      </c>
      <c r="J127" s="192">
        <f>SUM(H127,I127)</f>
        <v>91.27</v>
      </c>
    </row>
    <row r="128" spans="1:10" outlineLevel="2">
      <c r="A128" s="191" t="s">
        <v>931</v>
      </c>
      <c r="B128" s="191" t="s">
        <v>873</v>
      </c>
      <c r="C128" s="191" t="s">
        <v>930</v>
      </c>
      <c r="D128" s="191" t="s">
        <v>3268</v>
      </c>
      <c r="E128" s="191" t="s">
        <v>2653</v>
      </c>
      <c r="F128" s="191" t="s">
        <v>2646</v>
      </c>
      <c r="G128" s="191">
        <v>21</v>
      </c>
      <c r="H128" s="192">
        <v>100</v>
      </c>
      <c r="I128" s="192">
        <v>271.41000000000003</v>
      </c>
      <c r="J128" s="192">
        <f>SUM(H128,I128)</f>
        <v>371.41</v>
      </c>
    </row>
    <row r="129" spans="1:10" outlineLevel="2">
      <c r="A129" s="191" t="s">
        <v>931</v>
      </c>
      <c r="B129" s="191" t="s">
        <v>873</v>
      </c>
      <c r="C129" s="191" t="s">
        <v>930</v>
      </c>
      <c r="D129" s="191" t="s">
        <v>3269</v>
      </c>
      <c r="E129" s="191" t="s">
        <v>2643</v>
      </c>
      <c r="F129" s="191" t="s">
        <v>2643</v>
      </c>
      <c r="G129" s="191">
        <v>7</v>
      </c>
      <c r="H129" s="192">
        <v>0</v>
      </c>
      <c r="I129" s="192">
        <v>126.78</v>
      </c>
      <c r="J129" s="192">
        <f>SUM(H129,I129)</f>
        <v>126.78</v>
      </c>
    </row>
    <row r="130" spans="1:10" outlineLevel="2">
      <c r="A130" s="191" t="s">
        <v>3080</v>
      </c>
      <c r="B130" s="191" t="s">
        <v>873</v>
      </c>
      <c r="C130" s="191" t="s">
        <v>930</v>
      </c>
      <c r="D130" s="191" t="s">
        <v>3270</v>
      </c>
      <c r="E130" s="191" t="s">
        <v>2627</v>
      </c>
      <c r="F130" s="191" t="s">
        <v>2627</v>
      </c>
      <c r="G130" s="191">
        <v>7</v>
      </c>
      <c r="H130" s="192">
        <v>0</v>
      </c>
      <c r="I130" s="192">
        <v>102.37</v>
      </c>
      <c r="J130" s="192">
        <f>SUM(H130,I130)</f>
        <v>102.37</v>
      </c>
    </row>
    <row r="131" spans="1:10" outlineLevel="2">
      <c r="A131" s="191" t="s">
        <v>3080</v>
      </c>
      <c r="B131" s="191" t="s">
        <v>873</v>
      </c>
      <c r="C131" s="191" t="s">
        <v>930</v>
      </c>
      <c r="D131" s="191" t="s">
        <v>3271</v>
      </c>
      <c r="E131" s="191" t="s">
        <v>2757</v>
      </c>
      <c r="F131" s="191" t="s">
        <v>1491</v>
      </c>
      <c r="G131" s="191">
        <v>14</v>
      </c>
      <c r="H131" s="192">
        <v>0</v>
      </c>
      <c r="I131" s="192">
        <v>204.74</v>
      </c>
      <c r="J131" s="192">
        <f>SUM(H131,I131)</f>
        <v>204.74</v>
      </c>
    </row>
    <row r="132" spans="1:10" outlineLevel="2">
      <c r="A132" s="191" t="s">
        <v>933</v>
      </c>
      <c r="B132" s="191" t="s">
        <v>873</v>
      </c>
      <c r="C132" s="191" t="s">
        <v>930</v>
      </c>
      <c r="D132" s="191" t="s">
        <v>3272</v>
      </c>
      <c r="E132" s="191" t="s">
        <v>3455</v>
      </c>
      <c r="F132" s="191" t="s">
        <v>1498</v>
      </c>
      <c r="G132" s="191">
        <v>14</v>
      </c>
      <c r="H132" s="192">
        <v>0</v>
      </c>
      <c r="I132" s="192">
        <v>226.08</v>
      </c>
      <c r="J132" s="192">
        <f>SUM(H132,I132)</f>
        <v>226.08</v>
      </c>
    </row>
    <row r="133" spans="1:10" outlineLevel="2">
      <c r="A133" s="191" t="s">
        <v>3081</v>
      </c>
      <c r="B133" s="191" t="s">
        <v>877</v>
      </c>
      <c r="C133" s="191" t="s">
        <v>930</v>
      </c>
      <c r="D133" s="191" t="s">
        <v>3273</v>
      </c>
      <c r="E133" s="191" t="s">
        <v>2732</v>
      </c>
      <c r="F133" s="191" t="s">
        <v>2664</v>
      </c>
      <c r="G133" s="191">
        <v>14</v>
      </c>
      <c r="H133" s="192">
        <v>0</v>
      </c>
      <c r="I133" s="192">
        <v>173.52</v>
      </c>
      <c r="J133" s="192">
        <f>SUM(H133,I133)</f>
        <v>173.52</v>
      </c>
    </row>
    <row r="134" spans="1:10" outlineLevel="2">
      <c r="A134" s="191" t="s">
        <v>3081</v>
      </c>
      <c r="B134" s="191" t="s">
        <v>877</v>
      </c>
      <c r="C134" s="191" t="s">
        <v>930</v>
      </c>
      <c r="D134" s="191" t="s">
        <v>3274</v>
      </c>
      <c r="E134" s="191" t="s">
        <v>1493</v>
      </c>
      <c r="F134" s="191" t="s">
        <v>2609</v>
      </c>
      <c r="G134" s="191">
        <v>14</v>
      </c>
      <c r="H134" s="192">
        <v>0</v>
      </c>
      <c r="I134" s="192">
        <v>174.38</v>
      </c>
      <c r="J134" s="192">
        <f>SUM(H134,I134)</f>
        <v>174.38</v>
      </c>
    </row>
    <row r="135" spans="1:10" outlineLevel="2">
      <c r="A135" s="191" t="s">
        <v>934</v>
      </c>
      <c r="B135" s="191" t="s">
        <v>873</v>
      </c>
      <c r="C135" s="191" t="s">
        <v>930</v>
      </c>
      <c r="D135" s="191" t="s">
        <v>3275</v>
      </c>
      <c r="E135" s="191" t="s">
        <v>2614</v>
      </c>
      <c r="F135" s="191" t="s">
        <v>2614</v>
      </c>
      <c r="G135" s="191">
        <v>7</v>
      </c>
      <c r="H135" s="192">
        <v>50</v>
      </c>
      <c r="I135" s="192">
        <v>95.31</v>
      </c>
      <c r="J135" s="192">
        <f>SUM(H135,I135)</f>
        <v>145.31</v>
      </c>
    </row>
    <row r="136" spans="1:10" outlineLevel="2">
      <c r="A136" s="191" t="s">
        <v>934</v>
      </c>
      <c r="B136" s="191" t="s">
        <v>873</v>
      </c>
      <c r="C136" s="191" t="s">
        <v>930</v>
      </c>
      <c r="D136" s="191" t="s">
        <v>3276</v>
      </c>
      <c r="E136" s="191" t="s">
        <v>2589</v>
      </c>
      <c r="F136" s="191" t="s">
        <v>2589</v>
      </c>
      <c r="G136" s="191">
        <v>4</v>
      </c>
      <c r="H136" s="192">
        <v>0</v>
      </c>
      <c r="I136" s="192">
        <v>54.46</v>
      </c>
      <c r="J136" s="192">
        <f>SUM(H136,I136)</f>
        <v>54.46</v>
      </c>
    </row>
    <row r="137" spans="1:10" outlineLevel="2">
      <c r="A137" s="191" t="s">
        <v>935</v>
      </c>
      <c r="B137" s="191" t="s">
        <v>874</v>
      </c>
      <c r="C137" s="191" t="s">
        <v>930</v>
      </c>
      <c r="D137" s="191" t="s">
        <v>2064</v>
      </c>
      <c r="E137" s="191" t="s">
        <v>2649</v>
      </c>
      <c r="F137" s="191" t="s">
        <v>2586</v>
      </c>
      <c r="G137" s="191">
        <v>21</v>
      </c>
      <c r="H137" s="192">
        <v>100</v>
      </c>
      <c r="I137" s="192">
        <v>359.46</v>
      </c>
      <c r="J137" s="192">
        <f>SUM(H137,I137)</f>
        <v>459.46</v>
      </c>
    </row>
    <row r="138" spans="1:10" outlineLevel="2">
      <c r="A138" s="191" t="s">
        <v>935</v>
      </c>
      <c r="B138" s="191" t="s">
        <v>874</v>
      </c>
      <c r="C138" s="191" t="s">
        <v>930</v>
      </c>
      <c r="D138" s="191" t="s">
        <v>3277</v>
      </c>
      <c r="E138" s="191" t="s">
        <v>1499</v>
      </c>
      <c r="F138" s="191" t="s">
        <v>1500</v>
      </c>
      <c r="G138" s="191">
        <v>14</v>
      </c>
      <c r="H138" s="192">
        <v>0</v>
      </c>
      <c r="I138" s="192">
        <v>247.82</v>
      </c>
      <c r="J138" s="192">
        <f>SUM(H138,I138)</f>
        <v>247.82</v>
      </c>
    </row>
    <row r="139" spans="1:10" outlineLevel="2">
      <c r="A139" s="191" t="s">
        <v>936</v>
      </c>
      <c r="B139" s="191" t="s">
        <v>932</v>
      </c>
      <c r="C139" s="191" t="s">
        <v>930</v>
      </c>
      <c r="D139" s="191" t="s">
        <v>3278</v>
      </c>
      <c r="E139" s="191" t="s">
        <v>2715</v>
      </c>
      <c r="F139" s="191" t="s">
        <v>3456</v>
      </c>
      <c r="G139" s="191">
        <v>0</v>
      </c>
      <c r="H139" s="192">
        <v>100</v>
      </c>
      <c r="I139" s="192">
        <v>0</v>
      </c>
      <c r="J139" s="192">
        <f>SUM(H139,I139)</f>
        <v>100</v>
      </c>
    </row>
    <row r="140" spans="1:10" outlineLevel="2">
      <c r="A140" s="191" t="s">
        <v>936</v>
      </c>
      <c r="B140" s="191" t="s">
        <v>932</v>
      </c>
      <c r="C140" s="191" t="s">
        <v>930</v>
      </c>
      <c r="D140" s="191" t="s">
        <v>3279</v>
      </c>
      <c r="E140" s="191" t="s">
        <v>2658</v>
      </c>
      <c r="F140" s="191" t="s">
        <v>2658</v>
      </c>
      <c r="G140" s="191">
        <v>7</v>
      </c>
      <c r="H140" s="192">
        <v>0</v>
      </c>
      <c r="I140" s="192">
        <v>98.9</v>
      </c>
      <c r="J140" s="192">
        <f>SUM(H140,I140)</f>
        <v>98.9</v>
      </c>
    </row>
    <row r="141" spans="1:10" outlineLevel="2">
      <c r="A141" s="191" t="s">
        <v>936</v>
      </c>
      <c r="B141" s="191" t="s">
        <v>932</v>
      </c>
      <c r="C141" s="191" t="s">
        <v>930</v>
      </c>
      <c r="D141" s="191" t="s">
        <v>3280</v>
      </c>
      <c r="E141" s="191" t="s">
        <v>2637</v>
      </c>
      <c r="F141" s="191" t="s">
        <v>2637</v>
      </c>
      <c r="G141" s="191">
        <v>7</v>
      </c>
      <c r="H141" s="192">
        <v>0</v>
      </c>
      <c r="I141" s="192">
        <v>99.22</v>
      </c>
      <c r="J141" s="192">
        <f>SUM(H141,I141)</f>
        <v>99.22</v>
      </c>
    </row>
    <row r="142" spans="1:10" outlineLevel="2">
      <c r="A142" s="191" t="s">
        <v>936</v>
      </c>
      <c r="B142" s="191" t="s">
        <v>932</v>
      </c>
      <c r="C142" s="191" t="s">
        <v>930</v>
      </c>
      <c r="D142" s="191" t="s">
        <v>3281</v>
      </c>
      <c r="E142" s="191" t="s">
        <v>3457</v>
      </c>
      <c r="F142" s="191" t="s">
        <v>3458</v>
      </c>
      <c r="G142" s="191">
        <v>0</v>
      </c>
      <c r="H142" s="192">
        <v>100</v>
      </c>
      <c r="I142" s="192">
        <v>0</v>
      </c>
      <c r="J142" s="192">
        <f>SUM(H142,I142)</f>
        <v>100</v>
      </c>
    </row>
    <row r="143" spans="1:10" outlineLevel="2">
      <c r="A143" s="191" t="s">
        <v>3082</v>
      </c>
      <c r="B143" s="191" t="s">
        <v>873</v>
      </c>
      <c r="C143" s="191" t="s">
        <v>930</v>
      </c>
      <c r="D143" s="191" t="s">
        <v>3268</v>
      </c>
      <c r="E143" s="191" t="s">
        <v>2653</v>
      </c>
      <c r="F143" s="191" t="s">
        <v>2646</v>
      </c>
      <c r="G143" s="191">
        <v>21</v>
      </c>
      <c r="H143" s="192">
        <v>100</v>
      </c>
      <c r="I143" s="192">
        <v>365.58</v>
      </c>
      <c r="J143" s="192">
        <f>SUM(H143,I143)</f>
        <v>465.58</v>
      </c>
    </row>
    <row r="144" spans="1:10" outlineLevel="2">
      <c r="A144" s="191" t="s">
        <v>3083</v>
      </c>
      <c r="B144" s="191" t="s">
        <v>873</v>
      </c>
      <c r="C144" s="191" t="s">
        <v>930</v>
      </c>
      <c r="D144" s="191" t="s">
        <v>3282</v>
      </c>
      <c r="E144" s="191" t="s">
        <v>2592</v>
      </c>
      <c r="F144" s="191" t="s">
        <v>2592</v>
      </c>
      <c r="G144" s="191">
        <v>7</v>
      </c>
      <c r="H144" s="192">
        <v>0</v>
      </c>
      <c r="I144" s="192">
        <v>88.66</v>
      </c>
      <c r="J144" s="192">
        <f>SUM(H144,I144)</f>
        <v>88.66</v>
      </c>
    </row>
    <row r="145" spans="1:10" outlineLevel="2">
      <c r="A145" s="191" t="s">
        <v>879</v>
      </c>
      <c r="B145" s="191" t="s">
        <v>873</v>
      </c>
      <c r="C145" s="191" t="s">
        <v>930</v>
      </c>
      <c r="D145" s="191" t="s">
        <v>3283</v>
      </c>
      <c r="E145" s="191" t="s">
        <v>2718</v>
      </c>
      <c r="F145" s="191" t="s">
        <v>2718</v>
      </c>
      <c r="G145" s="191">
        <v>7</v>
      </c>
      <c r="H145" s="192">
        <v>0</v>
      </c>
      <c r="I145" s="192">
        <v>90.51</v>
      </c>
      <c r="J145" s="192">
        <f>SUM(H145,I145)</f>
        <v>90.51</v>
      </c>
    </row>
    <row r="146" spans="1:10" outlineLevel="2">
      <c r="A146" s="191" t="s">
        <v>937</v>
      </c>
      <c r="B146" s="191" t="s">
        <v>873</v>
      </c>
      <c r="C146" s="191" t="s">
        <v>930</v>
      </c>
      <c r="D146" s="191" t="s">
        <v>3282</v>
      </c>
      <c r="E146" s="191" t="s">
        <v>2592</v>
      </c>
      <c r="F146" s="191" t="s">
        <v>2592</v>
      </c>
      <c r="G146" s="191">
        <v>7</v>
      </c>
      <c r="H146" s="192">
        <v>0</v>
      </c>
      <c r="I146" s="192">
        <v>103.95</v>
      </c>
      <c r="J146" s="192">
        <f>SUM(H146,I146)</f>
        <v>103.95</v>
      </c>
    </row>
    <row r="147" spans="1:10" outlineLevel="2">
      <c r="A147" s="191" t="s">
        <v>1000</v>
      </c>
      <c r="B147" s="191" t="s">
        <v>873</v>
      </c>
      <c r="C147" s="191" t="s">
        <v>930</v>
      </c>
      <c r="D147" s="191" t="s">
        <v>3284</v>
      </c>
      <c r="E147" s="191" t="s">
        <v>2672</v>
      </c>
      <c r="F147" s="191" t="s">
        <v>2672</v>
      </c>
      <c r="G147" s="191">
        <v>7</v>
      </c>
      <c r="H147" s="192">
        <v>0</v>
      </c>
      <c r="I147" s="192">
        <v>89.88</v>
      </c>
      <c r="J147" s="192">
        <f>SUM(H147,I147)</f>
        <v>89.88</v>
      </c>
    </row>
    <row r="148" spans="1:10" outlineLevel="2">
      <c r="A148" s="191" t="s">
        <v>1000</v>
      </c>
      <c r="B148" s="191" t="s">
        <v>873</v>
      </c>
      <c r="C148" s="191" t="s">
        <v>930</v>
      </c>
      <c r="D148" s="191" t="s">
        <v>3284</v>
      </c>
      <c r="E148" s="191" t="s">
        <v>3459</v>
      </c>
      <c r="F148" s="191" t="s">
        <v>3459</v>
      </c>
      <c r="G148" s="191">
        <v>7</v>
      </c>
      <c r="H148" s="192">
        <v>0</v>
      </c>
      <c r="I148" s="192">
        <v>89.88</v>
      </c>
      <c r="J148" s="192">
        <f>SUM(H148,I148)</f>
        <v>89.88</v>
      </c>
    </row>
    <row r="149" spans="1:10" outlineLevel="2">
      <c r="A149" s="191" t="s">
        <v>1000</v>
      </c>
      <c r="B149" s="191" t="s">
        <v>873</v>
      </c>
      <c r="C149" s="191" t="s">
        <v>930</v>
      </c>
      <c r="D149" s="191" t="s">
        <v>3284</v>
      </c>
      <c r="E149" s="191" t="s">
        <v>3460</v>
      </c>
      <c r="F149" s="191" t="s">
        <v>3460</v>
      </c>
      <c r="G149" s="191">
        <v>7</v>
      </c>
      <c r="H149" s="192">
        <v>0</v>
      </c>
      <c r="I149" s="192">
        <v>89.88</v>
      </c>
      <c r="J149" s="192">
        <f>SUM(H149,I149)</f>
        <v>89.88</v>
      </c>
    </row>
    <row r="150" spans="1:10" outlineLevel="2">
      <c r="A150" s="191" t="s">
        <v>1000</v>
      </c>
      <c r="B150" s="191" t="s">
        <v>873</v>
      </c>
      <c r="C150" s="191" t="s">
        <v>930</v>
      </c>
      <c r="D150" s="191" t="s">
        <v>3285</v>
      </c>
      <c r="E150" s="191" t="s">
        <v>3461</v>
      </c>
      <c r="F150" s="191" t="s">
        <v>3461</v>
      </c>
      <c r="G150" s="191">
        <v>0</v>
      </c>
      <c r="H150" s="192">
        <v>90</v>
      </c>
      <c r="I150" s="192">
        <v>0</v>
      </c>
      <c r="J150" s="192">
        <f>SUM(H150,I150)</f>
        <v>90</v>
      </c>
    </row>
    <row r="151" spans="1:10" outlineLevel="2">
      <c r="A151" s="191" t="s">
        <v>3084</v>
      </c>
      <c r="B151" s="191" t="s">
        <v>877</v>
      </c>
      <c r="C151" s="191" t="s">
        <v>930</v>
      </c>
      <c r="D151" s="191" t="s">
        <v>3286</v>
      </c>
      <c r="E151" s="191" t="s">
        <v>3462</v>
      </c>
      <c r="F151" s="191" t="s">
        <v>3463</v>
      </c>
      <c r="G151" s="191">
        <v>0</v>
      </c>
      <c r="H151" s="192">
        <v>100</v>
      </c>
      <c r="I151" s="192">
        <v>0</v>
      </c>
      <c r="J151" s="192">
        <f>SUM(H151,I151)</f>
        <v>100</v>
      </c>
    </row>
    <row r="152" spans="1:10" outlineLevel="2">
      <c r="A152" s="191" t="s">
        <v>3085</v>
      </c>
      <c r="B152" s="191" t="s">
        <v>873</v>
      </c>
      <c r="C152" s="191" t="s">
        <v>930</v>
      </c>
      <c r="D152" s="191" t="s">
        <v>3287</v>
      </c>
      <c r="E152" s="191" t="s">
        <v>2662</v>
      </c>
      <c r="F152" s="191" t="s">
        <v>2663</v>
      </c>
      <c r="G152" s="191">
        <v>14</v>
      </c>
      <c r="H152" s="192">
        <v>0</v>
      </c>
      <c r="I152" s="192">
        <v>114.46</v>
      </c>
      <c r="J152" s="192">
        <f>SUM(H152,I152)</f>
        <v>114.46</v>
      </c>
    </row>
    <row r="153" spans="1:10" outlineLevel="2">
      <c r="A153" s="191" t="s">
        <v>938</v>
      </c>
      <c r="B153" s="191" t="s">
        <v>932</v>
      </c>
      <c r="C153" s="191" t="s">
        <v>930</v>
      </c>
      <c r="D153" s="191" t="s">
        <v>3288</v>
      </c>
      <c r="E153" s="191" t="s">
        <v>2710</v>
      </c>
      <c r="F153" s="191" t="s">
        <v>2660</v>
      </c>
      <c r="G153" s="191">
        <v>14</v>
      </c>
      <c r="H153" s="192">
        <v>0</v>
      </c>
      <c r="I153" s="192">
        <v>168.22</v>
      </c>
      <c r="J153" s="192">
        <f>SUM(H153,I153)</f>
        <v>168.22</v>
      </c>
    </row>
    <row r="154" spans="1:10" outlineLevel="2">
      <c r="A154" s="191" t="s">
        <v>939</v>
      </c>
      <c r="B154" s="191" t="s">
        <v>873</v>
      </c>
      <c r="C154" s="191" t="s">
        <v>930</v>
      </c>
      <c r="D154" s="191" t="s">
        <v>2121</v>
      </c>
      <c r="E154" s="191" t="s">
        <v>2717</v>
      </c>
      <c r="F154" s="191" t="s">
        <v>1490</v>
      </c>
      <c r="G154" s="191">
        <v>21</v>
      </c>
      <c r="H154" s="192">
        <v>100</v>
      </c>
      <c r="I154" s="192">
        <v>332.4</v>
      </c>
      <c r="J154" s="192">
        <f>SUM(H154,I154)</f>
        <v>432.4</v>
      </c>
    </row>
    <row r="155" spans="1:10" outlineLevel="2">
      <c r="A155" s="191" t="s">
        <v>3086</v>
      </c>
      <c r="B155" s="191" t="s">
        <v>873</v>
      </c>
      <c r="C155" s="191" t="s">
        <v>930</v>
      </c>
      <c r="D155" s="191" t="s">
        <v>3284</v>
      </c>
      <c r="E155" s="191" t="s">
        <v>2672</v>
      </c>
      <c r="F155" s="191" t="s">
        <v>2672</v>
      </c>
      <c r="G155" s="191">
        <v>7</v>
      </c>
      <c r="H155" s="192">
        <v>0</v>
      </c>
      <c r="I155" s="192">
        <v>88.66</v>
      </c>
      <c r="J155" s="192">
        <f>SUM(H155,I155)</f>
        <v>88.66</v>
      </c>
    </row>
    <row r="156" spans="1:10" outlineLevel="2">
      <c r="A156" s="191" t="s">
        <v>3086</v>
      </c>
      <c r="B156" s="191" t="s">
        <v>873</v>
      </c>
      <c r="C156" s="191" t="s">
        <v>930</v>
      </c>
      <c r="D156" s="191" t="s">
        <v>3284</v>
      </c>
      <c r="E156" s="191" t="s">
        <v>3460</v>
      </c>
      <c r="F156" s="191" t="s">
        <v>3460</v>
      </c>
      <c r="G156" s="191">
        <v>7</v>
      </c>
      <c r="H156" s="192">
        <v>0</v>
      </c>
      <c r="I156" s="192">
        <v>88.66</v>
      </c>
      <c r="J156" s="192">
        <f>SUM(H156,I156)</f>
        <v>88.66</v>
      </c>
    </row>
    <row r="157" spans="1:10" outlineLevel="2">
      <c r="A157" s="191" t="s">
        <v>3086</v>
      </c>
      <c r="B157" s="191" t="s">
        <v>873</v>
      </c>
      <c r="C157" s="191" t="s">
        <v>930</v>
      </c>
      <c r="D157" s="191" t="s">
        <v>3284</v>
      </c>
      <c r="E157" s="191" t="s">
        <v>1498</v>
      </c>
      <c r="F157" s="191" t="s">
        <v>1498</v>
      </c>
      <c r="G157" s="191">
        <v>7</v>
      </c>
      <c r="H157" s="192">
        <v>0</v>
      </c>
      <c r="I157" s="192">
        <v>88.66</v>
      </c>
      <c r="J157" s="192">
        <f>SUM(H157,I157)</f>
        <v>88.66</v>
      </c>
    </row>
    <row r="158" spans="1:10" outlineLevel="2">
      <c r="A158" s="191" t="s">
        <v>3086</v>
      </c>
      <c r="B158" s="191" t="s">
        <v>873</v>
      </c>
      <c r="C158" s="191" t="s">
        <v>930</v>
      </c>
      <c r="D158" s="191" t="s">
        <v>3285</v>
      </c>
      <c r="E158" s="191" t="s">
        <v>3461</v>
      </c>
      <c r="F158" s="191" t="s">
        <v>3461</v>
      </c>
      <c r="G158" s="191">
        <v>0</v>
      </c>
      <c r="H158" s="192">
        <v>90</v>
      </c>
      <c r="I158" s="192">
        <v>0</v>
      </c>
      <c r="J158" s="192">
        <f>SUM(H158,I158)</f>
        <v>90</v>
      </c>
    </row>
    <row r="159" spans="1:10" outlineLevel="2">
      <c r="A159" s="191" t="s">
        <v>940</v>
      </c>
      <c r="B159" s="191" t="s">
        <v>932</v>
      </c>
      <c r="C159" s="191" t="s">
        <v>930</v>
      </c>
      <c r="D159" s="191" t="s">
        <v>2256</v>
      </c>
      <c r="E159" s="191" t="s">
        <v>2679</v>
      </c>
      <c r="F159" s="191" t="s">
        <v>2679</v>
      </c>
      <c r="G159" s="191">
        <v>7</v>
      </c>
      <c r="H159" s="192">
        <v>0</v>
      </c>
      <c r="I159" s="192">
        <v>85.89</v>
      </c>
      <c r="J159" s="192">
        <f>SUM(H159,I159)</f>
        <v>85.89</v>
      </c>
    </row>
    <row r="160" spans="1:10" outlineLevel="2">
      <c r="A160" s="191" t="s">
        <v>940</v>
      </c>
      <c r="B160" s="191" t="s">
        <v>932</v>
      </c>
      <c r="C160" s="191" t="s">
        <v>930</v>
      </c>
      <c r="D160" s="191" t="s">
        <v>3284</v>
      </c>
      <c r="E160" s="191" t="s">
        <v>2672</v>
      </c>
      <c r="F160" s="191" t="s">
        <v>2672</v>
      </c>
      <c r="G160" s="191">
        <v>7</v>
      </c>
      <c r="H160" s="192">
        <v>0</v>
      </c>
      <c r="I160" s="192">
        <v>89.51</v>
      </c>
      <c r="J160" s="192">
        <f>SUM(H160,I160)</f>
        <v>89.51</v>
      </c>
    </row>
    <row r="161" spans="1:10" outlineLevel="2">
      <c r="A161" s="191" t="s">
        <v>940</v>
      </c>
      <c r="B161" s="191" t="s">
        <v>932</v>
      </c>
      <c r="C161" s="191" t="s">
        <v>930</v>
      </c>
      <c r="D161" s="191" t="s">
        <v>3284</v>
      </c>
      <c r="E161" s="191" t="s">
        <v>3459</v>
      </c>
      <c r="F161" s="191" t="s">
        <v>3459</v>
      </c>
      <c r="G161" s="191">
        <v>7</v>
      </c>
      <c r="H161" s="192">
        <v>0</v>
      </c>
      <c r="I161" s="192">
        <v>89.51</v>
      </c>
      <c r="J161" s="192">
        <f>SUM(H161,I161)</f>
        <v>89.51</v>
      </c>
    </row>
    <row r="162" spans="1:10" outlineLevel="2">
      <c r="A162" s="191" t="s">
        <v>940</v>
      </c>
      <c r="B162" s="191" t="s">
        <v>932</v>
      </c>
      <c r="C162" s="191" t="s">
        <v>930</v>
      </c>
      <c r="D162" s="191" t="s">
        <v>3284</v>
      </c>
      <c r="E162" s="191" t="s">
        <v>3460</v>
      </c>
      <c r="F162" s="191" t="s">
        <v>3460</v>
      </c>
      <c r="G162" s="191">
        <v>7</v>
      </c>
      <c r="H162" s="192">
        <v>0</v>
      </c>
      <c r="I162" s="192">
        <v>89.51</v>
      </c>
      <c r="J162" s="192">
        <f>SUM(H162,I162)</f>
        <v>89.51</v>
      </c>
    </row>
    <row r="163" spans="1:10" outlineLevel="2">
      <c r="A163" s="191" t="s">
        <v>940</v>
      </c>
      <c r="B163" s="191" t="s">
        <v>932</v>
      </c>
      <c r="C163" s="191" t="s">
        <v>930</v>
      </c>
      <c r="D163" s="191" t="s">
        <v>3284</v>
      </c>
      <c r="E163" s="191" t="s">
        <v>1498</v>
      </c>
      <c r="F163" s="191" t="s">
        <v>1498</v>
      </c>
      <c r="G163" s="191">
        <v>7</v>
      </c>
      <c r="H163" s="192">
        <v>0</v>
      </c>
      <c r="I163" s="192">
        <v>89.51</v>
      </c>
      <c r="J163" s="192">
        <f>SUM(H163,I163)</f>
        <v>89.51</v>
      </c>
    </row>
    <row r="164" spans="1:10" outlineLevel="2">
      <c r="A164" s="191" t="s">
        <v>940</v>
      </c>
      <c r="B164" s="191" t="s">
        <v>932</v>
      </c>
      <c r="C164" s="191" t="s">
        <v>930</v>
      </c>
      <c r="D164" s="191" t="s">
        <v>3285</v>
      </c>
      <c r="E164" s="191" t="s">
        <v>3461</v>
      </c>
      <c r="F164" s="191" t="s">
        <v>3461</v>
      </c>
      <c r="G164" s="191">
        <v>0</v>
      </c>
      <c r="H164" s="192">
        <v>90</v>
      </c>
      <c r="I164" s="192">
        <v>0</v>
      </c>
      <c r="J164" s="192">
        <f>SUM(H164,I164)</f>
        <v>90</v>
      </c>
    </row>
    <row r="165" spans="1:10" outlineLevel="2">
      <c r="A165" s="191" t="s">
        <v>3087</v>
      </c>
      <c r="B165" s="191" t="s">
        <v>932</v>
      </c>
      <c r="C165" s="191" t="s">
        <v>930</v>
      </c>
      <c r="D165" s="191" t="s">
        <v>3289</v>
      </c>
      <c r="E165" s="191" t="s">
        <v>2639</v>
      </c>
      <c r="F165" s="191" t="s">
        <v>2608</v>
      </c>
      <c r="G165" s="191">
        <v>14</v>
      </c>
      <c r="H165" s="192">
        <v>30.72</v>
      </c>
      <c r="I165" s="192">
        <v>173.48</v>
      </c>
      <c r="J165" s="192">
        <f>SUM(H165,I165)</f>
        <v>204.2</v>
      </c>
    </row>
    <row r="166" spans="1:10" outlineLevel="2">
      <c r="A166" s="191" t="s">
        <v>941</v>
      </c>
      <c r="B166" s="191" t="s">
        <v>932</v>
      </c>
      <c r="C166" s="191" t="s">
        <v>930</v>
      </c>
      <c r="D166" s="191" t="s">
        <v>3288</v>
      </c>
      <c r="E166" s="191" t="s">
        <v>2734</v>
      </c>
      <c r="F166" s="191" t="s">
        <v>2660</v>
      </c>
      <c r="G166" s="191">
        <v>21</v>
      </c>
      <c r="H166" s="192">
        <v>0</v>
      </c>
      <c r="I166" s="192">
        <v>252.33</v>
      </c>
      <c r="J166" s="192">
        <f>SUM(H166,I166)</f>
        <v>252.33</v>
      </c>
    </row>
    <row r="167" spans="1:10" outlineLevel="1">
      <c r="A167" s="193" t="s">
        <v>3520</v>
      </c>
      <c r="B167" s="194"/>
      <c r="C167" s="194"/>
      <c r="D167" s="194"/>
      <c r="E167" s="194"/>
      <c r="F167" s="194"/>
      <c r="G167" s="194">
        <f>SUBTOTAL(9,G127:G166)</f>
        <v>361</v>
      </c>
      <c r="H167" s="195">
        <f>SUBTOTAL(9,H127:H166)</f>
        <v>1050.72</v>
      </c>
      <c r="I167" s="195">
        <f>SUBTOTAL(9,I127:I166)</f>
        <v>4994.8600000000006</v>
      </c>
      <c r="J167" s="195">
        <f>SUBTOTAL(9,J127:J166)</f>
        <v>6045.5800000000008</v>
      </c>
    </row>
    <row r="168" spans="1:10" outlineLevel="2">
      <c r="A168" s="191" t="s">
        <v>942</v>
      </c>
      <c r="B168" s="191" t="s">
        <v>871</v>
      </c>
      <c r="C168" s="191" t="s">
        <v>943</v>
      </c>
      <c r="D168" s="191" t="s">
        <v>3290</v>
      </c>
      <c r="E168" s="191" t="s">
        <v>2665</v>
      </c>
      <c r="F168" s="191" t="s">
        <v>1490</v>
      </c>
      <c r="G168" s="191">
        <v>28</v>
      </c>
      <c r="H168" s="192">
        <v>0</v>
      </c>
      <c r="I168" s="192">
        <v>429.24</v>
      </c>
      <c r="J168" s="192">
        <f>SUM(H168,I168)</f>
        <v>429.24</v>
      </c>
    </row>
    <row r="169" spans="1:10" outlineLevel="2">
      <c r="A169" s="191" t="s">
        <v>944</v>
      </c>
      <c r="B169" s="191" t="s">
        <v>874</v>
      </c>
      <c r="C169" s="191" t="s">
        <v>943</v>
      </c>
      <c r="D169" s="191" t="s">
        <v>3291</v>
      </c>
      <c r="E169" s="191" t="s">
        <v>2675</v>
      </c>
      <c r="F169" s="191" t="s">
        <v>2675</v>
      </c>
      <c r="G169" s="191">
        <v>7</v>
      </c>
      <c r="H169" s="192">
        <v>0</v>
      </c>
      <c r="I169" s="192">
        <v>134.33000000000001</v>
      </c>
      <c r="J169" s="192">
        <f>SUM(H169,I169)</f>
        <v>134.33000000000001</v>
      </c>
    </row>
    <row r="170" spans="1:10" outlineLevel="2">
      <c r="A170" s="191" t="s">
        <v>944</v>
      </c>
      <c r="B170" s="191" t="s">
        <v>874</v>
      </c>
      <c r="C170" s="191" t="s">
        <v>943</v>
      </c>
      <c r="D170" s="191" t="s">
        <v>3236</v>
      </c>
      <c r="E170" s="191" t="s">
        <v>2638</v>
      </c>
      <c r="F170" s="191" t="s">
        <v>2617</v>
      </c>
      <c r="G170" s="191">
        <v>28</v>
      </c>
      <c r="H170" s="192">
        <v>0</v>
      </c>
      <c r="I170" s="192">
        <v>539.96</v>
      </c>
      <c r="J170" s="192">
        <f>SUM(H170,I170)</f>
        <v>539.96</v>
      </c>
    </row>
    <row r="171" spans="1:10" outlineLevel="2">
      <c r="A171" s="191" t="s">
        <v>944</v>
      </c>
      <c r="B171" s="191" t="s">
        <v>874</v>
      </c>
      <c r="C171" s="191" t="s">
        <v>943</v>
      </c>
      <c r="D171" s="191" t="s">
        <v>3292</v>
      </c>
      <c r="E171" s="191" t="s">
        <v>1494</v>
      </c>
      <c r="F171" s="191" t="s">
        <v>1494</v>
      </c>
      <c r="G171" s="191">
        <v>7</v>
      </c>
      <c r="H171" s="192">
        <v>0</v>
      </c>
      <c r="I171" s="192">
        <v>136.38</v>
      </c>
      <c r="J171" s="192">
        <f>SUM(H171,I171)</f>
        <v>136.38</v>
      </c>
    </row>
    <row r="172" spans="1:10" outlineLevel="2">
      <c r="A172" s="191" t="s">
        <v>945</v>
      </c>
      <c r="B172" s="191" t="s">
        <v>871</v>
      </c>
      <c r="C172" s="191" t="s">
        <v>943</v>
      </c>
      <c r="D172" s="191" t="s">
        <v>3293</v>
      </c>
      <c r="E172" s="191" t="s">
        <v>2624</v>
      </c>
      <c r="F172" s="191" t="s">
        <v>1496</v>
      </c>
      <c r="G172" s="191">
        <v>21</v>
      </c>
      <c r="H172" s="192">
        <v>150</v>
      </c>
      <c r="I172" s="192">
        <v>368.73</v>
      </c>
      <c r="J172" s="192">
        <f>SUM(H172,I172)</f>
        <v>518.73</v>
      </c>
    </row>
    <row r="173" spans="1:10" outlineLevel="2">
      <c r="A173" s="191" t="s">
        <v>945</v>
      </c>
      <c r="B173" s="191" t="s">
        <v>871</v>
      </c>
      <c r="C173" s="191" t="s">
        <v>943</v>
      </c>
      <c r="D173" s="191" t="s">
        <v>3294</v>
      </c>
      <c r="E173" s="191" t="s">
        <v>1503</v>
      </c>
      <c r="F173" s="191" t="s">
        <v>1503</v>
      </c>
      <c r="G173" s="191">
        <v>7</v>
      </c>
      <c r="H173" s="192">
        <v>0</v>
      </c>
      <c r="I173" s="192">
        <v>122.91</v>
      </c>
      <c r="J173" s="192">
        <f>SUM(H173,I173)</f>
        <v>122.91</v>
      </c>
    </row>
    <row r="174" spans="1:10" outlineLevel="2">
      <c r="A174" s="191" t="s">
        <v>946</v>
      </c>
      <c r="B174" s="191" t="s">
        <v>871</v>
      </c>
      <c r="C174" s="191" t="s">
        <v>943</v>
      </c>
      <c r="D174" s="191" t="s">
        <v>3295</v>
      </c>
      <c r="E174" s="191" t="s">
        <v>2646</v>
      </c>
      <c r="F174" s="191" t="s">
        <v>2646</v>
      </c>
      <c r="G174" s="191">
        <v>7</v>
      </c>
      <c r="H174" s="192">
        <v>0</v>
      </c>
      <c r="I174" s="192">
        <v>113.84</v>
      </c>
      <c r="J174" s="192">
        <f>SUM(H174,I174)</f>
        <v>113.84</v>
      </c>
    </row>
    <row r="175" spans="1:10" outlineLevel="2">
      <c r="A175" s="191" t="s">
        <v>3088</v>
      </c>
      <c r="B175" s="191" t="s">
        <v>871</v>
      </c>
      <c r="C175" s="191" t="s">
        <v>943</v>
      </c>
      <c r="D175" s="191" t="s">
        <v>3293</v>
      </c>
      <c r="E175" s="191" t="s">
        <v>2624</v>
      </c>
      <c r="F175" s="191" t="s">
        <v>1496</v>
      </c>
      <c r="G175" s="191">
        <v>21</v>
      </c>
      <c r="H175" s="192">
        <v>150</v>
      </c>
      <c r="I175" s="192">
        <v>356.67</v>
      </c>
      <c r="J175" s="192">
        <f>SUM(H175,I175)</f>
        <v>506.67</v>
      </c>
    </row>
    <row r="176" spans="1:10" outlineLevel="2">
      <c r="A176" s="191" t="s">
        <v>3088</v>
      </c>
      <c r="B176" s="191" t="s">
        <v>871</v>
      </c>
      <c r="C176" s="191" t="s">
        <v>943</v>
      </c>
      <c r="D176" s="191" t="s">
        <v>3292</v>
      </c>
      <c r="E176" s="191" t="s">
        <v>1494</v>
      </c>
      <c r="F176" s="191" t="s">
        <v>1494</v>
      </c>
      <c r="G176" s="191">
        <v>7</v>
      </c>
      <c r="H176" s="192">
        <v>0</v>
      </c>
      <c r="I176" s="192">
        <v>119.47</v>
      </c>
      <c r="J176" s="192">
        <f>SUM(H176,I176)</f>
        <v>119.47</v>
      </c>
    </row>
    <row r="177" spans="1:10" outlineLevel="2">
      <c r="A177" s="191" t="s">
        <v>947</v>
      </c>
      <c r="B177" s="191" t="s">
        <v>871</v>
      </c>
      <c r="C177" s="191" t="s">
        <v>943</v>
      </c>
      <c r="D177" s="191" t="s">
        <v>3293</v>
      </c>
      <c r="E177" s="191" t="s">
        <v>2624</v>
      </c>
      <c r="F177" s="191" t="s">
        <v>1496</v>
      </c>
      <c r="G177" s="191">
        <v>21</v>
      </c>
      <c r="H177" s="192">
        <v>150</v>
      </c>
      <c r="I177" s="192">
        <v>369.15</v>
      </c>
      <c r="J177" s="192">
        <f>SUM(H177,I177)</f>
        <v>519.15</v>
      </c>
    </row>
    <row r="178" spans="1:10" outlineLevel="2">
      <c r="A178" s="191" t="s">
        <v>947</v>
      </c>
      <c r="B178" s="191" t="s">
        <v>871</v>
      </c>
      <c r="C178" s="191" t="s">
        <v>943</v>
      </c>
      <c r="D178" s="191" t="s">
        <v>3294</v>
      </c>
      <c r="E178" s="191" t="s">
        <v>1503</v>
      </c>
      <c r="F178" s="191" t="s">
        <v>1503</v>
      </c>
      <c r="G178" s="191">
        <v>7</v>
      </c>
      <c r="H178" s="192">
        <v>0</v>
      </c>
      <c r="I178" s="192">
        <v>123.05</v>
      </c>
      <c r="J178" s="192">
        <f>SUM(H178,I178)</f>
        <v>123.05</v>
      </c>
    </row>
    <row r="179" spans="1:10" outlineLevel="2">
      <c r="A179" s="191" t="s">
        <v>947</v>
      </c>
      <c r="B179" s="191" t="s">
        <v>871</v>
      </c>
      <c r="C179" s="191" t="s">
        <v>943</v>
      </c>
      <c r="D179" s="191" t="s">
        <v>3295</v>
      </c>
      <c r="E179" s="191" t="s">
        <v>2646</v>
      </c>
      <c r="F179" s="191" t="s">
        <v>2646</v>
      </c>
      <c r="G179" s="191">
        <v>7</v>
      </c>
      <c r="H179" s="192">
        <v>0</v>
      </c>
      <c r="I179" s="192">
        <v>123.65</v>
      </c>
      <c r="J179" s="192">
        <f>SUM(H179,I179)</f>
        <v>123.65</v>
      </c>
    </row>
    <row r="180" spans="1:10" outlineLevel="1">
      <c r="A180" s="193" t="s">
        <v>3521</v>
      </c>
      <c r="B180" s="194"/>
      <c r="C180" s="194"/>
      <c r="D180" s="194"/>
      <c r="E180" s="194"/>
      <c r="F180" s="194"/>
      <c r="G180" s="194">
        <f>SUBTOTAL(9,G168:G179)</f>
        <v>168</v>
      </c>
      <c r="H180" s="195">
        <f>SUBTOTAL(9,H168:H179)</f>
        <v>450</v>
      </c>
      <c r="I180" s="195">
        <f>SUBTOTAL(9,I168:I179)</f>
        <v>2937.3800000000006</v>
      </c>
      <c r="J180" s="195">
        <f>SUBTOTAL(9,J168:J179)</f>
        <v>3387.3800000000006</v>
      </c>
    </row>
    <row r="181" spans="1:10" outlineLevel="2">
      <c r="A181" s="191" t="s">
        <v>948</v>
      </c>
      <c r="B181" s="191" t="s">
        <v>871</v>
      </c>
      <c r="C181" s="191" t="s">
        <v>949</v>
      </c>
      <c r="D181" s="191" t="s">
        <v>3296</v>
      </c>
      <c r="E181" s="191" t="s">
        <v>2646</v>
      </c>
      <c r="F181" s="191" t="s">
        <v>2646</v>
      </c>
      <c r="G181" s="191">
        <v>7</v>
      </c>
      <c r="H181" s="192">
        <v>0</v>
      </c>
      <c r="I181" s="192">
        <v>96.38</v>
      </c>
      <c r="J181" s="192">
        <f>SUM(H181,I181)</f>
        <v>96.38</v>
      </c>
    </row>
    <row r="182" spans="1:10" outlineLevel="2">
      <c r="A182" s="191" t="s">
        <v>948</v>
      </c>
      <c r="B182" s="191" t="s">
        <v>871</v>
      </c>
      <c r="C182" s="191" t="s">
        <v>949</v>
      </c>
      <c r="D182" s="191" t="s">
        <v>3297</v>
      </c>
      <c r="E182" s="191" t="s">
        <v>2681</v>
      </c>
      <c r="F182" s="191" t="s">
        <v>2681</v>
      </c>
      <c r="G182" s="191">
        <v>7</v>
      </c>
      <c r="H182" s="192">
        <v>0</v>
      </c>
      <c r="I182" s="192">
        <v>96.38</v>
      </c>
      <c r="J182" s="192">
        <f>SUM(H182,I182)</f>
        <v>96.38</v>
      </c>
    </row>
    <row r="183" spans="1:10" outlineLevel="2">
      <c r="A183" s="191" t="s">
        <v>950</v>
      </c>
      <c r="B183" s="191" t="s">
        <v>871</v>
      </c>
      <c r="C183" s="191" t="s">
        <v>949</v>
      </c>
      <c r="D183" s="191" t="s">
        <v>3296</v>
      </c>
      <c r="E183" s="191" t="s">
        <v>2646</v>
      </c>
      <c r="F183" s="191" t="s">
        <v>2646</v>
      </c>
      <c r="G183" s="191">
        <v>7</v>
      </c>
      <c r="H183" s="192">
        <v>0</v>
      </c>
      <c r="I183" s="192">
        <v>125.05</v>
      </c>
      <c r="J183" s="192">
        <f>SUM(H183,I183)</f>
        <v>125.05</v>
      </c>
    </row>
    <row r="184" spans="1:10" outlineLevel="2">
      <c r="A184" s="191" t="s">
        <v>950</v>
      </c>
      <c r="B184" s="191" t="s">
        <v>871</v>
      </c>
      <c r="C184" s="191" t="s">
        <v>949</v>
      </c>
      <c r="D184" s="191" t="s">
        <v>3297</v>
      </c>
      <c r="E184" s="191" t="s">
        <v>2681</v>
      </c>
      <c r="F184" s="191" t="s">
        <v>2681</v>
      </c>
      <c r="G184" s="191">
        <v>7</v>
      </c>
      <c r="H184" s="192">
        <v>0</v>
      </c>
      <c r="I184" s="192">
        <v>125.05</v>
      </c>
      <c r="J184" s="192">
        <f>SUM(H184,I184)</f>
        <v>125.05</v>
      </c>
    </row>
    <row r="185" spans="1:10" outlineLevel="1">
      <c r="A185" s="193" t="s">
        <v>3522</v>
      </c>
      <c r="B185" s="194"/>
      <c r="C185" s="194"/>
      <c r="D185" s="194"/>
      <c r="E185" s="194"/>
      <c r="F185" s="194"/>
      <c r="G185" s="194">
        <f>SUBTOTAL(9,G181:G184)</f>
        <v>28</v>
      </c>
      <c r="H185" s="195">
        <f>SUBTOTAL(9,H181:H184)</f>
        <v>0</v>
      </c>
      <c r="I185" s="195">
        <f>SUBTOTAL(9,I181:I184)</f>
        <v>442.86</v>
      </c>
      <c r="J185" s="195">
        <f>SUBTOTAL(9,J181:J184)</f>
        <v>442.86</v>
      </c>
    </row>
    <row r="186" spans="1:10" outlineLevel="2">
      <c r="A186" s="191" t="s">
        <v>951</v>
      </c>
      <c r="B186" s="191" t="s">
        <v>871</v>
      </c>
      <c r="C186" s="191" t="s">
        <v>952</v>
      </c>
      <c r="D186" s="191" t="s">
        <v>3298</v>
      </c>
      <c r="E186" s="191" t="s">
        <v>2586</v>
      </c>
      <c r="F186" s="191" t="s">
        <v>2586</v>
      </c>
      <c r="G186" s="191">
        <v>7</v>
      </c>
      <c r="H186" s="192">
        <v>0</v>
      </c>
      <c r="I186" s="192">
        <v>105.4</v>
      </c>
      <c r="J186" s="192">
        <f>SUM(H186,I186)</f>
        <v>105.4</v>
      </c>
    </row>
    <row r="187" spans="1:10" outlineLevel="2">
      <c r="A187" s="191" t="s">
        <v>951</v>
      </c>
      <c r="B187" s="191" t="s">
        <v>871</v>
      </c>
      <c r="C187" s="191" t="s">
        <v>952</v>
      </c>
      <c r="D187" s="191" t="s">
        <v>3299</v>
      </c>
      <c r="E187" s="191" t="s">
        <v>2665</v>
      </c>
      <c r="F187" s="191" t="s">
        <v>1490</v>
      </c>
      <c r="G187" s="191">
        <v>28</v>
      </c>
      <c r="H187" s="192">
        <v>0</v>
      </c>
      <c r="I187" s="192">
        <v>418.68</v>
      </c>
      <c r="J187" s="192">
        <f>SUM(H187,I187)</f>
        <v>418.68</v>
      </c>
    </row>
    <row r="188" spans="1:10" outlineLevel="1">
      <c r="A188" s="193" t="s">
        <v>3523</v>
      </c>
      <c r="B188" s="194"/>
      <c r="C188" s="194"/>
      <c r="D188" s="194"/>
      <c r="E188" s="194"/>
      <c r="F188" s="194"/>
      <c r="G188" s="194">
        <f>SUBTOTAL(9,G186:G187)</f>
        <v>35</v>
      </c>
      <c r="H188" s="195">
        <f>SUBTOTAL(9,H186:H187)</f>
        <v>0</v>
      </c>
      <c r="I188" s="195">
        <f>SUBTOTAL(9,I186:I187)</f>
        <v>524.08000000000004</v>
      </c>
      <c r="J188" s="195">
        <f>SUBTOTAL(9,J186:J187)</f>
        <v>524.08000000000004</v>
      </c>
    </row>
    <row r="189" spans="1:10" outlineLevel="2">
      <c r="A189" s="191" t="s">
        <v>990</v>
      </c>
      <c r="B189" s="191" t="s">
        <v>871</v>
      </c>
      <c r="C189" s="191" t="s">
        <v>3051</v>
      </c>
      <c r="D189" s="191" t="s">
        <v>3300</v>
      </c>
      <c r="E189" s="191" t="s">
        <v>2693</v>
      </c>
      <c r="F189" s="191" t="s">
        <v>2669</v>
      </c>
      <c r="G189" s="191">
        <v>14</v>
      </c>
      <c r="H189" s="192">
        <v>100</v>
      </c>
      <c r="I189" s="192">
        <v>183.34</v>
      </c>
      <c r="J189" s="192">
        <f>SUM(H189,I189)</f>
        <v>283.34000000000003</v>
      </c>
    </row>
    <row r="190" spans="1:10" outlineLevel="2">
      <c r="A190" s="191" t="s">
        <v>990</v>
      </c>
      <c r="B190" s="191" t="s">
        <v>871</v>
      </c>
      <c r="C190" s="191" t="s">
        <v>3051</v>
      </c>
      <c r="D190" s="191" t="s">
        <v>3301</v>
      </c>
      <c r="E190" s="191" t="s">
        <v>2683</v>
      </c>
      <c r="F190" s="191" t="s">
        <v>2683</v>
      </c>
      <c r="G190" s="191">
        <v>7</v>
      </c>
      <c r="H190" s="192">
        <v>0</v>
      </c>
      <c r="I190" s="192">
        <v>91.67</v>
      </c>
      <c r="J190" s="192">
        <f>SUM(H190,I190)</f>
        <v>91.67</v>
      </c>
    </row>
    <row r="191" spans="1:10" outlineLevel="2">
      <c r="A191" s="191" t="s">
        <v>990</v>
      </c>
      <c r="B191" s="191" t="s">
        <v>871</v>
      </c>
      <c r="C191" s="191" t="s">
        <v>3051</v>
      </c>
      <c r="D191" s="191" t="s">
        <v>3302</v>
      </c>
      <c r="E191" s="191" t="s">
        <v>1490</v>
      </c>
      <c r="F191" s="191" t="s">
        <v>1490</v>
      </c>
      <c r="G191" s="191">
        <v>7</v>
      </c>
      <c r="H191" s="192">
        <v>100</v>
      </c>
      <c r="I191" s="192">
        <v>89.48</v>
      </c>
      <c r="J191" s="192">
        <f>SUM(H191,I191)</f>
        <v>189.48000000000002</v>
      </c>
    </row>
    <row r="192" spans="1:10" outlineLevel="1">
      <c r="A192" s="193" t="s">
        <v>3524</v>
      </c>
      <c r="B192" s="194"/>
      <c r="C192" s="194"/>
      <c r="D192" s="194"/>
      <c r="E192" s="194"/>
      <c r="F192" s="194"/>
      <c r="G192" s="194">
        <f>SUBTOTAL(9,G189:G191)</f>
        <v>28</v>
      </c>
      <c r="H192" s="195">
        <f>SUBTOTAL(9,H189:H191)</f>
        <v>200</v>
      </c>
      <c r="I192" s="195">
        <f>SUBTOTAL(9,I189:I191)</f>
        <v>364.49</v>
      </c>
      <c r="J192" s="195">
        <f>SUBTOTAL(9,J189:J191)</f>
        <v>564.49</v>
      </c>
    </row>
    <row r="193" spans="1:10" outlineLevel="2">
      <c r="A193" s="191" t="s">
        <v>946</v>
      </c>
      <c r="B193" s="191" t="s">
        <v>871</v>
      </c>
      <c r="C193" s="191" t="s">
        <v>3052</v>
      </c>
      <c r="D193" s="191" t="s">
        <v>3299</v>
      </c>
      <c r="E193" s="191" t="s">
        <v>2665</v>
      </c>
      <c r="F193" s="191" t="s">
        <v>1490</v>
      </c>
      <c r="G193" s="191">
        <v>28</v>
      </c>
      <c r="H193" s="192">
        <v>0</v>
      </c>
      <c r="I193" s="192">
        <v>455.36</v>
      </c>
      <c r="J193" s="192">
        <f>SUM(H193,I193)</f>
        <v>455.36</v>
      </c>
    </row>
    <row r="194" spans="1:10" outlineLevel="1">
      <c r="A194" s="193" t="s">
        <v>3525</v>
      </c>
      <c r="B194" s="194"/>
      <c r="C194" s="194"/>
      <c r="D194" s="194"/>
      <c r="E194" s="194"/>
      <c r="F194" s="194"/>
      <c r="G194" s="194">
        <f>SUBTOTAL(9,G193:G193)</f>
        <v>28</v>
      </c>
      <c r="H194" s="195">
        <f>SUBTOTAL(9,H193:H193)</f>
        <v>0</v>
      </c>
      <c r="I194" s="195">
        <f>SUBTOTAL(9,I193:I193)</f>
        <v>455.36</v>
      </c>
      <c r="J194" s="195">
        <f>SUBTOTAL(9,J193:J193)</f>
        <v>455.36</v>
      </c>
    </row>
    <row r="195" spans="1:10" outlineLevel="2">
      <c r="A195" s="191" t="s">
        <v>1056</v>
      </c>
      <c r="B195" s="191" t="s">
        <v>871</v>
      </c>
      <c r="C195" s="191" t="s">
        <v>953</v>
      </c>
      <c r="D195" s="191" t="s">
        <v>3299</v>
      </c>
      <c r="E195" s="191" t="s">
        <v>2665</v>
      </c>
      <c r="F195" s="191" t="s">
        <v>1490</v>
      </c>
      <c r="G195" s="191">
        <v>28</v>
      </c>
      <c r="H195" s="192">
        <v>150</v>
      </c>
      <c r="I195" s="192">
        <v>450.4</v>
      </c>
      <c r="J195" s="192">
        <f>SUM(H195,I195)</f>
        <v>600.4</v>
      </c>
    </row>
    <row r="196" spans="1:10" outlineLevel="2">
      <c r="A196" s="191" t="s">
        <v>3089</v>
      </c>
      <c r="B196" s="191" t="s">
        <v>871</v>
      </c>
      <c r="C196" s="191" t="s">
        <v>953</v>
      </c>
      <c r="D196" s="191" t="s">
        <v>3303</v>
      </c>
      <c r="E196" s="191" t="s">
        <v>2689</v>
      </c>
      <c r="F196" s="191" t="s">
        <v>2689</v>
      </c>
      <c r="G196" s="191">
        <v>7</v>
      </c>
      <c r="H196" s="192">
        <v>0</v>
      </c>
      <c r="I196" s="192">
        <v>110.07</v>
      </c>
      <c r="J196" s="192">
        <f>SUM(H196,I196)</f>
        <v>110.07</v>
      </c>
    </row>
    <row r="197" spans="1:10" outlineLevel="2">
      <c r="A197" s="191" t="s">
        <v>3090</v>
      </c>
      <c r="B197" s="191" t="s">
        <v>871</v>
      </c>
      <c r="C197" s="191" t="s">
        <v>953</v>
      </c>
      <c r="D197" s="191" t="s">
        <v>3304</v>
      </c>
      <c r="E197" s="191" t="s">
        <v>2734</v>
      </c>
      <c r="F197" s="191" t="s">
        <v>2734</v>
      </c>
      <c r="G197" s="191">
        <v>12</v>
      </c>
      <c r="H197" s="192">
        <v>0</v>
      </c>
      <c r="I197" s="192">
        <v>187.95</v>
      </c>
      <c r="J197" s="192">
        <f>SUM(H197,I197)</f>
        <v>187.95</v>
      </c>
    </row>
    <row r="198" spans="1:10" outlineLevel="2">
      <c r="A198" s="191" t="s">
        <v>954</v>
      </c>
      <c r="B198" s="191" t="s">
        <v>871</v>
      </c>
      <c r="C198" s="191" t="s">
        <v>953</v>
      </c>
      <c r="D198" s="191" t="s">
        <v>3305</v>
      </c>
      <c r="E198" s="191" t="s">
        <v>2633</v>
      </c>
      <c r="F198" s="191" t="s">
        <v>2603</v>
      </c>
      <c r="G198" s="191">
        <v>24</v>
      </c>
      <c r="H198" s="192">
        <v>100</v>
      </c>
      <c r="I198" s="192">
        <v>391.44</v>
      </c>
      <c r="J198" s="192">
        <f>SUM(H198,I198)</f>
        <v>491.44</v>
      </c>
    </row>
    <row r="199" spans="1:10" outlineLevel="2">
      <c r="A199" s="191" t="s">
        <v>955</v>
      </c>
      <c r="B199" s="191" t="s">
        <v>871</v>
      </c>
      <c r="C199" s="191" t="s">
        <v>953</v>
      </c>
      <c r="D199" s="191" t="s">
        <v>2304</v>
      </c>
      <c r="E199" s="191" t="s">
        <v>2650</v>
      </c>
      <c r="F199" s="191" t="s">
        <v>2646</v>
      </c>
      <c r="G199" s="191">
        <v>24</v>
      </c>
      <c r="H199" s="192">
        <v>90</v>
      </c>
      <c r="I199" s="192">
        <v>333.94</v>
      </c>
      <c r="J199" s="192">
        <f>SUM(H199,I199)</f>
        <v>423.94</v>
      </c>
    </row>
    <row r="200" spans="1:10" outlineLevel="2">
      <c r="A200" s="191" t="s">
        <v>956</v>
      </c>
      <c r="B200" s="191" t="s">
        <v>871</v>
      </c>
      <c r="C200" s="191" t="s">
        <v>953</v>
      </c>
      <c r="D200" s="191" t="s">
        <v>3299</v>
      </c>
      <c r="E200" s="191" t="s">
        <v>2665</v>
      </c>
      <c r="F200" s="191" t="s">
        <v>2717</v>
      </c>
      <c r="G200" s="191">
        <v>24</v>
      </c>
      <c r="H200" s="192">
        <v>150</v>
      </c>
      <c r="I200" s="192">
        <v>423.46</v>
      </c>
      <c r="J200" s="192">
        <f>SUM(H200,I200)</f>
        <v>573.46</v>
      </c>
    </row>
    <row r="201" spans="1:10" outlineLevel="2">
      <c r="A201" s="191" t="s">
        <v>3091</v>
      </c>
      <c r="B201" s="191" t="s">
        <v>871</v>
      </c>
      <c r="C201" s="191" t="s">
        <v>953</v>
      </c>
      <c r="D201" s="191" t="s">
        <v>3306</v>
      </c>
      <c r="E201" s="191" t="s">
        <v>2719</v>
      </c>
      <c r="F201" s="191" t="s">
        <v>2608</v>
      </c>
      <c r="G201" s="191">
        <v>0</v>
      </c>
      <c r="H201" s="192">
        <v>90</v>
      </c>
      <c r="I201" s="192">
        <v>0</v>
      </c>
      <c r="J201" s="192">
        <f>SUM(H201,I201)</f>
        <v>90</v>
      </c>
    </row>
    <row r="202" spans="1:10" outlineLevel="2">
      <c r="A202" s="191" t="s">
        <v>957</v>
      </c>
      <c r="B202" s="191" t="s">
        <v>874</v>
      </c>
      <c r="C202" s="191" t="s">
        <v>953</v>
      </c>
      <c r="D202" s="191" t="s">
        <v>3307</v>
      </c>
      <c r="E202" s="191" t="s">
        <v>2658</v>
      </c>
      <c r="F202" s="191" t="s">
        <v>2658</v>
      </c>
      <c r="G202" s="191">
        <v>7</v>
      </c>
      <c r="H202" s="192">
        <v>0</v>
      </c>
      <c r="I202" s="192">
        <v>134.33000000000001</v>
      </c>
      <c r="J202" s="192">
        <f>SUM(H202,I202)</f>
        <v>134.33000000000001</v>
      </c>
    </row>
    <row r="203" spans="1:10" outlineLevel="2">
      <c r="A203" s="191" t="s">
        <v>957</v>
      </c>
      <c r="B203" s="191" t="s">
        <v>874</v>
      </c>
      <c r="C203" s="191" t="s">
        <v>953</v>
      </c>
      <c r="D203" s="191" t="s">
        <v>3308</v>
      </c>
      <c r="E203" s="191" t="s">
        <v>2719</v>
      </c>
      <c r="F203" s="191" t="s">
        <v>2608</v>
      </c>
      <c r="G203" s="191">
        <v>21</v>
      </c>
      <c r="H203" s="192">
        <v>0</v>
      </c>
      <c r="I203" s="192">
        <v>402.99</v>
      </c>
      <c r="J203" s="192">
        <f>SUM(H203,I203)</f>
        <v>402.99</v>
      </c>
    </row>
    <row r="204" spans="1:10" outlineLevel="2">
      <c r="A204" s="191" t="s">
        <v>957</v>
      </c>
      <c r="B204" s="191" t="s">
        <v>874</v>
      </c>
      <c r="C204" s="191" t="s">
        <v>953</v>
      </c>
      <c r="D204" s="191" t="s">
        <v>2304</v>
      </c>
      <c r="E204" s="191" t="s">
        <v>2653</v>
      </c>
      <c r="F204" s="191" t="s">
        <v>2646</v>
      </c>
      <c r="G204" s="191">
        <v>21</v>
      </c>
      <c r="H204" s="192">
        <v>0</v>
      </c>
      <c r="I204" s="192">
        <v>404.97</v>
      </c>
      <c r="J204" s="192">
        <f>SUM(H204,I204)</f>
        <v>404.97</v>
      </c>
    </row>
    <row r="205" spans="1:10" outlineLevel="2">
      <c r="A205" s="191" t="s">
        <v>3092</v>
      </c>
      <c r="B205" s="191" t="s">
        <v>904</v>
      </c>
      <c r="C205" s="191" t="s">
        <v>953</v>
      </c>
      <c r="D205" s="191" t="s">
        <v>3303</v>
      </c>
      <c r="E205" s="191" t="s">
        <v>2689</v>
      </c>
      <c r="F205" s="191" t="s">
        <v>2689</v>
      </c>
      <c r="G205" s="191">
        <v>7</v>
      </c>
      <c r="H205" s="192">
        <v>0</v>
      </c>
      <c r="I205" s="192">
        <v>119.71</v>
      </c>
      <c r="J205" s="192">
        <f>SUM(H205,I205)</f>
        <v>119.71</v>
      </c>
    </row>
    <row r="206" spans="1:10" outlineLevel="1">
      <c r="A206" s="193" t="s">
        <v>3526</v>
      </c>
      <c r="B206" s="194"/>
      <c r="C206" s="194"/>
      <c r="D206" s="194"/>
      <c r="E206" s="194"/>
      <c r="F206" s="194"/>
      <c r="G206" s="194">
        <f>SUBTOTAL(9,G195:G205)</f>
        <v>175</v>
      </c>
      <c r="H206" s="195">
        <f>SUBTOTAL(9,H195:H205)</f>
        <v>580</v>
      </c>
      <c r="I206" s="195">
        <f>SUBTOTAL(9,I195:I205)</f>
        <v>2959.26</v>
      </c>
      <c r="J206" s="195">
        <f>SUBTOTAL(9,J195:J205)</f>
        <v>3539.26</v>
      </c>
    </row>
    <row r="207" spans="1:10" outlineLevel="2">
      <c r="A207" s="191" t="s">
        <v>3093</v>
      </c>
      <c r="B207" s="191" t="s">
        <v>871</v>
      </c>
      <c r="C207" s="191" t="s">
        <v>959</v>
      </c>
      <c r="D207" s="191" t="s">
        <v>3309</v>
      </c>
      <c r="E207" s="191" t="s">
        <v>2647</v>
      </c>
      <c r="F207" s="191" t="s">
        <v>2599</v>
      </c>
      <c r="G207" s="191">
        <v>24</v>
      </c>
      <c r="H207" s="192">
        <v>100</v>
      </c>
      <c r="I207" s="192">
        <v>314.95</v>
      </c>
      <c r="J207" s="192">
        <f>SUM(H207,I207)</f>
        <v>414.95</v>
      </c>
    </row>
    <row r="208" spans="1:10" outlineLevel="2">
      <c r="A208" s="191" t="s">
        <v>958</v>
      </c>
      <c r="B208" s="191" t="s">
        <v>874</v>
      </c>
      <c r="C208" s="191" t="s">
        <v>959</v>
      </c>
      <c r="D208" s="191" t="s">
        <v>1621</v>
      </c>
      <c r="E208" s="191" t="s">
        <v>2588</v>
      </c>
      <c r="F208" s="191" t="s">
        <v>2588</v>
      </c>
      <c r="G208" s="191">
        <v>7</v>
      </c>
      <c r="H208" s="192">
        <v>100</v>
      </c>
      <c r="I208" s="192">
        <v>122.06</v>
      </c>
      <c r="J208" s="192">
        <f>SUM(H208,I208)</f>
        <v>222.06</v>
      </c>
    </row>
    <row r="209" spans="1:10" outlineLevel="2">
      <c r="A209" s="191" t="s">
        <v>958</v>
      </c>
      <c r="B209" s="191" t="s">
        <v>874</v>
      </c>
      <c r="C209" s="191" t="s">
        <v>959</v>
      </c>
      <c r="D209" s="191" t="s">
        <v>1949</v>
      </c>
      <c r="E209" s="191" t="s">
        <v>2711</v>
      </c>
      <c r="F209" s="191" t="s">
        <v>2589</v>
      </c>
      <c r="G209" s="191">
        <v>14</v>
      </c>
      <c r="H209" s="192">
        <v>100</v>
      </c>
      <c r="I209" s="192">
        <v>246.66</v>
      </c>
      <c r="J209" s="192">
        <f>SUM(H209,I209)</f>
        <v>346.65999999999997</v>
      </c>
    </row>
    <row r="210" spans="1:10" outlineLevel="2">
      <c r="A210" s="191" t="s">
        <v>958</v>
      </c>
      <c r="B210" s="191" t="s">
        <v>874</v>
      </c>
      <c r="C210" s="191" t="s">
        <v>959</v>
      </c>
      <c r="D210" s="191" t="s">
        <v>3262</v>
      </c>
      <c r="E210" s="191" t="s">
        <v>3454</v>
      </c>
      <c r="F210" s="191" t="s">
        <v>3454</v>
      </c>
      <c r="G210" s="191">
        <v>7</v>
      </c>
      <c r="H210" s="192">
        <v>0</v>
      </c>
      <c r="I210" s="192">
        <v>123.33</v>
      </c>
      <c r="J210" s="192">
        <f>SUM(H210,I210)</f>
        <v>123.33</v>
      </c>
    </row>
    <row r="211" spans="1:10" outlineLevel="2">
      <c r="A211" s="191" t="s">
        <v>958</v>
      </c>
      <c r="B211" s="191" t="s">
        <v>874</v>
      </c>
      <c r="C211" s="191" t="s">
        <v>959</v>
      </c>
      <c r="D211" s="191" t="s">
        <v>3310</v>
      </c>
      <c r="E211" s="191" t="s">
        <v>2724</v>
      </c>
      <c r="F211" s="191" t="s">
        <v>2640</v>
      </c>
      <c r="G211" s="191">
        <v>28</v>
      </c>
      <c r="H211" s="192">
        <v>100</v>
      </c>
      <c r="I211" s="192">
        <v>495.72</v>
      </c>
      <c r="J211" s="192">
        <f>SUM(H211,I211)</f>
        <v>595.72</v>
      </c>
    </row>
    <row r="212" spans="1:10" outlineLevel="1">
      <c r="A212" s="193" t="s">
        <v>3527</v>
      </c>
      <c r="B212" s="194"/>
      <c r="C212" s="194"/>
      <c r="D212" s="194"/>
      <c r="E212" s="194"/>
      <c r="F212" s="194"/>
      <c r="G212" s="194">
        <f>SUBTOTAL(9,G207:G211)</f>
        <v>80</v>
      </c>
      <c r="H212" s="195">
        <f>SUBTOTAL(9,H207:H211)</f>
        <v>400</v>
      </c>
      <c r="I212" s="195">
        <f>SUBTOTAL(9,I207:I211)</f>
        <v>1302.72</v>
      </c>
      <c r="J212" s="195">
        <f>SUBTOTAL(9,J207:J211)</f>
        <v>1702.72</v>
      </c>
    </row>
    <row r="213" spans="1:10" outlineLevel="2">
      <c r="A213" s="191" t="s">
        <v>963</v>
      </c>
      <c r="B213" s="191" t="s">
        <v>874</v>
      </c>
      <c r="C213" s="191" t="s">
        <v>962</v>
      </c>
      <c r="D213" s="191" t="s">
        <v>3311</v>
      </c>
      <c r="E213" s="191" t="s">
        <v>2606</v>
      </c>
      <c r="F213" s="191" t="s">
        <v>1487</v>
      </c>
      <c r="G213" s="191">
        <v>21</v>
      </c>
      <c r="H213" s="192">
        <v>0</v>
      </c>
      <c r="I213" s="192">
        <v>369.99</v>
      </c>
      <c r="J213" s="192">
        <f>SUM(H213,I213)</f>
        <v>369.99</v>
      </c>
    </row>
    <row r="214" spans="1:10" outlineLevel="2">
      <c r="A214" s="191" t="s">
        <v>3094</v>
      </c>
      <c r="B214" s="191" t="s">
        <v>871</v>
      </c>
      <c r="C214" s="191" t="s">
        <v>962</v>
      </c>
      <c r="D214" s="191" t="s">
        <v>3312</v>
      </c>
      <c r="E214" s="191" t="s">
        <v>2593</v>
      </c>
      <c r="F214" s="191" t="s">
        <v>1487</v>
      </c>
      <c r="G214" s="191">
        <v>24</v>
      </c>
      <c r="H214" s="192">
        <v>0</v>
      </c>
      <c r="I214" s="192">
        <v>314.3</v>
      </c>
      <c r="J214" s="192">
        <f>SUM(H214,I214)</f>
        <v>314.3</v>
      </c>
    </row>
    <row r="215" spans="1:10" outlineLevel="2">
      <c r="A215" s="191" t="s">
        <v>3095</v>
      </c>
      <c r="B215" s="191" t="s">
        <v>871</v>
      </c>
      <c r="C215" s="191" t="s">
        <v>962</v>
      </c>
      <c r="D215" s="191" t="s">
        <v>3313</v>
      </c>
      <c r="E215" s="191" t="s">
        <v>1477</v>
      </c>
      <c r="F215" s="191" t="s">
        <v>1478</v>
      </c>
      <c r="G215" s="191">
        <v>14</v>
      </c>
      <c r="H215" s="192">
        <v>0</v>
      </c>
      <c r="I215" s="192">
        <v>240.56</v>
      </c>
      <c r="J215" s="192">
        <f>SUM(H215,I215)</f>
        <v>240.56</v>
      </c>
    </row>
    <row r="216" spans="1:10" outlineLevel="2">
      <c r="A216" s="191" t="s">
        <v>964</v>
      </c>
      <c r="B216" s="191" t="s">
        <v>871</v>
      </c>
      <c r="C216" s="191" t="s">
        <v>962</v>
      </c>
      <c r="D216" s="191" t="s">
        <v>3312</v>
      </c>
      <c r="E216" s="191" t="s">
        <v>2606</v>
      </c>
      <c r="F216" s="191" t="s">
        <v>2593</v>
      </c>
      <c r="G216" s="191">
        <v>24</v>
      </c>
      <c r="H216" s="192">
        <v>100</v>
      </c>
      <c r="I216" s="192">
        <v>319.06</v>
      </c>
      <c r="J216" s="192">
        <f>SUM(H216,I216)</f>
        <v>419.06</v>
      </c>
    </row>
    <row r="217" spans="1:10" outlineLevel="2">
      <c r="A217" s="191" t="s">
        <v>965</v>
      </c>
      <c r="B217" s="191" t="s">
        <v>871</v>
      </c>
      <c r="C217" s="191" t="s">
        <v>962</v>
      </c>
      <c r="D217" s="191" t="s">
        <v>1899</v>
      </c>
      <c r="E217" s="191" t="s">
        <v>1477</v>
      </c>
      <c r="F217" s="191" t="s">
        <v>1478</v>
      </c>
      <c r="G217" s="191">
        <v>14</v>
      </c>
      <c r="H217" s="192">
        <v>0</v>
      </c>
      <c r="I217" s="192">
        <v>178.08</v>
      </c>
      <c r="J217" s="192">
        <f>SUM(H217,I217)</f>
        <v>178.08</v>
      </c>
    </row>
    <row r="218" spans="1:10" outlineLevel="1">
      <c r="A218" s="193" t="s">
        <v>3528</v>
      </c>
      <c r="B218" s="194"/>
      <c r="C218" s="194"/>
      <c r="D218" s="194"/>
      <c r="E218" s="194"/>
      <c r="F218" s="194"/>
      <c r="G218" s="194">
        <f>SUBTOTAL(9,G213:G217)</f>
        <v>97</v>
      </c>
      <c r="H218" s="195">
        <f>SUBTOTAL(9,H213:H217)</f>
        <v>100</v>
      </c>
      <c r="I218" s="195">
        <f>SUBTOTAL(9,I213:I217)</f>
        <v>1421.9899999999998</v>
      </c>
      <c r="J218" s="195">
        <f>SUBTOTAL(9,J213:J217)</f>
        <v>1521.9899999999998</v>
      </c>
    </row>
    <row r="219" spans="1:10" outlineLevel="2">
      <c r="A219" s="191" t="s">
        <v>3096</v>
      </c>
      <c r="B219" s="191" t="s">
        <v>3097</v>
      </c>
      <c r="C219" s="191" t="s">
        <v>3053</v>
      </c>
      <c r="D219" s="191" t="s">
        <v>3314</v>
      </c>
      <c r="E219" s="191" t="s">
        <v>2637</v>
      </c>
      <c r="F219" s="191" t="s">
        <v>2608</v>
      </c>
      <c r="G219" s="191">
        <v>28</v>
      </c>
      <c r="H219" s="192">
        <v>150</v>
      </c>
      <c r="I219" s="192">
        <v>289.2</v>
      </c>
      <c r="J219" s="192">
        <f>SUM(H219,I219)</f>
        <v>439.2</v>
      </c>
    </row>
    <row r="220" spans="1:10" outlineLevel="2">
      <c r="A220" s="191" t="s">
        <v>3098</v>
      </c>
      <c r="B220" s="191" t="s">
        <v>3097</v>
      </c>
      <c r="C220" s="191" t="s">
        <v>3053</v>
      </c>
      <c r="D220" s="191" t="s">
        <v>3315</v>
      </c>
      <c r="E220" s="191" t="s">
        <v>2647</v>
      </c>
      <c r="F220" s="191" t="s">
        <v>2647</v>
      </c>
      <c r="G220" s="191">
        <v>0</v>
      </c>
      <c r="H220" s="192">
        <v>100</v>
      </c>
      <c r="I220" s="192">
        <v>0</v>
      </c>
      <c r="J220" s="192">
        <f>SUM(H220,I220)</f>
        <v>100</v>
      </c>
    </row>
    <row r="221" spans="1:10" outlineLevel="1">
      <c r="A221" s="193" t="s">
        <v>3529</v>
      </c>
      <c r="B221" s="194"/>
      <c r="C221" s="194"/>
      <c r="D221" s="194"/>
      <c r="E221" s="194"/>
      <c r="F221" s="194"/>
      <c r="G221" s="194">
        <f>SUBTOTAL(9,G219:G220)</f>
        <v>28</v>
      </c>
      <c r="H221" s="195">
        <f>SUBTOTAL(9,H219:H220)</f>
        <v>250</v>
      </c>
      <c r="I221" s="195">
        <f>SUBTOTAL(9,I219:I220)</f>
        <v>289.2</v>
      </c>
      <c r="J221" s="195">
        <f>SUBTOTAL(9,J219:J220)</f>
        <v>539.20000000000005</v>
      </c>
    </row>
    <row r="222" spans="1:10" outlineLevel="2">
      <c r="A222" s="191" t="s">
        <v>968</v>
      </c>
      <c r="B222" s="191" t="s">
        <v>871</v>
      </c>
      <c r="C222" s="191" t="s">
        <v>966</v>
      </c>
      <c r="D222" s="191" t="s">
        <v>3316</v>
      </c>
      <c r="E222" s="191" t="s">
        <v>2686</v>
      </c>
      <c r="F222" s="191" t="s">
        <v>2686</v>
      </c>
      <c r="G222" s="191">
        <v>7</v>
      </c>
      <c r="H222" s="192">
        <v>0</v>
      </c>
      <c r="I222" s="192">
        <v>111.2</v>
      </c>
      <c r="J222" s="192">
        <f>SUM(H222,I222)</f>
        <v>111.2</v>
      </c>
    </row>
    <row r="223" spans="1:10" outlineLevel="2">
      <c r="A223" s="191" t="s">
        <v>3099</v>
      </c>
      <c r="B223" s="191" t="s">
        <v>871</v>
      </c>
      <c r="C223" s="191" t="s">
        <v>966</v>
      </c>
      <c r="D223" s="191" t="s">
        <v>3316</v>
      </c>
      <c r="E223" s="191" t="s">
        <v>2686</v>
      </c>
      <c r="F223" s="191" t="s">
        <v>2686</v>
      </c>
      <c r="G223" s="191">
        <v>7</v>
      </c>
      <c r="H223" s="192">
        <v>0</v>
      </c>
      <c r="I223" s="192">
        <v>98.82</v>
      </c>
      <c r="J223" s="192">
        <f>SUM(H223,I223)</f>
        <v>98.82</v>
      </c>
    </row>
    <row r="224" spans="1:10" outlineLevel="2">
      <c r="A224" s="191" t="s">
        <v>3100</v>
      </c>
      <c r="B224" s="191" t="s">
        <v>967</v>
      </c>
      <c r="C224" s="191" t="s">
        <v>966</v>
      </c>
      <c r="D224" s="191" t="s">
        <v>3317</v>
      </c>
      <c r="E224" s="191" t="s">
        <v>2719</v>
      </c>
      <c r="F224" s="191" t="s">
        <v>2608</v>
      </c>
      <c r="G224" s="191">
        <v>21</v>
      </c>
      <c r="H224" s="192">
        <v>0</v>
      </c>
      <c r="I224" s="192">
        <v>232.65</v>
      </c>
      <c r="J224" s="192">
        <f>SUM(H224,I224)</f>
        <v>232.65</v>
      </c>
    </row>
    <row r="225" spans="1:10" outlineLevel="2">
      <c r="A225" s="191" t="s">
        <v>3101</v>
      </c>
      <c r="B225" s="191" t="s">
        <v>967</v>
      </c>
      <c r="C225" s="191" t="s">
        <v>966</v>
      </c>
      <c r="D225" s="191" t="s">
        <v>3317</v>
      </c>
      <c r="E225" s="191" t="s">
        <v>2719</v>
      </c>
      <c r="F225" s="191" t="s">
        <v>2608</v>
      </c>
      <c r="G225" s="191">
        <v>21</v>
      </c>
      <c r="H225" s="192">
        <v>0</v>
      </c>
      <c r="I225" s="192">
        <v>247.59</v>
      </c>
      <c r="J225" s="192">
        <f>SUM(H225,I225)</f>
        <v>247.59</v>
      </c>
    </row>
    <row r="226" spans="1:10" outlineLevel="2">
      <c r="A226" s="191" t="s">
        <v>3102</v>
      </c>
      <c r="B226" s="191" t="s">
        <v>967</v>
      </c>
      <c r="C226" s="191" t="s">
        <v>966</v>
      </c>
      <c r="D226" s="191" t="s">
        <v>3317</v>
      </c>
      <c r="E226" s="191" t="s">
        <v>2719</v>
      </c>
      <c r="F226" s="191" t="s">
        <v>2608</v>
      </c>
      <c r="G226" s="191">
        <v>21</v>
      </c>
      <c r="H226" s="192">
        <v>0</v>
      </c>
      <c r="I226" s="192">
        <v>222.45</v>
      </c>
      <c r="J226" s="192">
        <f>SUM(H226,I226)</f>
        <v>222.45</v>
      </c>
    </row>
    <row r="227" spans="1:10" outlineLevel="2">
      <c r="A227" s="191" t="s">
        <v>1031</v>
      </c>
      <c r="B227" s="191" t="s">
        <v>871</v>
      </c>
      <c r="C227" s="191" t="s">
        <v>966</v>
      </c>
      <c r="D227" s="191" t="s">
        <v>3318</v>
      </c>
      <c r="E227" s="191" t="s">
        <v>2590</v>
      </c>
      <c r="F227" s="191" t="s">
        <v>2590</v>
      </c>
      <c r="G227" s="191">
        <v>7</v>
      </c>
      <c r="H227" s="192">
        <v>0</v>
      </c>
      <c r="I227" s="192">
        <v>119.47</v>
      </c>
      <c r="J227" s="192">
        <f>SUM(H227,I227)</f>
        <v>119.47</v>
      </c>
    </row>
    <row r="228" spans="1:10" outlineLevel="2">
      <c r="A228" s="191" t="s">
        <v>3103</v>
      </c>
      <c r="B228" s="191" t="s">
        <v>871</v>
      </c>
      <c r="C228" s="191" t="s">
        <v>966</v>
      </c>
      <c r="D228" s="191" t="s">
        <v>3319</v>
      </c>
      <c r="E228" s="191" t="s">
        <v>2590</v>
      </c>
      <c r="F228" s="191" t="s">
        <v>2590</v>
      </c>
      <c r="G228" s="191">
        <v>7</v>
      </c>
      <c r="H228" s="192">
        <v>0</v>
      </c>
      <c r="I228" s="192">
        <v>94.98</v>
      </c>
      <c r="J228" s="192">
        <f>SUM(H228,I228)</f>
        <v>94.98</v>
      </c>
    </row>
    <row r="229" spans="1:10" outlineLevel="2">
      <c r="A229" s="191" t="s">
        <v>3104</v>
      </c>
      <c r="B229" s="191" t="s">
        <v>874</v>
      </c>
      <c r="C229" s="191" t="s">
        <v>966</v>
      </c>
      <c r="D229" s="191" t="s">
        <v>3320</v>
      </c>
      <c r="E229" s="191" t="s">
        <v>2590</v>
      </c>
      <c r="F229" s="191" t="s">
        <v>2590</v>
      </c>
      <c r="G229" s="191">
        <v>7</v>
      </c>
      <c r="H229" s="192">
        <v>0</v>
      </c>
      <c r="I229" s="192">
        <v>118.79</v>
      </c>
      <c r="J229" s="192">
        <f>SUM(H229,I229)</f>
        <v>118.79</v>
      </c>
    </row>
    <row r="230" spans="1:10" outlineLevel="1">
      <c r="A230" s="193" t="s">
        <v>3530</v>
      </c>
      <c r="B230" s="194"/>
      <c r="C230" s="194"/>
      <c r="D230" s="194"/>
      <c r="E230" s="194"/>
      <c r="F230" s="194"/>
      <c r="G230" s="194">
        <f>SUBTOTAL(9,G222:G229)</f>
        <v>98</v>
      </c>
      <c r="H230" s="195">
        <f>SUBTOTAL(9,H222:H229)</f>
        <v>0</v>
      </c>
      <c r="I230" s="195">
        <f>SUBTOTAL(9,I222:I229)</f>
        <v>1245.95</v>
      </c>
      <c r="J230" s="195">
        <f>SUBTOTAL(9,J222:J229)</f>
        <v>1245.95</v>
      </c>
    </row>
    <row r="231" spans="1:10" outlineLevel="2">
      <c r="A231" s="191" t="s">
        <v>970</v>
      </c>
      <c r="B231" s="191" t="s">
        <v>967</v>
      </c>
      <c r="C231" s="191" t="s">
        <v>969</v>
      </c>
      <c r="D231" s="191" t="s">
        <v>3321</v>
      </c>
      <c r="E231" s="191" t="s">
        <v>2664</v>
      </c>
      <c r="F231" s="191" t="s">
        <v>2664</v>
      </c>
      <c r="G231" s="191">
        <v>7</v>
      </c>
      <c r="H231" s="192">
        <v>90</v>
      </c>
      <c r="I231" s="192">
        <v>75.45</v>
      </c>
      <c r="J231" s="192">
        <f>SUM(H231,I231)</f>
        <v>165.45</v>
      </c>
    </row>
    <row r="232" spans="1:10" outlineLevel="2">
      <c r="A232" s="191" t="s">
        <v>3105</v>
      </c>
      <c r="B232" s="191" t="s">
        <v>967</v>
      </c>
      <c r="C232" s="191" t="s">
        <v>969</v>
      </c>
      <c r="D232" s="191" t="s">
        <v>3322</v>
      </c>
      <c r="E232" s="191" t="s">
        <v>3448</v>
      </c>
      <c r="F232" s="191" t="s">
        <v>3448</v>
      </c>
      <c r="G232" s="191">
        <v>0</v>
      </c>
      <c r="H232" s="192">
        <v>70</v>
      </c>
      <c r="I232" s="192">
        <v>0</v>
      </c>
      <c r="J232" s="192">
        <f>SUM(H232,I232)</f>
        <v>70</v>
      </c>
    </row>
    <row r="233" spans="1:10" outlineLevel="2">
      <c r="A233" s="191" t="s">
        <v>971</v>
      </c>
      <c r="B233" s="191" t="s">
        <v>967</v>
      </c>
      <c r="C233" s="191" t="s">
        <v>969</v>
      </c>
      <c r="D233" s="191" t="s">
        <v>3323</v>
      </c>
      <c r="E233" s="191" t="s">
        <v>2664</v>
      </c>
      <c r="F233" s="191" t="s">
        <v>2664</v>
      </c>
      <c r="G233" s="191">
        <v>12</v>
      </c>
      <c r="H233" s="192">
        <v>90</v>
      </c>
      <c r="I233" s="192">
        <v>134.31</v>
      </c>
      <c r="J233" s="192">
        <f>SUM(H233,I233)</f>
        <v>224.31</v>
      </c>
    </row>
    <row r="234" spans="1:10" outlineLevel="2">
      <c r="A234" s="191" t="s">
        <v>3106</v>
      </c>
      <c r="B234" s="191" t="s">
        <v>967</v>
      </c>
      <c r="C234" s="191" t="s">
        <v>969</v>
      </c>
      <c r="D234" s="191" t="s">
        <v>3324</v>
      </c>
      <c r="E234" s="191" t="s">
        <v>3448</v>
      </c>
      <c r="F234" s="191" t="s">
        <v>3448</v>
      </c>
      <c r="G234" s="191">
        <v>7</v>
      </c>
      <c r="H234" s="192">
        <v>70</v>
      </c>
      <c r="I234" s="192">
        <v>78.73</v>
      </c>
      <c r="J234" s="192">
        <f>SUM(H234,I234)</f>
        <v>148.73000000000002</v>
      </c>
    </row>
    <row r="235" spans="1:10" outlineLevel="2">
      <c r="A235" s="191" t="s">
        <v>972</v>
      </c>
      <c r="B235" s="191" t="s">
        <v>967</v>
      </c>
      <c r="C235" s="191" t="s">
        <v>969</v>
      </c>
      <c r="D235" s="191" t="s">
        <v>3325</v>
      </c>
      <c r="E235" s="191" t="s">
        <v>2719</v>
      </c>
      <c r="F235" s="191" t="s">
        <v>2608</v>
      </c>
      <c r="G235" s="191">
        <v>21</v>
      </c>
      <c r="H235" s="192">
        <v>0</v>
      </c>
      <c r="I235" s="192">
        <v>197.67</v>
      </c>
      <c r="J235" s="192">
        <f>SUM(H235,I235)</f>
        <v>197.67</v>
      </c>
    </row>
    <row r="236" spans="1:10" outlineLevel="2">
      <c r="A236" s="191" t="s">
        <v>3107</v>
      </c>
      <c r="B236" s="191" t="s">
        <v>967</v>
      </c>
      <c r="C236" s="191" t="s">
        <v>969</v>
      </c>
      <c r="D236" s="191" t="s">
        <v>3324</v>
      </c>
      <c r="E236" s="191" t="s">
        <v>3448</v>
      </c>
      <c r="F236" s="191" t="s">
        <v>3448</v>
      </c>
      <c r="G236" s="191">
        <v>0</v>
      </c>
      <c r="H236" s="192">
        <v>70</v>
      </c>
      <c r="I236" s="192">
        <v>0</v>
      </c>
      <c r="J236" s="192">
        <f>SUM(H236,I236)</f>
        <v>70</v>
      </c>
    </row>
    <row r="237" spans="1:10" outlineLevel="2">
      <c r="A237" s="191" t="s">
        <v>3107</v>
      </c>
      <c r="B237" s="191" t="s">
        <v>967</v>
      </c>
      <c r="C237" s="191" t="s">
        <v>969</v>
      </c>
      <c r="D237" s="191" t="s">
        <v>3326</v>
      </c>
      <c r="E237" s="191" t="s">
        <v>2640</v>
      </c>
      <c r="F237" s="191" t="s">
        <v>2640</v>
      </c>
      <c r="G237" s="191">
        <v>7</v>
      </c>
      <c r="H237" s="192">
        <v>0</v>
      </c>
      <c r="I237" s="192">
        <v>72.66</v>
      </c>
      <c r="J237" s="192">
        <f>SUM(H237,I237)</f>
        <v>72.66</v>
      </c>
    </row>
    <row r="238" spans="1:10" outlineLevel="2">
      <c r="A238" s="191" t="s">
        <v>3108</v>
      </c>
      <c r="B238" s="191" t="s">
        <v>967</v>
      </c>
      <c r="C238" s="191" t="s">
        <v>969</v>
      </c>
      <c r="D238" s="191" t="s">
        <v>3324</v>
      </c>
      <c r="E238" s="191" t="s">
        <v>2598</v>
      </c>
      <c r="F238" s="191" t="s">
        <v>2598</v>
      </c>
      <c r="G238" s="191">
        <v>0</v>
      </c>
      <c r="H238" s="192">
        <v>70</v>
      </c>
      <c r="I238" s="192">
        <v>0</v>
      </c>
      <c r="J238" s="192">
        <f>SUM(H238,I238)</f>
        <v>70</v>
      </c>
    </row>
    <row r="239" spans="1:10" outlineLevel="2">
      <c r="A239" s="191" t="s">
        <v>3109</v>
      </c>
      <c r="B239" s="191" t="s">
        <v>967</v>
      </c>
      <c r="C239" s="191" t="s">
        <v>969</v>
      </c>
      <c r="D239" s="191" t="s">
        <v>3322</v>
      </c>
      <c r="E239" s="191" t="s">
        <v>3448</v>
      </c>
      <c r="F239" s="191" t="s">
        <v>3448</v>
      </c>
      <c r="G239" s="191">
        <v>0</v>
      </c>
      <c r="H239" s="192">
        <v>70</v>
      </c>
      <c r="I239" s="192">
        <v>0</v>
      </c>
      <c r="J239" s="192">
        <f>SUM(H239,I239)</f>
        <v>70</v>
      </c>
    </row>
    <row r="240" spans="1:10" outlineLevel="2">
      <c r="A240" s="191" t="s">
        <v>3110</v>
      </c>
      <c r="B240" s="191" t="s">
        <v>967</v>
      </c>
      <c r="C240" s="191" t="s">
        <v>969</v>
      </c>
      <c r="D240" s="191" t="s">
        <v>3325</v>
      </c>
      <c r="E240" s="191" t="s">
        <v>2639</v>
      </c>
      <c r="F240" s="191" t="s">
        <v>2608</v>
      </c>
      <c r="G240" s="191">
        <v>24</v>
      </c>
      <c r="H240" s="192">
        <v>0</v>
      </c>
      <c r="I240" s="192">
        <v>248.71</v>
      </c>
      <c r="J240" s="192">
        <f>SUM(H240,I240)</f>
        <v>248.71</v>
      </c>
    </row>
    <row r="241" spans="1:10" outlineLevel="2">
      <c r="A241" s="191" t="s">
        <v>3111</v>
      </c>
      <c r="B241" s="191" t="s">
        <v>967</v>
      </c>
      <c r="C241" s="191" t="s">
        <v>969</v>
      </c>
      <c r="D241" s="191" t="s">
        <v>3322</v>
      </c>
      <c r="E241" s="191" t="s">
        <v>3448</v>
      </c>
      <c r="F241" s="191" t="s">
        <v>3448</v>
      </c>
      <c r="G241" s="191">
        <v>0</v>
      </c>
      <c r="H241" s="192">
        <v>70</v>
      </c>
      <c r="I241" s="192">
        <v>0</v>
      </c>
      <c r="J241" s="192">
        <f>SUM(H241,I241)</f>
        <v>70</v>
      </c>
    </row>
    <row r="242" spans="1:10" outlineLevel="2">
      <c r="A242" s="191" t="s">
        <v>3112</v>
      </c>
      <c r="B242" s="191" t="s">
        <v>967</v>
      </c>
      <c r="C242" s="191" t="s">
        <v>969</v>
      </c>
      <c r="D242" s="191" t="s">
        <v>3327</v>
      </c>
      <c r="E242" s="191" t="s">
        <v>2719</v>
      </c>
      <c r="F242" s="191" t="s">
        <v>2608</v>
      </c>
      <c r="G242" s="191">
        <v>21</v>
      </c>
      <c r="H242" s="192">
        <v>0</v>
      </c>
      <c r="I242" s="192">
        <v>228.33</v>
      </c>
      <c r="J242" s="192">
        <f>SUM(H242,I242)</f>
        <v>228.33</v>
      </c>
    </row>
    <row r="243" spans="1:10" outlineLevel="2">
      <c r="A243" s="191" t="s">
        <v>3113</v>
      </c>
      <c r="B243" s="191" t="s">
        <v>967</v>
      </c>
      <c r="C243" s="191" t="s">
        <v>969</v>
      </c>
      <c r="D243" s="191" t="s">
        <v>3324</v>
      </c>
      <c r="E243" s="191" t="s">
        <v>3448</v>
      </c>
      <c r="F243" s="191" t="s">
        <v>3448</v>
      </c>
      <c r="G243" s="191">
        <v>0</v>
      </c>
      <c r="H243" s="192">
        <v>70</v>
      </c>
      <c r="I243" s="192">
        <v>0</v>
      </c>
      <c r="J243" s="192">
        <f>SUM(H243,I243)</f>
        <v>70</v>
      </c>
    </row>
    <row r="244" spans="1:10" outlineLevel="1">
      <c r="A244" s="193" t="s">
        <v>3531</v>
      </c>
      <c r="B244" s="194"/>
      <c r="C244" s="194"/>
      <c r="D244" s="194"/>
      <c r="E244" s="194"/>
      <c r="F244" s="194"/>
      <c r="G244" s="194">
        <f>SUBTOTAL(9,G231:G243)</f>
        <v>99</v>
      </c>
      <c r="H244" s="195">
        <f>SUBTOTAL(9,H231:H243)</f>
        <v>670</v>
      </c>
      <c r="I244" s="195">
        <f>SUBTOTAL(9,I231:I243)</f>
        <v>1035.8599999999999</v>
      </c>
      <c r="J244" s="195">
        <f>SUBTOTAL(9,J231:J243)</f>
        <v>1705.86</v>
      </c>
    </row>
    <row r="245" spans="1:10" outlineLevel="2">
      <c r="A245" s="191" t="s">
        <v>3114</v>
      </c>
      <c r="B245" s="191" t="s">
        <v>871</v>
      </c>
      <c r="C245" s="191" t="s">
        <v>973</v>
      </c>
      <c r="D245" s="191" t="s">
        <v>3328</v>
      </c>
      <c r="E245" s="191" t="s">
        <v>1482</v>
      </c>
      <c r="F245" s="191" t="s">
        <v>1482</v>
      </c>
      <c r="G245" s="191">
        <v>7</v>
      </c>
      <c r="H245" s="192">
        <v>0</v>
      </c>
      <c r="I245" s="192">
        <v>125.06</v>
      </c>
      <c r="J245" s="192">
        <f>SUM(H245,I245)</f>
        <v>125.06</v>
      </c>
    </row>
    <row r="246" spans="1:10" outlineLevel="2">
      <c r="A246" s="191" t="s">
        <v>3114</v>
      </c>
      <c r="B246" s="191" t="s">
        <v>871</v>
      </c>
      <c r="C246" s="191" t="s">
        <v>973</v>
      </c>
      <c r="D246" s="191" t="s">
        <v>1590</v>
      </c>
      <c r="E246" s="191" t="s">
        <v>1500</v>
      </c>
      <c r="F246" s="191" t="s">
        <v>1500</v>
      </c>
      <c r="G246" s="191">
        <v>7</v>
      </c>
      <c r="H246" s="192">
        <v>0</v>
      </c>
      <c r="I246" s="192">
        <v>120.3</v>
      </c>
      <c r="J246" s="192">
        <f>SUM(H246,I246)</f>
        <v>120.3</v>
      </c>
    </row>
    <row r="247" spans="1:10" outlineLevel="2">
      <c r="A247" s="191" t="s">
        <v>3115</v>
      </c>
      <c r="B247" s="191" t="s">
        <v>871</v>
      </c>
      <c r="C247" s="191" t="s">
        <v>973</v>
      </c>
      <c r="D247" s="191" t="s">
        <v>3329</v>
      </c>
      <c r="E247" s="191" t="s">
        <v>2626</v>
      </c>
      <c r="F247" s="191" t="s">
        <v>2626</v>
      </c>
      <c r="G247" s="191">
        <v>7</v>
      </c>
      <c r="H247" s="192">
        <v>0</v>
      </c>
      <c r="I247" s="192">
        <v>102.9</v>
      </c>
      <c r="J247" s="192">
        <f>SUM(H247,I247)</f>
        <v>102.9</v>
      </c>
    </row>
    <row r="248" spans="1:10" outlineLevel="2">
      <c r="A248" s="191" t="s">
        <v>3115</v>
      </c>
      <c r="B248" s="191" t="s">
        <v>871</v>
      </c>
      <c r="C248" s="191" t="s">
        <v>973</v>
      </c>
      <c r="D248" s="191" t="s">
        <v>1590</v>
      </c>
      <c r="E248" s="191" t="s">
        <v>1500</v>
      </c>
      <c r="F248" s="191" t="s">
        <v>1500</v>
      </c>
      <c r="G248" s="191">
        <v>7</v>
      </c>
      <c r="H248" s="192">
        <v>0</v>
      </c>
      <c r="I248" s="192">
        <v>103.28</v>
      </c>
      <c r="J248" s="192">
        <f>SUM(H248,I248)</f>
        <v>103.28</v>
      </c>
    </row>
    <row r="249" spans="1:10" outlineLevel="1">
      <c r="A249" s="193" t="s">
        <v>3532</v>
      </c>
      <c r="B249" s="194"/>
      <c r="C249" s="194"/>
      <c r="D249" s="194"/>
      <c r="E249" s="194"/>
      <c r="F249" s="194"/>
      <c r="G249" s="194">
        <f>SUBTOTAL(9,G245:G248)</f>
        <v>28</v>
      </c>
      <c r="H249" s="195">
        <f>SUBTOTAL(9,H245:H248)</f>
        <v>0</v>
      </c>
      <c r="I249" s="195">
        <f>SUBTOTAL(9,I245:I248)</f>
        <v>451.53999999999996</v>
      </c>
      <c r="J249" s="195">
        <f>SUBTOTAL(9,J245:J248)</f>
        <v>451.53999999999996</v>
      </c>
    </row>
    <row r="250" spans="1:10" outlineLevel="2">
      <c r="A250" s="191" t="s">
        <v>3116</v>
      </c>
      <c r="B250" s="191" t="s">
        <v>871</v>
      </c>
      <c r="C250" s="191" t="s">
        <v>3054</v>
      </c>
      <c r="D250" s="191" t="s">
        <v>1932</v>
      </c>
      <c r="E250" s="191" t="s">
        <v>2719</v>
      </c>
      <c r="F250" s="191" t="s">
        <v>2608</v>
      </c>
      <c r="G250" s="191">
        <v>21</v>
      </c>
      <c r="H250" s="192">
        <v>0</v>
      </c>
      <c r="I250" s="192">
        <v>365.01</v>
      </c>
      <c r="J250" s="192">
        <f>SUM(H250,I250)</f>
        <v>365.01</v>
      </c>
    </row>
    <row r="251" spans="1:10" outlineLevel="2">
      <c r="A251" s="191" t="s">
        <v>3117</v>
      </c>
      <c r="B251" s="191" t="s">
        <v>871</v>
      </c>
      <c r="C251" s="191" t="s">
        <v>3054</v>
      </c>
      <c r="D251" s="191" t="s">
        <v>1932</v>
      </c>
      <c r="E251" s="191" t="s">
        <v>2719</v>
      </c>
      <c r="F251" s="191" t="s">
        <v>2608</v>
      </c>
      <c r="G251" s="191">
        <v>21</v>
      </c>
      <c r="H251" s="192">
        <v>0</v>
      </c>
      <c r="I251" s="192">
        <v>336.15</v>
      </c>
      <c r="J251" s="192">
        <f>SUM(H251,I251)</f>
        <v>336.15</v>
      </c>
    </row>
    <row r="252" spans="1:10" outlineLevel="1">
      <c r="A252" s="193" t="s">
        <v>3533</v>
      </c>
      <c r="B252" s="194"/>
      <c r="C252" s="194"/>
      <c r="D252" s="194"/>
      <c r="E252" s="194"/>
      <c r="F252" s="194"/>
      <c r="G252" s="194">
        <f>SUBTOTAL(9,G250:G251)</f>
        <v>42</v>
      </c>
      <c r="H252" s="195">
        <f>SUBTOTAL(9,H250:H251)</f>
        <v>0</v>
      </c>
      <c r="I252" s="195">
        <f>SUBTOTAL(9,I250:I251)</f>
        <v>701.16</v>
      </c>
      <c r="J252" s="195">
        <f>SUBTOTAL(9,J250:J251)</f>
        <v>701.16</v>
      </c>
    </row>
    <row r="253" spans="1:10" outlineLevel="2">
      <c r="A253" s="191" t="s">
        <v>974</v>
      </c>
      <c r="B253" s="191" t="s">
        <v>871</v>
      </c>
      <c r="C253" s="191" t="s">
        <v>975</v>
      </c>
      <c r="D253" s="191" t="s">
        <v>3267</v>
      </c>
      <c r="E253" s="191" t="s">
        <v>2658</v>
      </c>
      <c r="F253" s="191" t="s">
        <v>2658</v>
      </c>
      <c r="G253" s="191">
        <v>7</v>
      </c>
      <c r="H253" s="192">
        <v>0</v>
      </c>
      <c r="I253" s="192">
        <v>121.67</v>
      </c>
      <c r="J253" s="192">
        <f>SUM(H253,I253)</f>
        <v>121.67</v>
      </c>
    </row>
    <row r="254" spans="1:10" outlineLevel="2">
      <c r="A254" s="191" t="s">
        <v>974</v>
      </c>
      <c r="B254" s="191" t="s">
        <v>871</v>
      </c>
      <c r="C254" s="191" t="s">
        <v>975</v>
      </c>
      <c r="D254" s="191" t="s">
        <v>3303</v>
      </c>
      <c r="E254" s="191" t="s">
        <v>2689</v>
      </c>
      <c r="F254" s="191" t="s">
        <v>2689</v>
      </c>
      <c r="G254" s="191">
        <v>7</v>
      </c>
      <c r="H254" s="192">
        <v>0</v>
      </c>
      <c r="I254" s="192">
        <v>121.67</v>
      </c>
      <c r="J254" s="192">
        <f>SUM(H254,I254)</f>
        <v>121.67</v>
      </c>
    </row>
    <row r="255" spans="1:10" outlineLevel="2">
      <c r="A255" s="191" t="s">
        <v>974</v>
      </c>
      <c r="B255" s="191" t="s">
        <v>871</v>
      </c>
      <c r="C255" s="191" t="s">
        <v>975</v>
      </c>
      <c r="D255" s="191" t="s">
        <v>3330</v>
      </c>
      <c r="E255" s="191" t="s">
        <v>2626</v>
      </c>
      <c r="F255" s="191" t="s">
        <v>2626</v>
      </c>
      <c r="G255" s="191">
        <v>7</v>
      </c>
      <c r="H255" s="192">
        <v>100</v>
      </c>
      <c r="I255" s="192">
        <v>122.26</v>
      </c>
      <c r="J255" s="192">
        <f>SUM(H255,I255)</f>
        <v>222.26</v>
      </c>
    </row>
    <row r="256" spans="1:10" outlineLevel="2">
      <c r="A256" s="191" t="s">
        <v>3118</v>
      </c>
      <c r="B256" s="191" t="s">
        <v>871</v>
      </c>
      <c r="C256" s="191" t="s">
        <v>975</v>
      </c>
      <c r="D256" s="191" t="s">
        <v>3331</v>
      </c>
      <c r="E256" s="191" t="s">
        <v>2626</v>
      </c>
      <c r="F256" s="191" t="s">
        <v>2626</v>
      </c>
      <c r="G256" s="191">
        <v>0</v>
      </c>
      <c r="H256" s="192">
        <v>100</v>
      </c>
      <c r="I256" s="192">
        <v>0</v>
      </c>
      <c r="J256" s="192">
        <f>SUM(H256,I256)</f>
        <v>100</v>
      </c>
    </row>
    <row r="257" spans="1:10" outlineLevel="2">
      <c r="A257" s="191" t="s">
        <v>3119</v>
      </c>
      <c r="B257" s="191" t="s">
        <v>871</v>
      </c>
      <c r="C257" s="191" t="s">
        <v>975</v>
      </c>
      <c r="D257" s="191" t="s">
        <v>3330</v>
      </c>
      <c r="E257" s="191" t="s">
        <v>2626</v>
      </c>
      <c r="F257" s="191" t="s">
        <v>2626</v>
      </c>
      <c r="G257" s="191">
        <v>0</v>
      </c>
      <c r="H257" s="192">
        <v>100</v>
      </c>
      <c r="I257" s="192">
        <v>0</v>
      </c>
      <c r="J257" s="192">
        <f>SUM(H257,I257)</f>
        <v>100</v>
      </c>
    </row>
    <row r="258" spans="1:10" outlineLevel="1">
      <c r="A258" s="193" t="s">
        <v>3534</v>
      </c>
      <c r="B258" s="194"/>
      <c r="C258" s="194"/>
      <c r="D258" s="194"/>
      <c r="E258" s="194"/>
      <c r="F258" s="194"/>
      <c r="G258" s="194">
        <f>SUBTOTAL(9,G253:G257)</f>
        <v>21</v>
      </c>
      <c r="H258" s="195">
        <f>SUBTOTAL(9,H253:H257)</f>
        <v>300</v>
      </c>
      <c r="I258" s="195">
        <f>SUBTOTAL(9,I253:I257)</f>
        <v>365.6</v>
      </c>
      <c r="J258" s="195">
        <f>SUBTOTAL(9,J253:J257)</f>
        <v>665.6</v>
      </c>
    </row>
    <row r="259" spans="1:10" outlineLevel="2">
      <c r="A259" s="191" t="s">
        <v>976</v>
      </c>
      <c r="B259" s="191" t="s">
        <v>979</v>
      </c>
      <c r="C259" s="191" t="s">
        <v>978</v>
      </c>
      <c r="D259" s="191" t="s">
        <v>3332</v>
      </c>
      <c r="E259" s="191" t="s">
        <v>1486</v>
      </c>
      <c r="F259" s="191" t="s">
        <v>1486</v>
      </c>
      <c r="G259" s="191">
        <v>12</v>
      </c>
      <c r="H259" s="192">
        <v>0</v>
      </c>
      <c r="I259" s="192">
        <v>78.819999999999993</v>
      </c>
      <c r="J259" s="192">
        <f>SUM(H259,I259)</f>
        <v>78.819999999999993</v>
      </c>
    </row>
    <row r="260" spans="1:10" outlineLevel="2">
      <c r="A260" s="191" t="s">
        <v>981</v>
      </c>
      <c r="B260" s="191" t="s">
        <v>979</v>
      </c>
      <c r="C260" s="191" t="s">
        <v>978</v>
      </c>
      <c r="D260" s="191" t="s">
        <v>3333</v>
      </c>
      <c r="E260" s="191" t="s">
        <v>2650</v>
      </c>
      <c r="F260" s="191" t="s">
        <v>2646</v>
      </c>
      <c r="G260" s="191" t="s">
        <v>2760</v>
      </c>
      <c r="H260" s="192">
        <v>0</v>
      </c>
      <c r="I260" s="192">
        <v>0</v>
      </c>
      <c r="J260" s="192">
        <f>SUM(H260,I260)</f>
        <v>0</v>
      </c>
    </row>
    <row r="261" spans="1:10" outlineLevel="2">
      <c r="A261" s="191" t="s">
        <v>3120</v>
      </c>
      <c r="B261" s="191" t="s">
        <v>980</v>
      </c>
      <c r="C261" s="191" t="s">
        <v>978</v>
      </c>
      <c r="D261" s="191" t="s">
        <v>2346</v>
      </c>
      <c r="E261" s="191" t="s">
        <v>1493</v>
      </c>
      <c r="F261" s="191" t="s">
        <v>2609</v>
      </c>
      <c r="G261" s="191">
        <v>24</v>
      </c>
      <c r="H261" s="192">
        <v>90</v>
      </c>
      <c r="I261" s="192">
        <v>359.04</v>
      </c>
      <c r="J261" s="192">
        <f>SUM(H261,I261)</f>
        <v>449.04</v>
      </c>
    </row>
    <row r="262" spans="1:10" outlineLevel="2">
      <c r="A262" s="191" t="s">
        <v>3121</v>
      </c>
      <c r="B262" s="191" t="s">
        <v>980</v>
      </c>
      <c r="C262" s="191" t="s">
        <v>978</v>
      </c>
      <c r="D262" s="191" t="s">
        <v>3334</v>
      </c>
      <c r="E262" s="191" t="s">
        <v>3464</v>
      </c>
      <c r="F262" s="191" t="s">
        <v>3464</v>
      </c>
      <c r="G262" s="191">
        <v>12</v>
      </c>
      <c r="H262" s="192">
        <v>0</v>
      </c>
      <c r="I262" s="192">
        <v>162.1</v>
      </c>
      <c r="J262" s="192">
        <f>SUM(H262,I262)</f>
        <v>162.1</v>
      </c>
    </row>
    <row r="263" spans="1:10" outlineLevel="2">
      <c r="A263" s="191" t="s">
        <v>3121</v>
      </c>
      <c r="B263" s="191" t="s">
        <v>980</v>
      </c>
      <c r="C263" s="191" t="s">
        <v>978</v>
      </c>
      <c r="D263" s="191" t="s">
        <v>3335</v>
      </c>
      <c r="E263" s="191" t="s">
        <v>2639</v>
      </c>
      <c r="F263" s="191" t="s">
        <v>2639</v>
      </c>
      <c r="G263" s="191">
        <v>8</v>
      </c>
      <c r="H263" s="192">
        <v>0</v>
      </c>
      <c r="I263" s="192">
        <v>108.07</v>
      </c>
      <c r="J263" s="192">
        <f>SUM(H263,I263)</f>
        <v>108.07</v>
      </c>
    </row>
    <row r="264" spans="1:10" outlineLevel="2">
      <c r="A264" s="191" t="s">
        <v>3121</v>
      </c>
      <c r="B264" s="191" t="s">
        <v>980</v>
      </c>
      <c r="C264" s="191" t="s">
        <v>978</v>
      </c>
      <c r="D264" s="191" t="s">
        <v>2346</v>
      </c>
      <c r="E264" s="191" t="s">
        <v>1493</v>
      </c>
      <c r="F264" s="191" t="s">
        <v>2609</v>
      </c>
      <c r="G264" s="191">
        <v>0</v>
      </c>
      <c r="H264" s="192">
        <v>90</v>
      </c>
      <c r="I264" s="192">
        <v>0</v>
      </c>
      <c r="J264" s="192">
        <f>SUM(H264,I264)</f>
        <v>90</v>
      </c>
    </row>
    <row r="265" spans="1:10" outlineLevel="2">
      <c r="A265" s="191" t="s">
        <v>982</v>
      </c>
      <c r="B265" s="191" t="s">
        <v>980</v>
      </c>
      <c r="C265" s="191" t="s">
        <v>978</v>
      </c>
      <c r="D265" s="191" t="s">
        <v>2346</v>
      </c>
      <c r="E265" s="191" t="s">
        <v>2609</v>
      </c>
      <c r="F265" s="191" t="s">
        <v>2609</v>
      </c>
      <c r="G265" s="191">
        <v>12</v>
      </c>
      <c r="H265" s="192">
        <v>90</v>
      </c>
      <c r="I265" s="192">
        <v>219.1</v>
      </c>
      <c r="J265" s="192">
        <f>SUM(H265,I265)</f>
        <v>309.10000000000002</v>
      </c>
    </row>
    <row r="266" spans="1:10" outlineLevel="2">
      <c r="A266" s="191" t="s">
        <v>982</v>
      </c>
      <c r="B266" s="191" t="s">
        <v>980</v>
      </c>
      <c r="C266" s="191" t="s">
        <v>978</v>
      </c>
      <c r="D266" s="191" t="s">
        <v>1815</v>
      </c>
      <c r="E266" s="191" t="s">
        <v>1480</v>
      </c>
      <c r="F266" s="191" t="s">
        <v>1480</v>
      </c>
      <c r="G266" s="191">
        <v>12</v>
      </c>
      <c r="H266" s="192">
        <v>100</v>
      </c>
      <c r="I266" s="192">
        <v>219.1</v>
      </c>
      <c r="J266" s="192">
        <f>SUM(H266,I266)</f>
        <v>319.10000000000002</v>
      </c>
    </row>
    <row r="267" spans="1:10" outlineLevel="2">
      <c r="A267" s="191" t="s">
        <v>3122</v>
      </c>
      <c r="B267" s="191" t="s">
        <v>980</v>
      </c>
      <c r="C267" s="191" t="s">
        <v>978</v>
      </c>
      <c r="D267" s="191" t="s">
        <v>3336</v>
      </c>
      <c r="E267" s="191" t="s">
        <v>2731</v>
      </c>
      <c r="F267" s="191" t="s">
        <v>2606</v>
      </c>
      <c r="G267" s="191">
        <v>21</v>
      </c>
      <c r="H267" s="192">
        <v>100</v>
      </c>
      <c r="I267" s="192">
        <v>308.45999999999998</v>
      </c>
      <c r="J267" s="192">
        <f>SUM(H267,I267)</f>
        <v>408.46</v>
      </c>
    </row>
    <row r="268" spans="1:10" outlineLevel="2">
      <c r="A268" s="191" t="s">
        <v>3122</v>
      </c>
      <c r="B268" s="191" t="s">
        <v>980</v>
      </c>
      <c r="C268" s="191" t="s">
        <v>978</v>
      </c>
      <c r="D268" s="191" t="s">
        <v>3337</v>
      </c>
      <c r="E268" s="191" t="s">
        <v>3458</v>
      </c>
      <c r="F268" s="191" t="s">
        <v>3458</v>
      </c>
      <c r="G268" s="191">
        <v>12</v>
      </c>
      <c r="H268" s="192">
        <v>100</v>
      </c>
      <c r="I268" s="192">
        <v>174.34</v>
      </c>
      <c r="J268" s="192">
        <f>SUM(H268,I268)</f>
        <v>274.34000000000003</v>
      </c>
    </row>
    <row r="269" spans="1:10" outlineLevel="2">
      <c r="A269" s="191" t="s">
        <v>3122</v>
      </c>
      <c r="B269" s="191" t="s">
        <v>980</v>
      </c>
      <c r="C269" s="191" t="s">
        <v>978</v>
      </c>
      <c r="D269" s="191" t="s">
        <v>3337</v>
      </c>
      <c r="E269" s="191" t="s">
        <v>2682</v>
      </c>
      <c r="F269" s="191" t="s">
        <v>2682</v>
      </c>
      <c r="G269" s="191">
        <v>12</v>
      </c>
      <c r="H269" s="192">
        <v>0</v>
      </c>
      <c r="I269" s="192">
        <v>174.34</v>
      </c>
      <c r="J269" s="192">
        <f>SUM(H269,I269)</f>
        <v>174.34</v>
      </c>
    </row>
    <row r="270" spans="1:10" outlineLevel="2">
      <c r="A270" s="191" t="s">
        <v>3122</v>
      </c>
      <c r="B270" s="191" t="s">
        <v>980</v>
      </c>
      <c r="C270" s="191" t="s">
        <v>978</v>
      </c>
      <c r="D270" s="191" t="s">
        <v>3337</v>
      </c>
      <c r="E270" s="191" t="s">
        <v>2603</v>
      </c>
      <c r="F270" s="191" t="s">
        <v>2603</v>
      </c>
      <c r="G270" s="191">
        <v>12</v>
      </c>
      <c r="H270" s="192">
        <v>0</v>
      </c>
      <c r="I270" s="192">
        <v>174.34</v>
      </c>
      <c r="J270" s="192">
        <f>SUM(H270,I270)</f>
        <v>174.34</v>
      </c>
    </row>
    <row r="271" spans="1:10" outlineLevel="2">
      <c r="A271" s="191" t="s">
        <v>3123</v>
      </c>
      <c r="B271" s="191" t="s">
        <v>980</v>
      </c>
      <c r="C271" s="191" t="s">
        <v>978</v>
      </c>
      <c r="D271" s="191" t="s">
        <v>1815</v>
      </c>
      <c r="E271" s="191" t="s">
        <v>1480</v>
      </c>
      <c r="F271" s="191" t="s">
        <v>1480</v>
      </c>
      <c r="G271" s="191">
        <v>7</v>
      </c>
      <c r="H271" s="192">
        <v>0</v>
      </c>
      <c r="I271" s="192">
        <v>130.6</v>
      </c>
      <c r="J271" s="192">
        <f>SUM(H271,I271)</f>
        <v>130.6</v>
      </c>
    </row>
    <row r="272" spans="1:10" outlineLevel="2">
      <c r="A272" s="191" t="s">
        <v>983</v>
      </c>
      <c r="B272" s="191" t="s">
        <v>980</v>
      </c>
      <c r="C272" s="191" t="s">
        <v>978</v>
      </c>
      <c r="D272" s="191" t="s">
        <v>2346</v>
      </c>
      <c r="E272" s="191" t="s">
        <v>1493</v>
      </c>
      <c r="F272" s="191" t="s">
        <v>2609</v>
      </c>
      <c r="G272" s="191">
        <v>0</v>
      </c>
      <c r="H272" s="192">
        <v>90</v>
      </c>
      <c r="I272" s="192">
        <v>0</v>
      </c>
      <c r="J272" s="192">
        <f>SUM(H272,I272)</f>
        <v>90</v>
      </c>
    </row>
    <row r="273" spans="1:10" outlineLevel="2">
      <c r="A273" s="191" t="s">
        <v>3124</v>
      </c>
      <c r="B273" s="191" t="s">
        <v>979</v>
      </c>
      <c r="C273" s="191" t="s">
        <v>978</v>
      </c>
      <c r="D273" s="191" t="s">
        <v>3338</v>
      </c>
      <c r="E273" s="191" t="s">
        <v>1499</v>
      </c>
      <c r="F273" s="191" t="s">
        <v>1499</v>
      </c>
      <c r="G273" s="191">
        <v>7</v>
      </c>
      <c r="H273" s="192">
        <v>55</v>
      </c>
      <c r="I273" s="192">
        <v>46.21</v>
      </c>
      <c r="J273" s="192">
        <f>SUM(H273,I273)</f>
        <v>101.21000000000001</v>
      </c>
    </row>
    <row r="274" spans="1:10" outlineLevel="2">
      <c r="A274" s="191" t="s">
        <v>3124</v>
      </c>
      <c r="B274" s="191" t="s">
        <v>979</v>
      </c>
      <c r="C274" s="191" t="s">
        <v>978</v>
      </c>
      <c r="D274" s="191" t="s">
        <v>3333</v>
      </c>
      <c r="E274" s="191" t="s">
        <v>2650</v>
      </c>
      <c r="F274" s="191" t="s">
        <v>2646</v>
      </c>
      <c r="G274" s="191">
        <v>24</v>
      </c>
      <c r="H274" s="192">
        <v>185</v>
      </c>
      <c r="I274" s="192">
        <v>158.43</v>
      </c>
      <c r="J274" s="192">
        <f>SUM(H274,I274)</f>
        <v>343.43</v>
      </c>
    </row>
    <row r="275" spans="1:10" outlineLevel="2">
      <c r="A275" s="191" t="s">
        <v>3125</v>
      </c>
      <c r="B275" s="191" t="s">
        <v>977</v>
      </c>
      <c r="C275" s="191" t="s">
        <v>978</v>
      </c>
      <c r="D275" s="191" t="s">
        <v>2346</v>
      </c>
      <c r="E275" s="191" t="s">
        <v>1493</v>
      </c>
      <c r="F275" s="191" t="s">
        <v>2609</v>
      </c>
      <c r="G275" s="191">
        <v>14</v>
      </c>
      <c r="H275" s="192">
        <v>0</v>
      </c>
      <c r="I275" s="192">
        <v>86.26</v>
      </c>
      <c r="J275" s="192">
        <f>SUM(H275,I275)</f>
        <v>86.26</v>
      </c>
    </row>
    <row r="276" spans="1:10" outlineLevel="2">
      <c r="A276" s="191" t="s">
        <v>3125</v>
      </c>
      <c r="B276" s="191" t="s">
        <v>977</v>
      </c>
      <c r="C276" s="191" t="s">
        <v>978</v>
      </c>
      <c r="D276" s="191" t="s">
        <v>3339</v>
      </c>
      <c r="E276" s="191" t="s">
        <v>2653</v>
      </c>
      <c r="F276" s="191" t="s">
        <v>2653</v>
      </c>
      <c r="G276" s="191">
        <v>12</v>
      </c>
      <c r="H276" s="192">
        <v>0</v>
      </c>
      <c r="I276" s="192">
        <v>73.94</v>
      </c>
      <c r="J276" s="192">
        <f>SUM(H276,I276)</f>
        <v>73.94</v>
      </c>
    </row>
    <row r="277" spans="1:10" outlineLevel="2">
      <c r="A277" s="191" t="s">
        <v>3125</v>
      </c>
      <c r="B277" s="191" t="s">
        <v>977</v>
      </c>
      <c r="C277" s="191" t="s">
        <v>978</v>
      </c>
      <c r="D277" s="191" t="s">
        <v>3339</v>
      </c>
      <c r="E277" s="191" t="s">
        <v>3465</v>
      </c>
      <c r="F277" s="191" t="s">
        <v>3465</v>
      </c>
      <c r="G277" s="191">
        <v>6</v>
      </c>
      <c r="H277" s="192">
        <v>0</v>
      </c>
      <c r="I277" s="192">
        <v>36.97</v>
      </c>
      <c r="J277" s="192">
        <f>SUM(H277,I277)</f>
        <v>36.97</v>
      </c>
    </row>
    <row r="278" spans="1:10" outlineLevel="2">
      <c r="A278" s="191" t="s">
        <v>3126</v>
      </c>
      <c r="B278" s="191" t="s">
        <v>977</v>
      </c>
      <c r="C278" s="191" t="s">
        <v>978</v>
      </c>
      <c r="D278" s="191" t="s">
        <v>2346</v>
      </c>
      <c r="E278" s="191" t="s">
        <v>1493</v>
      </c>
      <c r="F278" s="191" t="s">
        <v>1493</v>
      </c>
      <c r="G278" s="191">
        <v>4</v>
      </c>
      <c r="H278" s="192">
        <v>0</v>
      </c>
      <c r="I278" s="192">
        <v>24.65</v>
      </c>
      <c r="J278" s="192">
        <f>SUM(H278,I278)</f>
        <v>24.65</v>
      </c>
    </row>
    <row r="279" spans="1:10" outlineLevel="2">
      <c r="A279" s="191" t="s">
        <v>3126</v>
      </c>
      <c r="B279" s="191" t="s">
        <v>977</v>
      </c>
      <c r="C279" s="191" t="s">
        <v>978</v>
      </c>
      <c r="D279" s="191" t="s">
        <v>3339</v>
      </c>
      <c r="E279" s="191" t="s">
        <v>2653</v>
      </c>
      <c r="F279" s="191" t="s">
        <v>3465</v>
      </c>
      <c r="G279" s="191">
        <v>28</v>
      </c>
      <c r="H279" s="192">
        <v>240</v>
      </c>
      <c r="I279" s="192">
        <v>172.52</v>
      </c>
      <c r="J279" s="192">
        <f>SUM(H279,I279)</f>
        <v>412.52</v>
      </c>
    </row>
    <row r="280" spans="1:10" outlineLevel="2">
      <c r="A280" s="191" t="s">
        <v>3127</v>
      </c>
      <c r="B280" s="191" t="s">
        <v>979</v>
      </c>
      <c r="C280" s="191" t="s">
        <v>978</v>
      </c>
      <c r="D280" s="191" t="s">
        <v>3338</v>
      </c>
      <c r="E280" s="191" t="s">
        <v>1499</v>
      </c>
      <c r="F280" s="191" t="s">
        <v>1499</v>
      </c>
      <c r="G280" s="191">
        <v>7</v>
      </c>
      <c r="H280" s="192">
        <v>55</v>
      </c>
      <c r="I280" s="192">
        <v>46.21</v>
      </c>
      <c r="J280" s="192">
        <f>SUM(H280,I280)</f>
        <v>101.21000000000001</v>
      </c>
    </row>
    <row r="281" spans="1:10" outlineLevel="2">
      <c r="A281" s="191" t="s">
        <v>3127</v>
      </c>
      <c r="B281" s="191" t="s">
        <v>979</v>
      </c>
      <c r="C281" s="191" t="s">
        <v>978</v>
      </c>
      <c r="D281" s="191" t="s">
        <v>3333</v>
      </c>
      <c r="E281" s="191" t="s">
        <v>2650</v>
      </c>
      <c r="F281" s="191" t="s">
        <v>2646</v>
      </c>
      <c r="G281" s="191">
        <v>24</v>
      </c>
      <c r="H281" s="192">
        <v>185</v>
      </c>
      <c r="I281" s="192">
        <v>158.43</v>
      </c>
      <c r="J281" s="192">
        <f>SUM(H281,I281)</f>
        <v>343.43</v>
      </c>
    </row>
    <row r="282" spans="1:10" outlineLevel="2">
      <c r="A282" s="191" t="s">
        <v>984</v>
      </c>
      <c r="B282" s="191" t="s">
        <v>979</v>
      </c>
      <c r="C282" s="191" t="s">
        <v>978</v>
      </c>
      <c r="D282" s="191" t="s">
        <v>2346</v>
      </c>
      <c r="E282" s="191" t="s">
        <v>1493</v>
      </c>
      <c r="F282" s="191" t="s">
        <v>2609</v>
      </c>
      <c r="G282" s="191">
        <v>14</v>
      </c>
      <c r="H282" s="192">
        <v>0</v>
      </c>
      <c r="I282" s="192">
        <v>92.42</v>
      </c>
      <c r="J282" s="192">
        <f>SUM(H282,I282)</f>
        <v>92.42</v>
      </c>
    </row>
    <row r="283" spans="1:10" outlineLevel="2">
      <c r="A283" s="191" t="s">
        <v>984</v>
      </c>
      <c r="B283" s="191" t="s">
        <v>979</v>
      </c>
      <c r="C283" s="191" t="s">
        <v>978</v>
      </c>
      <c r="D283" s="191" t="s">
        <v>3333</v>
      </c>
      <c r="E283" s="191" t="s">
        <v>2650</v>
      </c>
      <c r="F283" s="191" t="s">
        <v>2646</v>
      </c>
      <c r="G283" s="191">
        <v>24</v>
      </c>
      <c r="H283" s="192">
        <v>240</v>
      </c>
      <c r="I283" s="192">
        <v>158.43</v>
      </c>
      <c r="J283" s="192">
        <f>SUM(H283,I283)</f>
        <v>398.43</v>
      </c>
    </row>
    <row r="284" spans="1:10" outlineLevel="2">
      <c r="A284" s="191" t="s">
        <v>985</v>
      </c>
      <c r="B284" s="191" t="s">
        <v>980</v>
      </c>
      <c r="C284" s="191" t="s">
        <v>978</v>
      </c>
      <c r="D284" s="191" t="s">
        <v>3340</v>
      </c>
      <c r="E284" s="191" t="s">
        <v>2715</v>
      </c>
      <c r="F284" s="191" t="s">
        <v>3466</v>
      </c>
      <c r="G284" s="191">
        <v>24</v>
      </c>
      <c r="H284" s="192">
        <v>100</v>
      </c>
      <c r="I284" s="192">
        <v>407.86</v>
      </c>
      <c r="J284" s="192">
        <f>SUM(H284,I284)</f>
        <v>507.86</v>
      </c>
    </row>
    <row r="285" spans="1:10" outlineLevel="2">
      <c r="A285" s="191" t="s">
        <v>985</v>
      </c>
      <c r="B285" s="191" t="s">
        <v>980</v>
      </c>
      <c r="C285" s="191" t="s">
        <v>978</v>
      </c>
      <c r="D285" s="191" t="s">
        <v>392</v>
      </c>
      <c r="E285" s="191" t="s">
        <v>2586</v>
      </c>
      <c r="F285" s="191" t="s">
        <v>2586</v>
      </c>
      <c r="G285" s="191">
        <v>0</v>
      </c>
      <c r="H285" s="192">
        <v>100</v>
      </c>
      <c r="I285" s="192">
        <v>0</v>
      </c>
      <c r="J285" s="192">
        <f>SUM(H285,I285)</f>
        <v>100</v>
      </c>
    </row>
    <row r="286" spans="1:10" outlineLevel="2">
      <c r="A286" s="191" t="s">
        <v>985</v>
      </c>
      <c r="B286" s="191" t="s">
        <v>980</v>
      </c>
      <c r="C286" s="191" t="s">
        <v>978</v>
      </c>
      <c r="D286" s="191" t="s">
        <v>1860</v>
      </c>
      <c r="E286" s="191" t="s">
        <v>2725</v>
      </c>
      <c r="F286" s="191" t="s">
        <v>2722</v>
      </c>
      <c r="G286" s="191">
        <v>0</v>
      </c>
      <c r="H286" s="192">
        <v>100</v>
      </c>
      <c r="I286" s="192">
        <v>0</v>
      </c>
      <c r="J286" s="192">
        <f>SUM(H286,I286)</f>
        <v>100</v>
      </c>
    </row>
    <row r="287" spans="1:10" outlineLevel="2">
      <c r="A287" s="191" t="s">
        <v>985</v>
      </c>
      <c r="B287" s="191" t="s">
        <v>980</v>
      </c>
      <c r="C287" s="191" t="s">
        <v>978</v>
      </c>
      <c r="D287" s="191" t="s">
        <v>2347</v>
      </c>
      <c r="E287" s="191" t="s">
        <v>2747</v>
      </c>
      <c r="F287" s="191" t="s">
        <v>2747</v>
      </c>
      <c r="G287" s="191">
        <v>12</v>
      </c>
      <c r="H287" s="192">
        <v>0</v>
      </c>
      <c r="I287" s="192">
        <v>266.19</v>
      </c>
      <c r="J287" s="192">
        <f>SUM(H287,I287)</f>
        <v>266.19</v>
      </c>
    </row>
    <row r="288" spans="1:10" outlineLevel="2">
      <c r="A288" s="191" t="s">
        <v>986</v>
      </c>
      <c r="B288" s="191" t="s">
        <v>874</v>
      </c>
      <c r="C288" s="191" t="s">
        <v>978</v>
      </c>
      <c r="D288" s="191" t="s">
        <v>3341</v>
      </c>
      <c r="E288" s="191" t="s">
        <v>2746</v>
      </c>
      <c r="F288" s="191" t="s">
        <v>2586</v>
      </c>
      <c r="G288" s="191">
        <v>35</v>
      </c>
      <c r="H288" s="192">
        <v>100</v>
      </c>
      <c r="I288" s="192">
        <v>607.1</v>
      </c>
      <c r="J288" s="192">
        <f>SUM(H288,I288)</f>
        <v>707.1</v>
      </c>
    </row>
    <row r="289" spans="1:10" outlineLevel="2">
      <c r="A289" s="191" t="s">
        <v>986</v>
      </c>
      <c r="B289" s="191" t="s">
        <v>874</v>
      </c>
      <c r="C289" s="191" t="s">
        <v>978</v>
      </c>
      <c r="D289" s="191" t="s">
        <v>3265</v>
      </c>
      <c r="E289" s="191" t="s">
        <v>1480</v>
      </c>
      <c r="F289" s="191" t="s">
        <v>1480</v>
      </c>
      <c r="G289" s="191">
        <v>7</v>
      </c>
      <c r="H289" s="192">
        <v>0</v>
      </c>
      <c r="I289" s="192">
        <v>104.94</v>
      </c>
      <c r="J289" s="192">
        <f>SUM(H289,I289)</f>
        <v>104.94</v>
      </c>
    </row>
    <row r="290" spans="1:10" outlineLevel="2">
      <c r="A290" s="191" t="s">
        <v>3128</v>
      </c>
      <c r="B290" s="191" t="s">
        <v>977</v>
      </c>
      <c r="C290" s="191" t="s">
        <v>978</v>
      </c>
      <c r="D290" s="191" t="s">
        <v>2346</v>
      </c>
      <c r="E290" s="191" t="s">
        <v>1493</v>
      </c>
      <c r="F290" s="191" t="s">
        <v>1493</v>
      </c>
      <c r="G290" s="191">
        <v>12</v>
      </c>
      <c r="H290" s="192">
        <v>0</v>
      </c>
      <c r="I290" s="192">
        <v>73.94</v>
      </c>
      <c r="J290" s="192">
        <f>SUM(H290,I290)</f>
        <v>73.94</v>
      </c>
    </row>
    <row r="291" spans="1:10" outlineLevel="2">
      <c r="A291" s="191" t="s">
        <v>3128</v>
      </c>
      <c r="B291" s="191" t="s">
        <v>977</v>
      </c>
      <c r="C291" s="191" t="s">
        <v>978</v>
      </c>
      <c r="D291" s="191" t="s">
        <v>3333</v>
      </c>
      <c r="E291" s="191" t="s">
        <v>2653</v>
      </c>
      <c r="F291" s="191" t="s">
        <v>2653</v>
      </c>
      <c r="G291" s="191" t="s">
        <v>2760</v>
      </c>
      <c r="H291" s="192">
        <v>0</v>
      </c>
      <c r="I291" s="192">
        <v>0</v>
      </c>
      <c r="J291" s="192">
        <f>SUM(H291,I291)</f>
        <v>0</v>
      </c>
    </row>
    <row r="292" spans="1:10" outlineLevel="2">
      <c r="A292" s="191" t="s">
        <v>3128</v>
      </c>
      <c r="B292" s="191" t="s">
        <v>977</v>
      </c>
      <c r="C292" s="191" t="s">
        <v>978</v>
      </c>
      <c r="D292" s="191" t="s">
        <v>3333</v>
      </c>
      <c r="E292" s="191" t="s">
        <v>3465</v>
      </c>
      <c r="F292" s="191" t="s">
        <v>3465</v>
      </c>
      <c r="G292" s="191" t="s">
        <v>2760</v>
      </c>
      <c r="H292" s="192">
        <v>0</v>
      </c>
      <c r="I292" s="192">
        <v>0</v>
      </c>
      <c r="J292" s="192">
        <f>SUM(H292,I292)</f>
        <v>0</v>
      </c>
    </row>
    <row r="293" spans="1:10" outlineLevel="1">
      <c r="A293" s="193" t="s">
        <v>3535</v>
      </c>
      <c r="B293" s="194"/>
      <c r="C293" s="194"/>
      <c r="D293" s="194"/>
      <c r="E293" s="194"/>
      <c r="F293" s="194"/>
      <c r="G293" s="194">
        <f>SUBTOTAL(9,G259:G292)</f>
        <v>398</v>
      </c>
      <c r="H293" s="195">
        <f>SUBTOTAL(9,H259:H292)</f>
        <v>2020</v>
      </c>
      <c r="I293" s="195">
        <f>SUBTOTAL(9,I259:I292)</f>
        <v>4622.8099999999995</v>
      </c>
      <c r="J293" s="195">
        <f>SUBTOTAL(9,J259:J292)</f>
        <v>6642.8099999999995</v>
      </c>
    </row>
    <row r="294" spans="1:10" outlineLevel="2">
      <c r="A294" s="191" t="s">
        <v>1009</v>
      </c>
      <c r="B294" s="191" t="s">
        <v>871</v>
      </c>
      <c r="C294" s="191" t="s">
        <v>1010</v>
      </c>
      <c r="D294" s="191" t="s">
        <v>3375</v>
      </c>
      <c r="E294" s="191" t="s">
        <v>1496</v>
      </c>
      <c r="F294" s="191" t="s">
        <v>1496</v>
      </c>
      <c r="G294" s="191">
        <v>12</v>
      </c>
      <c r="H294" s="192">
        <v>150</v>
      </c>
      <c r="I294" s="192">
        <v>171.31</v>
      </c>
      <c r="J294" s="192">
        <f>SUM(H294,I294)</f>
        <v>321.31</v>
      </c>
    </row>
    <row r="295" spans="1:10" outlineLevel="1">
      <c r="A295" s="193" t="s">
        <v>3536</v>
      </c>
      <c r="B295" s="194"/>
      <c r="C295" s="194"/>
      <c r="D295" s="194"/>
      <c r="E295" s="194"/>
      <c r="F295" s="194"/>
      <c r="G295" s="194">
        <f>SUBTOTAL(9,G294:G294)</f>
        <v>12</v>
      </c>
      <c r="H295" s="195">
        <f>SUBTOTAL(9,H294:H294)</f>
        <v>150</v>
      </c>
      <c r="I295" s="195">
        <f>SUBTOTAL(9,I294:I294)</f>
        <v>171.31</v>
      </c>
      <c r="J295" s="195">
        <f>SUBTOTAL(9,J294:J294)</f>
        <v>321.31</v>
      </c>
    </row>
    <row r="296" spans="1:10" outlineLevel="2">
      <c r="A296" s="191" t="s">
        <v>3152</v>
      </c>
      <c r="B296" s="191" t="s">
        <v>874</v>
      </c>
      <c r="C296" s="191" t="s">
        <v>3500</v>
      </c>
      <c r="D296" s="191" t="s">
        <v>3373</v>
      </c>
      <c r="E296" s="191" t="s">
        <v>2608</v>
      </c>
      <c r="F296" s="191" t="s">
        <v>2608</v>
      </c>
      <c r="G296" s="191">
        <v>7</v>
      </c>
      <c r="H296" s="192">
        <v>0</v>
      </c>
      <c r="I296" s="192">
        <v>132.94</v>
      </c>
      <c r="J296" s="192">
        <f>SUM(H296,I296)</f>
        <v>132.94</v>
      </c>
    </row>
    <row r="297" spans="1:10" outlineLevel="2">
      <c r="A297" s="191" t="s">
        <v>3153</v>
      </c>
      <c r="B297" s="191" t="s">
        <v>871</v>
      </c>
      <c r="C297" s="191" t="s">
        <v>3500</v>
      </c>
      <c r="D297" s="191" t="s">
        <v>3374</v>
      </c>
      <c r="E297" s="191" t="s">
        <v>2608</v>
      </c>
      <c r="F297" s="191" t="s">
        <v>2608</v>
      </c>
      <c r="G297" s="191">
        <v>7</v>
      </c>
      <c r="H297" s="192">
        <v>0</v>
      </c>
      <c r="I297" s="192">
        <v>107.85</v>
      </c>
      <c r="J297" s="192">
        <f>SUM(H297,I297)</f>
        <v>107.85</v>
      </c>
    </row>
    <row r="298" spans="1:10" outlineLevel="2">
      <c r="A298" s="191" t="s">
        <v>1007</v>
      </c>
      <c r="B298" s="191" t="s">
        <v>871</v>
      </c>
      <c r="C298" s="191" t="s">
        <v>3500</v>
      </c>
      <c r="D298" s="191" t="s">
        <v>3375</v>
      </c>
      <c r="E298" s="191" t="s">
        <v>1495</v>
      </c>
      <c r="F298" s="191" t="s">
        <v>1496</v>
      </c>
      <c r="G298" s="191">
        <v>24</v>
      </c>
      <c r="H298" s="192">
        <v>150</v>
      </c>
      <c r="I298" s="192">
        <v>333.09</v>
      </c>
      <c r="J298" s="192">
        <f>SUM(H298,I298)</f>
        <v>483.09</v>
      </c>
    </row>
    <row r="299" spans="1:10" outlineLevel="2">
      <c r="A299" s="191" t="s">
        <v>1008</v>
      </c>
      <c r="B299" s="191" t="s">
        <v>871</v>
      </c>
      <c r="C299" s="191" t="s">
        <v>3500</v>
      </c>
      <c r="D299" s="191" t="s">
        <v>3293</v>
      </c>
      <c r="E299" s="191" t="s">
        <v>1495</v>
      </c>
      <c r="F299" s="191" t="s">
        <v>3474</v>
      </c>
      <c r="G299" s="191">
        <v>0</v>
      </c>
      <c r="H299" s="192">
        <v>100</v>
      </c>
      <c r="I299" s="192">
        <v>0</v>
      </c>
      <c r="J299" s="192">
        <f>SUM(H299,I299)</f>
        <v>100</v>
      </c>
    </row>
    <row r="300" spans="1:10" outlineLevel="1">
      <c r="A300" s="193" t="s">
        <v>3537</v>
      </c>
      <c r="B300" s="194"/>
      <c r="C300" s="194"/>
      <c r="D300" s="194"/>
      <c r="E300" s="194"/>
      <c r="F300" s="194"/>
      <c r="G300" s="194">
        <f>SUBTOTAL(9,G296:G299)</f>
        <v>38</v>
      </c>
      <c r="H300" s="195">
        <f>SUBTOTAL(9,H296:H299)</f>
        <v>250</v>
      </c>
      <c r="I300" s="195">
        <f>SUBTOTAL(9,I296:I299)</f>
        <v>573.88</v>
      </c>
      <c r="J300" s="195">
        <f>SUBTOTAL(9,J296:J299)</f>
        <v>823.88</v>
      </c>
    </row>
    <row r="301" spans="1:10" outlineLevel="2">
      <c r="A301" s="191" t="s">
        <v>960</v>
      </c>
      <c r="B301" s="191" t="s">
        <v>904</v>
      </c>
      <c r="C301" s="191" t="s">
        <v>1011</v>
      </c>
      <c r="D301" s="191" t="s">
        <v>3376</v>
      </c>
      <c r="E301" s="191" t="s">
        <v>3471</v>
      </c>
      <c r="F301" s="191" t="s">
        <v>3471</v>
      </c>
      <c r="G301" s="191">
        <v>12</v>
      </c>
      <c r="H301" s="192">
        <v>100</v>
      </c>
      <c r="I301" s="192">
        <v>166.66</v>
      </c>
      <c r="J301" s="192">
        <f>SUM(H301,I301)</f>
        <v>266.65999999999997</v>
      </c>
    </row>
    <row r="302" spans="1:10" outlineLevel="1">
      <c r="A302" s="193" t="s">
        <v>3538</v>
      </c>
      <c r="B302" s="194"/>
      <c r="C302" s="194"/>
      <c r="D302" s="194"/>
      <c r="E302" s="194"/>
      <c r="F302" s="194"/>
      <c r="G302" s="194">
        <f>SUBTOTAL(9,G301:G301)</f>
        <v>12</v>
      </c>
      <c r="H302" s="195">
        <f>SUBTOTAL(9,H301:H301)</f>
        <v>100</v>
      </c>
      <c r="I302" s="195">
        <f>SUBTOTAL(9,I301:I301)</f>
        <v>166.66</v>
      </c>
      <c r="J302" s="195">
        <f>SUBTOTAL(9,J301:J301)</f>
        <v>266.65999999999997</v>
      </c>
    </row>
    <row r="303" spans="1:10" outlineLevel="2">
      <c r="A303" s="191" t="s">
        <v>998</v>
      </c>
      <c r="B303" s="191" t="s">
        <v>904</v>
      </c>
      <c r="C303" s="191" t="s">
        <v>3491</v>
      </c>
      <c r="D303" s="191" t="s">
        <v>3358</v>
      </c>
      <c r="E303" s="191" t="s">
        <v>2741</v>
      </c>
      <c r="F303" s="191" t="s">
        <v>2741</v>
      </c>
      <c r="G303" s="191">
        <v>7</v>
      </c>
      <c r="H303" s="192">
        <v>0</v>
      </c>
      <c r="I303" s="192">
        <v>132.38</v>
      </c>
      <c r="J303" s="192">
        <f>SUM(H303,I303)</f>
        <v>132.38</v>
      </c>
    </row>
    <row r="304" spans="1:10" outlineLevel="2">
      <c r="A304" s="191" t="s">
        <v>3140</v>
      </c>
      <c r="B304" s="191" t="s">
        <v>871</v>
      </c>
      <c r="C304" s="191" t="s">
        <v>3491</v>
      </c>
      <c r="D304" s="191" t="s">
        <v>3359</v>
      </c>
      <c r="E304" s="191" t="s">
        <v>2727</v>
      </c>
      <c r="F304" s="191" t="s">
        <v>2727</v>
      </c>
      <c r="G304" s="191">
        <v>7</v>
      </c>
      <c r="H304" s="192">
        <v>150</v>
      </c>
      <c r="I304" s="192">
        <v>113.29</v>
      </c>
      <c r="J304" s="192">
        <f>SUM(H304,I304)</f>
        <v>263.29000000000002</v>
      </c>
    </row>
    <row r="305" spans="1:10" outlineLevel="2">
      <c r="A305" s="191" t="s">
        <v>3140</v>
      </c>
      <c r="B305" s="191" t="s">
        <v>871</v>
      </c>
      <c r="C305" s="191" t="s">
        <v>3491</v>
      </c>
      <c r="D305" s="191" t="s">
        <v>3359</v>
      </c>
      <c r="E305" s="191" t="s">
        <v>1483</v>
      </c>
      <c r="F305" s="191" t="s">
        <v>1483</v>
      </c>
      <c r="G305" s="191">
        <v>12</v>
      </c>
      <c r="H305" s="192">
        <v>0</v>
      </c>
      <c r="I305" s="192">
        <v>194.21</v>
      </c>
      <c r="J305" s="192">
        <f>SUM(H305,I305)</f>
        <v>194.21</v>
      </c>
    </row>
    <row r="306" spans="1:10" outlineLevel="2">
      <c r="A306" s="191" t="s">
        <v>3141</v>
      </c>
      <c r="B306" s="191" t="s">
        <v>874</v>
      </c>
      <c r="C306" s="191" t="s">
        <v>3491</v>
      </c>
      <c r="D306" s="191" t="s">
        <v>3360</v>
      </c>
      <c r="E306" s="191" t="s">
        <v>3451</v>
      </c>
      <c r="F306" s="191" t="s">
        <v>3451</v>
      </c>
      <c r="G306" s="191">
        <v>0</v>
      </c>
      <c r="H306" s="192">
        <v>95</v>
      </c>
      <c r="I306" s="192">
        <v>0</v>
      </c>
      <c r="J306" s="192">
        <f>SUM(H306,I306)</f>
        <v>95</v>
      </c>
    </row>
    <row r="307" spans="1:10" outlineLevel="2">
      <c r="A307" s="191" t="s">
        <v>3141</v>
      </c>
      <c r="B307" s="191" t="s">
        <v>874</v>
      </c>
      <c r="C307" s="191" t="s">
        <v>3491</v>
      </c>
      <c r="D307" s="191" t="s">
        <v>3361</v>
      </c>
      <c r="E307" s="191" t="s">
        <v>2703</v>
      </c>
      <c r="F307" s="191" t="s">
        <v>2678</v>
      </c>
      <c r="G307" s="191">
        <v>14</v>
      </c>
      <c r="H307" s="192">
        <v>0</v>
      </c>
      <c r="I307" s="192">
        <v>264.39999999999998</v>
      </c>
      <c r="J307" s="192">
        <f>SUM(H307,I307)</f>
        <v>264.39999999999998</v>
      </c>
    </row>
    <row r="308" spans="1:10" outlineLevel="2">
      <c r="A308" s="191" t="s">
        <v>3142</v>
      </c>
      <c r="B308" s="191" t="s">
        <v>904</v>
      </c>
      <c r="C308" s="191" t="s">
        <v>3491</v>
      </c>
      <c r="D308" s="191" t="s">
        <v>3362</v>
      </c>
      <c r="E308" s="191" t="s">
        <v>3470</v>
      </c>
      <c r="F308" s="191" t="s">
        <v>3470</v>
      </c>
      <c r="G308" s="191">
        <v>12</v>
      </c>
      <c r="H308" s="192">
        <v>70</v>
      </c>
      <c r="I308" s="192">
        <v>150.26</v>
      </c>
      <c r="J308" s="192">
        <f>SUM(H308,I308)</f>
        <v>220.26</v>
      </c>
    </row>
    <row r="309" spans="1:10" outlineLevel="2">
      <c r="A309" s="191" t="s">
        <v>3142</v>
      </c>
      <c r="B309" s="191" t="s">
        <v>904</v>
      </c>
      <c r="C309" s="191" t="s">
        <v>3491</v>
      </c>
      <c r="D309" s="191" t="s">
        <v>3360</v>
      </c>
      <c r="E309" s="191" t="s">
        <v>3451</v>
      </c>
      <c r="F309" s="191" t="s">
        <v>3451</v>
      </c>
      <c r="G309" s="191">
        <v>0</v>
      </c>
      <c r="H309" s="192">
        <v>95</v>
      </c>
      <c r="I309" s="192">
        <v>0</v>
      </c>
      <c r="J309" s="192">
        <f>SUM(H309,I309)</f>
        <v>95</v>
      </c>
    </row>
    <row r="310" spans="1:10" outlineLevel="2">
      <c r="A310" s="191" t="s">
        <v>999</v>
      </c>
      <c r="B310" s="191" t="s">
        <v>904</v>
      </c>
      <c r="C310" s="191" t="s">
        <v>3491</v>
      </c>
      <c r="D310" s="191" t="s">
        <v>1526</v>
      </c>
      <c r="E310" s="191" t="s">
        <v>2616</v>
      </c>
      <c r="F310" s="191" t="s">
        <v>2616</v>
      </c>
      <c r="G310" s="191">
        <v>7</v>
      </c>
      <c r="H310" s="192">
        <v>0</v>
      </c>
      <c r="I310" s="192">
        <v>93.68</v>
      </c>
      <c r="J310" s="192">
        <f>SUM(H310,I310)</f>
        <v>93.68</v>
      </c>
    </row>
    <row r="311" spans="1:10" outlineLevel="2">
      <c r="A311" s="191" t="s">
        <v>999</v>
      </c>
      <c r="B311" s="191" t="s">
        <v>904</v>
      </c>
      <c r="C311" s="191" t="s">
        <v>3491</v>
      </c>
      <c r="D311" s="191" t="s">
        <v>3359</v>
      </c>
      <c r="E311" s="191" t="s">
        <v>2727</v>
      </c>
      <c r="F311" s="191" t="s">
        <v>1483</v>
      </c>
      <c r="G311" s="191">
        <v>24</v>
      </c>
      <c r="H311" s="192">
        <v>150</v>
      </c>
      <c r="I311" s="192">
        <v>314.3</v>
      </c>
      <c r="J311" s="192">
        <f>SUM(H311,I311)</f>
        <v>464.3</v>
      </c>
    </row>
    <row r="312" spans="1:10" outlineLevel="2">
      <c r="A312" s="191" t="s">
        <v>3143</v>
      </c>
      <c r="B312" s="191" t="s">
        <v>871</v>
      </c>
      <c r="C312" s="191" t="s">
        <v>3491</v>
      </c>
      <c r="D312" s="191" t="s">
        <v>3359</v>
      </c>
      <c r="E312" s="191" t="s">
        <v>2704</v>
      </c>
      <c r="F312" s="191" t="s">
        <v>2727</v>
      </c>
      <c r="G312" s="191">
        <v>24</v>
      </c>
      <c r="H312" s="192">
        <v>150</v>
      </c>
      <c r="I312" s="192">
        <v>319.06</v>
      </c>
      <c r="J312" s="192">
        <f>SUM(H312,I312)</f>
        <v>469.06</v>
      </c>
    </row>
    <row r="313" spans="1:10" outlineLevel="1">
      <c r="A313" s="193" t="s">
        <v>3539</v>
      </c>
      <c r="B313" s="194"/>
      <c r="C313" s="194"/>
      <c r="D313" s="194"/>
      <c r="E313" s="194"/>
      <c r="F313" s="194"/>
      <c r="G313" s="194">
        <f>SUBTOTAL(9,G303:G312)</f>
        <v>107</v>
      </c>
      <c r="H313" s="195">
        <f>SUBTOTAL(9,H303:H312)</f>
        <v>710</v>
      </c>
      <c r="I313" s="195">
        <f>SUBTOTAL(9,I303:I312)</f>
        <v>1581.58</v>
      </c>
      <c r="J313" s="195">
        <f>SUBTOTAL(9,J303:J312)</f>
        <v>2291.58</v>
      </c>
    </row>
    <row r="314" spans="1:10" outlineLevel="2">
      <c r="A314" s="191" t="s">
        <v>3129</v>
      </c>
      <c r="B314" s="191" t="s">
        <v>871</v>
      </c>
      <c r="C314" s="191" t="s">
        <v>3490</v>
      </c>
      <c r="D314" s="191" t="s">
        <v>3342</v>
      </c>
      <c r="E314" s="191" t="s">
        <v>2683</v>
      </c>
      <c r="F314" s="191" t="s">
        <v>2683</v>
      </c>
      <c r="G314" s="191">
        <v>12</v>
      </c>
      <c r="H314" s="192">
        <v>0</v>
      </c>
      <c r="I314" s="192">
        <v>157.15</v>
      </c>
      <c r="J314" s="192">
        <f>SUM(H314,I314)</f>
        <v>157.15</v>
      </c>
    </row>
    <row r="315" spans="1:10" outlineLevel="2">
      <c r="A315" s="191" t="s">
        <v>987</v>
      </c>
      <c r="B315" s="191" t="s">
        <v>871</v>
      </c>
      <c r="C315" s="191" t="s">
        <v>3490</v>
      </c>
      <c r="D315" s="191" t="s">
        <v>3343</v>
      </c>
      <c r="E315" s="191" t="s">
        <v>2623</v>
      </c>
      <c r="F315" s="191" t="s">
        <v>2623</v>
      </c>
      <c r="G315" s="191">
        <v>12</v>
      </c>
      <c r="H315" s="192">
        <v>0</v>
      </c>
      <c r="I315" s="192">
        <v>170.93</v>
      </c>
      <c r="J315" s="192">
        <f>SUM(H315,I315)</f>
        <v>170.93</v>
      </c>
    </row>
    <row r="316" spans="1:10" outlineLevel="2">
      <c r="A316" s="191" t="s">
        <v>987</v>
      </c>
      <c r="B316" s="191" t="s">
        <v>871</v>
      </c>
      <c r="C316" s="191" t="s">
        <v>3490</v>
      </c>
      <c r="D316" s="191" t="s">
        <v>3343</v>
      </c>
      <c r="E316" s="191" t="s">
        <v>2596</v>
      </c>
      <c r="F316" s="191" t="s">
        <v>2596</v>
      </c>
      <c r="G316" s="191">
        <v>7</v>
      </c>
      <c r="H316" s="192">
        <v>0</v>
      </c>
      <c r="I316" s="192">
        <v>99.71</v>
      </c>
      <c r="J316" s="192">
        <f>SUM(H316,I316)</f>
        <v>99.71</v>
      </c>
    </row>
    <row r="317" spans="1:10" outlineLevel="2">
      <c r="A317" s="191" t="s">
        <v>987</v>
      </c>
      <c r="B317" s="191" t="s">
        <v>871</v>
      </c>
      <c r="C317" s="191" t="s">
        <v>3490</v>
      </c>
      <c r="D317" s="191" t="s">
        <v>3344</v>
      </c>
      <c r="E317" s="191" t="s">
        <v>2711</v>
      </c>
      <c r="F317" s="191" t="s">
        <v>2711</v>
      </c>
      <c r="G317" s="191">
        <v>7</v>
      </c>
      <c r="H317" s="192">
        <v>0</v>
      </c>
      <c r="I317" s="192">
        <v>93.06</v>
      </c>
      <c r="J317" s="192">
        <f>SUM(H317,I317)</f>
        <v>93.06</v>
      </c>
    </row>
    <row r="318" spans="1:10" outlineLevel="2">
      <c r="A318" s="191" t="s">
        <v>3130</v>
      </c>
      <c r="B318" s="191" t="s">
        <v>871</v>
      </c>
      <c r="C318" s="191" t="s">
        <v>3490</v>
      </c>
      <c r="D318" s="191" t="s">
        <v>3345</v>
      </c>
      <c r="E318" s="191" t="s">
        <v>2600</v>
      </c>
      <c r="F318" s="191" t="s">
        <v>2600</v>
      </c>
      <c r="G318" s="191">
        <v>12</v>
      </c>
      <c r="H318" s="192">
        <v>0</v>
      </c>
      <c r="I318" s="192">
        <v>171.31</v>
      </c>
      <c r="J318" s="192">
        <f>SUM(H318,I318)</f>
        <v>171.31</v>
      </c>
    </row>
    <row r="319" spans="1:10" outlineLevel="2">
      <c r="A319" s="191" t="s">
        <v>3131</v>
      </c>
      <c r="B319" s="191" t="s">
        <v>3132</v>
      </c>
      <c r="C319" s="191" t="s">
        <v>3490</v>
      </c>
      <c r="D319" s="191" t="s">
        <v>3300</v>
      </c>
      <c r="E319" s="191" t="s">
        <v>3467</v>
      </c>
      <c r="F319" s="191" t="s">
        <v>2668</v>
      </c>
      <c r="G319" s="191">
        <v>24</v>
      </c>
      <c r="H319" s="192">
        <v>100</v>
      </c>
      <c r="I319" s="192">
        <v>215.31</v>
      </c>
      <c r="J319" s="192">
        <f>SUM(H319,I319)</f>
        <v>315.31</v>
      </c>
    </row>
    <row r="320" spans="1:10" outlineLevel="2">
      <c r="A320" s="191" t="s">
        <v>3133</v>
      </c>
      <c r="B320" s="191" t="s">
        <v>871</v>
      </c>
      <c r="C320" s="191" t="s">
        <v>3490</v>
      </c>
      <c r="D320" s="191" t="s">
        <v>3342</v>
      </c>
      <c r="E320" s="191" t="s">
        <v>2683</v>
      </c>
      <c r="F320" s="191" t="s">
        <v>2683</v>
      </c>
      <c r="G320" s="191">
        <v>12</v>
      </c>
      <c r="H320" s="192">
        <v>0</v>
      </c>
      <c r="I320" s="192">
        <v>154.77000000000001</v>
      </c>
      <c r="J320" s="192">
        <f>SUM(H320,I320)</f>
        <v>154.77000000000001</v>
      </c>
    </row>
    <row r="321" spans="1:10" outlineLevel="2">
      <c r="A321" s="191" t="s">
        <v>3134</v>
      </c>
      <c r="B321" s="191" t="s">
        <v>871</v>
      </c>
      <c r="C321" s="191" t="s">
        <v>3490</v>
      </c>
      <c r="D321" s="191" t="s">
        <v>2304</v>
      </c>
      <c r="E321" s="191" t="s">
        <v>2646</v>
      </c>
      <c r="F321" s="191" t="s">
        <v>3465</v>
      </c>
      <c r="G321" s="191">
        <v>24</v>
      </c>
      <c r="H321" s="192">
        <v>150</v>
      </c>
      <c r="I321" s="192">
        <v>315.83999999999997</v>
      </c>
      <c r="J321" s="192">
        <f>SUM(H321,I321)</f>
        <v>465.84</v>
      </c>
    </row>
    <row r="322" spans="1:10" outlineLevel="2">
      <c r="A322" s="191" t="s">
        <v>3135</v>
      </c>
      <c r="B322" s="191" t="s">
        <v>977</v>
      </c>
      <c r="C322" s="191" t="s">
        <v>3490</v>
      </c>
      <c r="D322" s="191" t="s">
        <v>2346</v>
      </c>
      <c r="E322" s="191" t="s">
        <v>1493</v>
      </c>
      <c r="F322" s="191" t="s">
        <v>2609</v>
      </c>
      <c r="G322" s="191">
        <v>14</v>
      </c>
      <c r="H322" s="192">
        <v>0</v>
      </c>
      <c r="I322" s="192">
        <v>86.26</v>
      </c>
      <c r="J322" s="192">
        <f>SUM(H322,I322)</f>
        <v>86.26</v>
      </c>
    </row>
    <row r="323" spans="1:10" outlineLevel="2">
      <c r="A323" s="191" t="s">
        <v>3136</v>
      </c>
      <c r="B323" s="191" t="s">
        <v>977</v>
      </c>
      <c r="C323" s="191" t="s">
        <v>3490</v>
      </c>
      <c r="D323" s="191" t="s">
        <v>2346</v>
      </c>
      <c r="E323" s="191" t="s">
        <v>1493</v>
      </c>
      <c r="F323" s="191" t="s">
        <v>2609</v>
      </c>
      <c r="G323" s="191">
        <v>14</v>
      </c>
      <c r="H323" s="192">
        <v>0</v>
      </c>
      <c r="I323" s="192">
        <v>86.26</v>
      </c>
      <c r="J323" s="192">
        <f>SUM(H323,I323)</f>
        <v>86.26</v>
      </c>
    </row>
    <row r="324" spans="1:10" outlineLevel="2">
      <c r="A324" s="191" t="s">
        <v>989</v>
      </c>
      <c r="B324" s="191" t="s">
        <v>977</v>
      </c>
      <c r="C324" s="191" t="s">
        <v>3490</v>
      </c>
      <c r="D324" s="191" t="s">
        <v>3346</v>
      </c>
      <c r="E324" s="191" t="s">
        <v>2652</v>
      </c>
      <c r="F324" s="191" t="s">
        <v>1481</v>
      </c>
      <c r="G324" s="191">
        <v>14</v>
      </c>
      <c r="H324" s="192">
        <v>50</v>
      </c>
      <c r="I324" s="192">
        <v>85.84</v>
      </c>
      <c r="J324" s="192">
        <f>SUM(H324,I324)</f>
        <v>135.84</v>
      </c>
    </row>
    <row r="325" spans="1:10" outlineLevel="2">
      <c r="A325" s="191" t="s">
        <v>989</v>
      </c>
      <c r="B325" s="191" t="s">
        <v>977</v>
      </c>
      <c r="C325" s="191" t="s">
        <v>3490</v>
      </c>
      <c r="D325" s="191" t="s">
        <v>2254</v>
      </c>
      <c r="E325" s="191" t="s">
        <v>2658</v>
      </c>
      <c r="F325" s="191" t="s">
        <v>2658</v>
      </c>
      <c r="G325" s="191">
        <v>5</v>
      </c>
      <c r="H325" s="192">
        <v>0</v>
      </c>
      <c r="I325" s="192">
        <v>30.66</v>
      </c>
      <c r="J325" s="192">
        <f>SUM(H325,I325)</f>
        <v>30.66</v>
      </c>
    </row>
    <row r="326" spans="1:10" outlineLevel="2">
      <c r="A326" s="191" t="s">
        <v>989</v>
      </c>
      <c r="B326" s="191" t="s">
        <v>979</v>
      </c>
      <c r="C326" s="191" t="s">
        <v>3490</v>
      </c>
      <c r="D326" s="191" t="s">
        <v>3308</v>
      </c>
      <c r="E326" s="191" t="s">
        <v>3468</v>
      </c>
      <c r="F326" s="191" t="s">
        <v>3468</v>
      </c>
      <c r="G326" s="191">
        <v>12</v>
      </c>
      <c r="H326" s="192">
        <v>190</v>
      </c>
      <c r="I326" s="192">
        <v>77.78</v>
      </c>
      <c r="J326" s="192">
        <f>SUM(H326,I326)</f>
        <v>267.77999999999997</v>
      </c>
    </row>
    <row r="327" spans="1:10" outlineLevel="2">
      <c r="A327" s="191" t="s">
        <v>990</v>
      </c>
      <c r="B327" s="191" t="s">
        <v>871</v>
      </c>
      <c r="C327" s="191" t="s">
        <v>3490</v>
      </c>
      <c r="D327" s="191" t="s">
        <v>3343</v>
      </c>
      <c r="E327" s="191" t="s">
        <v>2652</v>
      </c>
      <c r="F327" s="191" t="s">
        <v>2652</v>
      </c>
      <c r="G327" s="191">
        <v>7</v>
      </c>
      <c r="H327" s="192">
        <v>0</v>
      </c>
      <c r="I327" s="192">
        <v>89.04</v>
      </c>
      <c r="J327" s="192">
        <f>SUM(H327,I327)</f>
        <v>89.04</v>
      </c>
    </row>
    <row r="328" spans="1:10" outlineLevel="2">
      <c r="A328" s="191" t="s">
        <v>990</v>
      </c>
      <c r="B328" s="191" t="s">
        <v>871</v>
      </c>
      <c r="C328" s="191" t="s">
        <v>3490</v>
      </c>
      <c r="D328" s="191" t="s">
        <v>3343</v>
      </c>
      <c r="E328" s="191" t="s">
        <v>1481</v>
      </c>
      <c r="F328" s="191" t="s">
        <v>1481</v>
      </c>
      <c r="G328" s="191">
        <v>12</v>
      </c>
      <c r="H328" s="192">
        <v>0</v>
      </c>
      <c r="I328" s="192">
        <v>152.63999999999999</v>
      </c>
      <c r="J328" s="192">
        <f>SUM(H328,I328)</f>
        <v>152.63999999999999</v>
      </c>
    </row>
    <row r="329" spans="1:10" outlineLevel="2">
      <c r="A329" s="191" t="s">
        <v>990</v>
      </c>
      <c r="B329" s="191" t="s">
        <v>871</v>
      </c>
      <c r="C329" s="191" t="s">
        <v>3490</v>
      </c>
      <c r="D329" s="191" t="s">
        <v>3300</v>
      </c>
      <c r="E329" s="191" t="s">
        <v>2668</v>
      </c>
      <c r="F329" s="191" t="s">
        <v>2668</v>
      </c>
      <c r="G329" s="191">
        <v>7</v>
      </c>
      <c r="H329" s="192">
        <v>0</v>
      </c>
      <c r="I329" s="192">
        <v>91.67</v>
      </c>
      <c r="J329" s="192">
        <f>SUM(H329,I329)</f>
        <v>91.67</v>
      </c>
    </row>
    <row r="330" spans="1:10" outlineLevel="2">
      <c r="A330" s="191" t="s">
        <v>991</v>
      </c>
      <c r="B330" s="191" t="s">
        <v>871</v>
      </c>
      <c r="C330" s="191" t="s">
        <v>3490</v>
      </c>
      <c r="D330" s="191" t="s">
        <v>3347</v>
      </c>
      <c r="E330" s="191" t="s">
        <v>2600</v>
      </c>
      <c r="F330" s="191" t="s">
        <v>2600</v>
      </c>
      <c r="G330" s="191">
        <v>12</v>
      </c>
      <c r="H330" s="192">
        <v>0</v>
      </c>
      <c r="I330" s="192">
        <v>187.95</v>
      </c>
      <c r="J330" s="192">
        <f>SUM(H330,I330)</f>
        <v>187.95</v>
      </c>
    </row>
    <row r="331" spans="1:10" outlineLevel="2">
      <c r="A331" s="191" t="s">
        <v>992</v>
      </c>
      <c r="B331" s="191" t="s">
        <v>979</v>
      </c>
      <c r="C331" s="191" t="s">
        <v>3490</v>
      </c>
      <c r="D331" s="191" t="s">
        <v>2254</v>
      </c>
      <c r="E331" s="191" t="s">
        <v>2658</v>
      </c>
      <c r="F331" s="191" t="s">
        <v>2658</v>
      </c>
      <c r="G331" s="191">
        <v>7</v>
      </c>
      <c r="H331" s="192">
        <v>0</v>
      </c>
      <c r="I331" s="192">
        <v>45.98</v>
      </c>
      <c r="J331" s="192">
        <f>SUM(H331,I331)</f>
        <v>45.98</v>
      </c>
    </row>
    <row r="332" spans="1:10" outlineLevel="2">
      <c r="A332" s="191" t="s">
        <v>992</v>
      </c>
      <c r="B332" s="191" t="s">
        <v>979</v>
      </c>
      <c r="C332" s="191" t="s">
        <v>3490</v>
      </c>
      <c r="D332" s="191" t="s">
        <v>3348</v>
      </c>
      <c r="E332" s="191" t="s">
        <v>2719</v>
      </c>
      <c r="F332" s="191" t="s">
        <v>2608</v>
      </c>
      <c r="G332" s="191">
        <v>0</v>
      </c>
      <c r="H332" s="192">
        <v>190</v>
      </c>
      <c r="I332" s="192">
        <v>0</v>
      </c>
      <c r="J332" s="192">
        <f>SUM(H332,I332)</f>
        <v>190</v>
      </c>
    </row>
    <row r="333" spans="1:10" outlineLevel="2">
      <c r="A333" s="191" t="s">
        <v>993</v>
      </c>
      <c r="B333" s="191" t="s">
        <v>977</v>
      </c>
      <c r="C333" s="191" t="s">
        <v>3490</v>
      </c>
      <c r="D333" s="191" t="s">
        <v>3349</v>
      </c>
      <c r="E333" s="191" t="s">
        <v>2658</v>
      </c>
      <c r="F333" s="191" t="s">
        <v>2658</v>
      </c>
      <c r="G333" s="191">
        <v>7</v>
      </c>
      <c r="H333" s="192">
        <v>0</v>
      </c>
      <c r="I333" s="192">
        <v>42.92</v>
      </c>
      <c r="J333" s="192">
        <f>SUM(H333,I333)</f>
        <v>42.92</v>
      </c>
    </row>
    <row r="334" spans="1:10" outlineLevel="2">
      <c r="A334" s="191" t="s">
        <v>993</v>
      </c>
      <c r="B334" s="191" t="s">
        <v>979</v>
      </c>
      <c r="C334" s="191" t="s">
        <v>3490</v>
      </c>
      <c r="D334" s="191" t="s">
        <v>3308</v>
      </c>
      <c r="E334" s="191" t="s">
        <v>2639</v>
      </c>
      <c r="F334" s="191" t="s">
        <v>2608</v>
      </c>
      <c r="G334" s="191">
        <v>24</v>
      </c>
      <c r="H334" s="192">
        <v>225</v>
      </c>
      <c r="I334" s="192">
        <v>155.55000000000001</v>
      </c>
      <c r="J334" s="192">
        <f>SUM(H334,I334)</f>
        <v>380.55</v>
      </c>
    </row>
    <row r="335" spans="1:10" outlineLevel="2">
      <c r="A335" s="191" t="s">
        <v>3137</v>
      </c>
      <c r="B335" s="191" t="s">
        <v>871</v>
      </c>
      <c r="C335" s="191" t="s">
        <v>3490</v>
      </c>
      <c r="D335" s="191" t="s">
        <v>3342</v>
      </c>
      <c r="E335" s="191" t="s">
        <v>2683</v>
      </c>
      <c r="F335" s="191" t="s">
        <v>2683</v>
      </c>
      <c r="G335" s="191">
        <v>12</v>
      </c>
      <c r="H335" s="192">
        <v>0</v>
      </c>
      <c r="I335" s="192">
        <v>168.93</v>
      </c>
      <c r="J335" s="192">
        <f>SUM(H335,I335)</f>
        <v>168.93</v>
      </c>
    </row>
    <row r="336" spans="1:10" outlineLevel="2">
      <c r="A336" s="191" t="s">
        <v>3138</v>
      </c>
      <c r="B336" s="191" t="s">
        <v>871</v>
      </c>
      <c r="C336" s="191" t="s">
        <v>3490</v>
      </c>
      <c r="D336" s="191" t="s">
        <v>3350</v>
      </c>
      <c r="E336" s="191" t="s">
        <v>2658</v>
      </c>
      <c r="F336" s="191" t="s">
        <v>2658</v>
      </c>
      <c r="G336" s="191">
        <v>7</v>
      </c>
      <c r="H336" s="192">
        <v>0</v>
      </c>
      <c r="I336" s="192">
        <v>118.46</v>
      </c>
      <c r="J336" s="192">
        <f>SUM(H336,I336)</f>
        <v>118.46</v>
      </c>
    </row>
    <row r="337" spans="1:10" outlineLevel="2">
      <c r="A337" s="191" t="s">
        <v>929</v>
      </c>
      <c r="B337" s="191" t="s">
        <v>871</v>
      </c>
      <c r="C337" s="191" t="s">
        <v>3490</v>
      </c>
      <c r="D337" s="191" t="s">
        <v>3300</v>
      </c>
      <c r="E337" s="191" t="s">
        <v>2668</v>
      </c>
      <c r="F337" s="191" t="s">
        <v>2669</v>
      </c>
      <c r="G337" s="191">
        <v>21</v>
      </c>
      <c r="H337" s="192">
        <v>100</v>
      </c>
      <c r="I337" s="192">
        <v>326.16000000000003</v>
      </c>
      <c r="J337" s="192">
        <f>SUM(H337,I337)</f>
        <v>426.16</v>
      </c>
    </row>
    <row r="338" spans="1:10" outlineLevel="2">
      <c r="A338" s="191" t="s">
        <v>929</v>
      </c>
      <c r="B338" s="191" t="s">
        <v>871</v>
      </c>
      <c r="C338" s="191" t="s">
        <v>3490</v>
      </c>
      <c r="D338" s="191" t="s">
        <v>3342</v>
      </c>
      <c r="E338" s="191" t="s">
        <v>2683</v>
      </c>
      <c r="F338" s="191" t="s">
        <v>2683</v>
      </c>
      <c r="G338" s="191">
        <v>7</v>
      </c>
      <c r="H338" s="192">
        <v>0</v>
      </c>
      <c r="I338" s="192">
        <v>108.72</v>
      </c>
      <c r="J338" s="192">
        <f>SUM(H338,I338)</f>
        <v>108.72</v>
      </c>
    </row>
    <row r="339" spans="1:10" outlineLevel="2">
      <c r="A339" s="191" t="s">
        <v>929</v>
      </c>
      <c r="B339" s="191" t="s">
        <v>871</v>
      </c>
      <c r="C339" s="191" t="s">
        <v>3490</v>
      </c>
      <c r="D339" s="191" t="s">
        <v>3351</v>
      </c>
      <c r="E339" s="191" t="s">
        <v>3469</v>
      </c>
      <c r="F339" s="191" t="s">
        <v>3469</v>
      </c>
      <c r="G339" s="191">
        <v>7</v>
      </c>
      <c r="H339" s="192">
        <v>0</v>
      </c>
      <c r="I339" s="192">
        <v>108.72</v>
      </c>
      <c r="J339" s="192">
        <f>SUM(H339,I339)</f>
        <v>108.72</v>
      </c>
    </row>
    <row r="340" spans="1:10" outlineLevel="2">
      <c r="A340" s="191" t="s">
        <v>929</v>
      </c>
      <c r="B340" s="191" t="s">
        <v>871</v>
      </c>
      <c r="C340" s="191" t="s">
        <v>3490</v>
      </c>
      <c r="D340" s="191" t="s">
        <v>3352</v>
      </c>
      <c r="E340" s="191" t="s">
        <v>2615</v>
      </c>
      <c r="F340" s="191" t="s">
        <v>2615</v>
      </c>
      <c r="G340" s="191">
        <v>7</v>
      </c>
      <c r="H340" s="192">
        <v>0</v>
      </c>
      <c r="I340" s="192">
        <v>109.26</v>
      </c>
      <c r="J340" s="192">
        <f>SUM(H340,I340)</f>
        <v>109.26</v>
      </c>
    </row>
    <row r="341" spans="1:10" outlineLevel="2">
      <c r="A341" s="191" t="s">
        <v>929</v>
      </c>
      <c r="B341" s="191" t="s">
        <v>871</v>
      </c>
      <c r="C341" s="191" t="s">
        <v>3490</v>
      </c>
      <c r="D341" s="191" t="s">
        <v>3353</v>
      </c>
      <c r="E341" s="191" t="s">
        <v>2721</v>
      </c>
      <c r="F341" s="191" t="s">
        <v>2718</v>
      </c>
      <c r="G341" s="191">
        <v>14</v>
      </c>
      <c r="H341" s="192">
        <v>0</v>
      </c>
      <c r="I341" s="192">
        <v>218.52</v>
      </c>
      <c r="J341" s="192">
        <f>SUM(H341,I341)</f>
        <v>218.52</v>
      </c>
    </row>
    <row r="342" spans="1:10" outlineLevel="2">
      <c r="A342" s="191" t="s">
        <v>929</v>
      </c>
      <c r="B342" s="191" t="s">
        <v>871</v>
      </c>
      <c r="C342" s="191" t="s">
        <v>3490</v>
      </c>
      <c r="D342" s="191" t="s">
        <v>3302</v>
      </c>
      <c r="E342" s="191" t="s">
        <v>1490</v>
      </c>
      <c r="F342" s="191" t="s">
        <v>1490</v>
      </c>
      <c r="G342" s="191">
        <v>0</v>
      </c>
      <c r="H342" s="192">
        <v>100</v>
      </c>
      <c r="I342" s="192">
        <v>0</v>
      </c>
      <c r="J342" s="192">
        <f>SUM(H342,I342)</f>
        <v>100</v>
      </c>
    </row>
    <row r="343" spans="1:10" outlineLevel="2">
      <c r="A343" s="191" t="s">
        <v>929</v>
      </c>
      <c r="B343" s="191" t="s">
        <v>871</v>
      </c>
      <c r="C343" s="191" t="s">
        <v>3490</v>
      </c>
      <c r="D343" s="191" t="s">
        <v>3354</v>
      </c>
      <c r="E343" s="191" t="s">
        <v>2662</v>
      </c>
      <c r="F343" s="191" t="s">
        <v>2663</v>
      </c>
      <c r="G343" s="191">
        <v>14</v>
      </c>
      <c r="H343" s="192">
        <v>0</v>
      </c>
      <c r="I343" s="192">
        <v>283.72000000000003</v>
      </c>
      <c r="J343" s="192">
        <f>SUM(H343,I343)</f>
        <v>283.72000000000003</v>
      </c>
    </row>
    <row r="344" spans="1:10" outlineLevel="2">
      <c r="A344" s="191" t="s">
        <v>994</v>
      </c>
      <c r="B344" s="191" t="s">
        <v>871</v>
      </c>
      <c r="C344" s="191" t="s">
        <v>3490</v>
      </c>
      <c r="D344" s="191" t="s">
        <v>3355</v>
      </c>
      <c r="E344" s="191" t="s">
        <v>2668</v>
      </c>
      <c r="F344" s="191" t="s">
        <v>2693</v>
      </c>
      <c r="G344" s="191">
        <v>0</v>
      </c>
      <c r="H344" s="192">
        <v>100</v>
      </c>
      <c r="I344" s="192">
        <v>0</v>
      </c>
      <c r="J344" s="192">
        <f>SUM(H344,I344)</f>
        <v>100</v>
      </c>
    </row>
    <row r="345" spans="1:10" outlineLevel="2">
      <c r="A345" s="191" t="s">
        <v>995</v>
      </c>
      <c r="B345" s="191" t="s">
        <v>979</v>
      </c>
      <c r="C345" s="191" t="s">
        <v>3490</v>
      </c>
      <c r="D345" s="191" t="s">
        <v>2254</v>
      </c>
      <c r="E345" s="191" t="s">
        <v>2627</v>
      </c>
      <c r="F345" s="191" t="s">
        <v>2627</v>
      </c>
      <c r="G345" s="191">
        <v>12</v>
      </c>
      <c r="H345" s="192">
        <v>0</v>
      </c>
      <c r="I345" s="192">
        <v>78.819999999999993</v>
      </c>
      <c r="J345" s="192">
        <f>SUM(H345,I345)</f>
        <v>78.819999999999993</v>
      </c>
    </row>
    <row r="346" spans="1:10" outlineLevel="2">
      <c r="A346" s="191" t="s">
        <v>995</v>
      </c>
      <c r="B346" s="191" t="s">
        <v>979</v>
      </c>
      <c r="C346" s="191" t="s">
        <v>3490</v>
      </c>
      <c r="D346" s="191" t="s">
        <v>3356</v>
      </c>
      <c r="E346" s="191" t="s">
        <v>2599</v>
      </c>
      <c r="F346" s="191" t="s">
        <v>2599</v>
      </c>
      <c r="G346" s="191">
        <v>10</v>
      </c>
      <c r="H346" s="192">
        <v>0</v>
      </c>
      <c r="I346" s="192">
        <v>65.69</v>
      </c>
      <c r="J346" s="192">
        <f>SUM(H346,I346)</f>
        <v>65.69</v>
      </c>
    </row>
    <row r="347" spans="1:10" outlineLevel="2">
      <c r="A347" s="191" t="s">
        <v>3139</v>
      </c>
      <c r="B347" s="191" t="s">
        <v>3132</v>
      </c>
      <c r="C347" s="191" t="s">
        <v>3490</v>
      </c>
      <c r="D347" s="191" t="s">
        <v>3300</v>
      </c>
      <c r="E347" s="191" t="s">
        <v>2669</v>
      </c>
      <c r="F347" s="191" t="s">
        <v>2669</v>
      </c>
      <c r="G347" s="191">
        <v>12</v>
      </c>
      <c r="H347" s="192">
        <v>100</v>
      </c>
      <c r="I347" s="192">
        <v>123.26</v>
      </c>
      <c r="J347" s="192">
        <f>SUM(H347,I347)</f>
        <v>223.26</v>
      </c>
    </row>
    <row r="348" spans="1:10" outlineLevel="2">
      <c r="A348" s="191" t="s">
        <v>996</v>
      </c>
      <c r="B348" s="191" t="s">
        <v>871</v>
      </c>
      <c r="C348" s="191" t="s">
        <v>3490</v>
      </c>
      <c r="D348" s="191" t="s">
        <v>3300</v>
      </c>
      <c r="E348" s="191" t="s">
        <v>3467</v>
      </c>
      <c r="F348" s="191" t="s">
        <v>3467</v>
      </c>
      <c r="G348" s="191">
        <v>12</v>
      </c>
      <c r="H348" s="192">
        <v>100</v>
      </c>
      <c r="I348" s="192">
        <v>166.54</v>
      </c>
      <c r="J348" s="192">
        <f>SUM(H348,I348)</f>
        <v>266.53999999999996</v>
      </c>
    </row>
    <row r="349" spans="1:10" outlineLevel="2">
      <c r="A349" s="191" t="s">
        <v>996</v>
      </c>
      <c r="B349" s="191" t="s">
        <v>871</v>
      </c>
      <c r="C349" s="191" t="s">
        <v>3490</v>
      </c>
      <c r="D349" s="191" t="s">
        <v>3357</v>
      </c>
      <c r="E349" s="191" t="s">
        <v>2590</v>
      </c>
      <c r="F349" s="191" t="s">
        <v>2590</v>
      </c>
      <c r="G349" s="191">
        <v>12</v>
      </c>
      <c r="H349" s="192">
        <v>0</v>
      </c>
      <c r="I349" s="192">
        <v>167.37</v>
      </c>
      <c r="J349" s="192">
        <f>SUM(H349,I349)</f>
        <v>167.37</v>
      </c>
    </row>
    <row r="350" spans="1:10" outlineLevel="2">
      <c r="A350" s="191" t="s">
        <v>997</v>
      </c>
      <c r="B350" s="191" t="s">
        <v>871</v>
      </c>
      <c r="C350" s="191" t="s">
        <v>3490</v>
      </c>
      <c r="D350" s="191" t="s">
        <v>3267</v>
      </c>
      <c r="E350" s="191" t="s">
        <v>2658</v>
      </c>
      <c r="F350" s="191" t="s">
        <v>2658</v>
      </c>
      <c r="G350" s="191">
        <v>7</v>
      </c>
      <c r="H350" s="192">
        <v>0</v>
      </c>
      <c r="I350" s="192">
        <v>111.59</v>
      </c>
      <c r="J350" s="192">
        <f>SUM(H350,I350)</f>
        <v>111.59</v>
      </c>
    </row>
    <row r="351" spans="1:10" outlineLevel="2">
      <c r="A351" s="191" t="s">
        <v>997</v>
      </c>
      <c r="B351" s="191" t="s">
        <v>871</v>
      </c>
      <c r="C351" s="191" t="s">
        <v>3490</v>
      </c>
      <c r="D351" s="191" t="s">
        <v>3300</v>
      </c>
      <c r="E351" s="191" t="s">
        <v>2668</v>
      </c>
      <c r="F351" s="191" t="s">
        <v>2669</v>
      </c>
      <c r="G351" s="191">
        <v>21</v>
      </c>
      <c r="H351" s="192">
        <v>100</v>
      </c>
      <c r="I351" s="192">
        <v>334.77</v>
      </c>
      <c r="J351" s="192">
        <f>SUM(H351,I351)</f>
        <v>434.77</v>
      </c>
    </row>
    <row r="352" spans="1:10" outlineLevel="1">
      <c r="A352" s="193" t="s">
        <v>3540</v>
      </c>
      <c r="B352" s="194"/>
      <c r="C352" s="194"/>
      <c r="D352" s="194"/>
      <c r="E352" s="194"/>
      <c r="F352" s="194"/>
      <c r="G352" s="194">
        <f>SUBTOTAL(9,G314:G351)</f>
        <v>420</v>
      </c>
      <c r="H352" s="195">
        <f>SUBTOTAL(9,H314:H351)</f>
        <v>1505</v>
      </c>
      <c r="I352" s="195">
        <f>SUBTOTAL(9,I314:I351)</f>
        <v>5001.16</v>
      </c>
      <c r="J352" s="195">
        <f>SUBTOTAL(9,J314:J351)</f>
        <v>6506.1600000000017</v>
      </c>
    </row>
    <row r="353" spans="1:10" outlineLevel="2">
      <c r="A353" s="191" t="s">
        <v>1001</v>
      </c>
      <c r="B353" s="191" t="s">
        <v>896</v>
      </c>
      <c r="C353" s="191" t="s">
        <v>3492</v>
      </c>
      <c r="D353" s="191" t="s">
        <v>3363</v>
      </c>
      <c r="E353" s="191" t="s">
        <v>2593</v>
      </c>
      <c r="F353" s="191" t="s">
        <v>2593</v>
      </c>
      <c r="G353" s="191">
        <v>12</v>
      </c>
      <c r="H353" s="192">
        <v>100</v>
      </c>
      <c r="I353" s="192">
        <v>98.85</v>
      </c>
      <c r="J353" s="192">
        <f>SUM(H353,I353)</f>
        <v>198.85</v>
      </c>
    </row>
    <row r="354" spans="1:10" outlineLevel="1">
      <c r="A354" s="193" t="s">
        <v>3541</v>
      </c>
      <c r="B354" s="194"/>
      <c r="C354" s="194"/>
      <c r="D354" s="194"/>
      <c r="E354" s="194"/>
      <c r="F354" s="194"/>
      <c r="G354" s="194">
        <f>SUBTOTAL(9,G353:G353)</f>
        <v>12</v>
      </c>
      <c r="H354" s="195">
        <f>SUBTOTAL(9,H353:H353)</f>
        <v>100</v>
      </c>
      <c r="I354" s="195">
        <f>SUBTOTAL(9,I353:I353)</f>
        <v>98.85</v>
      </c>
      <c r="J354" s="195">
        <f>SUBTOTAL(9,J353:J353)</f>
        <v>198.85</v>
      </c>
    </row>
    <row r="355" spans="1:10" outlineLevel="2">
      <c r="A355" s="191" t="s">
        <v>1013</v>
      </c>
      <c r="B355" s="191" t="s">
        <v>871</v>
      </c>
      <c r="C355" s="191" t="s">
        <v>1012</v>
      </c>
      <c r="D355" s="191" t="s">
        <v>3366</v>
      </c>
      <c r="E355" s="191" t="s">
        <v>2680</v>
      </c>
      <c r="F355" s="191" t="s">
        <v>2680</v>
      </c>
      <c r="G355" s="191">
        <v>7</v>
      </c>
      <c r="H355" s="192">
        <v>0</v>
      </c>
      <c r="I355" s="192">
        <v>94.98</v>
      </c>
      <c r="J355" s="192">
        <f>SUM(H355,I355)</f>
        <v>94.98</v>
      </c>
    </row>
    <row r="356" spans="1:10" outlineLevel="2">
      <c r="A356" s="191" t="s">
        <v>1013</v>
      </c>
      <c r="B356" s="191" t="s">
        <v>871</v>
      </c>
      <c r="C356" s="191" t="s">
        <v>1012</v>
      </c>
      <c r="D356" s="191" t="s">
        <v>1556</v>
      </c>
      <c r="E356" s="191" t="s">
        <v>2633</v>
      </c>
      <c r="F356" s="191" t="s">
        <v>2633</v>
      </c>
      <c r="G356" s="191">
        <v>7</v>
      </c>
      <c r="H356" s="192">
        <v>0</v>
      </c>
      <c r="I356" s="192">
        <v>94.98</v>
      </c>
      <c r="J356" s="192">
        <f>SUM(H356,I356)</f>
        <v>94.98</v>
      </c>
    </row>
    <row r="357" spans="1:10" outlineLevel="2">
      <c r="A357" s="191" t="s">
        <v>3154</v>
      </c>
      <c r="B357" s="191" t="s">
        <v>896</v>
      </c>
      <c r="C357" s="191" t="s">
        <v>1012</v>
      </c>
      <c r="D357" s="191" t="s">
        <v>3377</v>
      </c>
      <c r="E357" s="191" t="s">
        <v>2590</v>
      </c>
      <c r="F357" s="191" t="s">
        <v>3475</v>
      </c>
      <c r="G357" s="191">
        <v>0</v>
      </c>
      <c r="H357" s="192">
        <v>100</v>
      </c>
      <c r="I357" s="192">
        <v>0</v>
      </c>
      <c r="J357" s="192">
        <f>SUM(H357,I357)</f>
        <v>100</v>
      </c>
    </row>
    <row r="358" spans="1:10" outlineLevel="2">
      <c r="A358" s="191" t="s">
        <v>1015</v>
      </c>
      <c r="B358" s="191" t="s">
        <v>871</v>
      </c>
      <c r="C358" s="191" t="s">
        <v>1012</v>
      </c>
      <c r="D358" s="191" t="s">
        <v>3377</v>
      </c>
      <c r="E358" s="191" t="s">
        <v>2601</v>
      </c>
      <c r="F358" s="191" t="s">
        <v>2590</v>
      </c>
      <c r="G358" s="191">
        <v>14</v>
      </c>
      <c r="H358" s="192">
        <v>0</v>
      </c>
      <c r="I358" s="192">
        <v>250.94</v>
      </c>
      <c r="J358" s="192">
        <f>SUM(H358,I358)</f>
        <v>250.94</v>
      </c>
    </row>
    <row r="359" spans="1:10" outlineLevel="2">
      <c r="A359" s="191" t="s">
        <v>1015</v>
      </c>
      <c r="B359" s="191" t="s">
        <v>871</v>
      </c>
      <c r="C359" s="191" t="s">
        <v>1012</v>
      </c>
      <c r="D359" s="191" t="s">
        <v>3378</v>
      </c>
      <c r="E359" s="191" t="s">
        <v>2680</v>
      </c>
      <c r="F359" s="191" t="s">
        <v>2680</v>
      </c>
      <c r="G359" s="191">
        <v>7</v>
      </c>
      <c r="H359" s="192">
        <v>0</v>
      </c>
      <c r="I359" s="192">
        <v>125.47</v>
      </c>
      <c r="J359" s="192">
        <f>SUM(H359,I359)</f>
        <v>125.47</v>
      </c>
    </row>
    <row r="360" spans="1:10" outlineLevel="2">
      <c r="A360" s="191" t="s">
        <v>1016</v>
      </c>
      <c r="B360" s="191" t="s">
        <v>871</v>
      </c>
      <c r="C360" s="191" t="s">
        <v>1012</v>
      </c>
      <c r="D360" s="191" t="s">
        <v>3377</v>
      </c>
      <c r="E360" s="191" t="s">
        <v>2601</v>
      </c>
      <c r="F360" s="191" t="s">
        <v>2590</v>
      </c>
      <c r="G360" s="191">
        <v>14</v>
      </c>
      <c r="H360" s="192">
        <v>150</v>
      </c>
      <c r="I360" s="192">
        <v>195.54</v>
      </c>
      <c r="J360" s="192">
        <f>SUM(H360,I360)</f>
        <v>345.53999999999996</v>
      </c>
    </row>
    <row r="361" spans="1:10" outlineLevel="2">
      <c r="A361" s="191" t="s">
        <v>3155</v>
      </c>
      <c r="B361" s="191" t="s">
        <v>896</v>
      </c>
      <c r="C361" s="191" t="s">
        <v>1012</v>
      </c>
      <c r="D361" s="191" t="s">
        <v>3377</v>
      </c>
      <c r="E361" s="191" t="s">
        <v>2590</v>
      </c>
      <c r="F361" s="191" t="s">
        <v>3475</v>
      </c>
      <c r="G361" s="191">
        <v>0</v>
      </c>
      <c r="H361" s="192">
        <v>100</v>
      </c>
      <c r="I361" s="192">
        <v>0</v>
      </c>
      <c r="J361" s="192">
        <f>SUM(H361,I361)</f>
        <v>100</v>
      </c>
    </row>
    <row r="362" spans="1:10" outlineLevel="2">
      <c r="A362" s="191" t="s">
        <v>3156</v>
      </c>
      <c r="B362" s="191" t="s">
        <v>871</v>
      </c>
      <c r="C362" s="191" t="s">
        <v>1012</v>
      </c>
      <c r="D362" s="191" t="s">
        <v>3379</v>
      </c>
      <c r="E362" s="191" t="s">
        <v>2633</v>
      </c>
      <c r="F362" s="191" t="s">
        <v>2633</v>
      </c>
      <c r="G362" s="191">
        <v>7</v>
      </c>
      <c r="H362" s="192">
        <v>0</v>
      </c>
      <c r="I362" s="192">
        <v>103.28</v>
      </c>
      <c r="J362" s="192">
        <f>SUM(H362,I362)</f>
        <v>103.28</v>
      </c>
    </row>
    <row r="363" spans="1:10" outlineLevel="2">
      <c r="A363" s="191" t="s">
        <v>3157</v>
      </c>
      <c r="B363" s="191" t="s">
        <v>896</v>
      </c>
      <c r="C363" s="191" t="s">
        <v>1012</v>
      </c>
      <c r="D363" s="191" t="s">
        <v>3377</v>
      </c>
      <c r="E363" s="191" t="s">
        <v>3475</v>
      </c>
      <c r="F363" s="191" t="s">
        <v>3475</v>
      </c>
      <c r="G363" s="191">
        <v>12</v>
      </c>
      <c r="H363" s="192">
        <v>100</v>
      </c>
      <c r="I363" s="192">
        <v>100.99</v>
      </c>
      <c r="J363" s="192">
        <f>SUM(H363,I363)</f>
        <v>200.99</v>
      </c>
    </row>
    <row r="364" spans="1:10" outlineLevel="1">
      <c r="A364" s="193" t="s">
        <v>3542</v>
      </c>
      <c r="B364" s="194"/>
      <c r="C364" s="194"/>
      <c r="D364" s="194"/>
      <c r="E364" s="194"/>
      <c r="F364" s="194"/>
      <c r="G364" s="194">
        <f>SUBTOTAL(9,G355:G363)</f>
        <v>68</v>
      </c>
      <c r="H364" s="195">
        <f>SUBTOTAL(9,H355:H363)</f>
        <v>450</v>
      </c>
      <c r="I364" s="195">
        <f>SUBTOTAL(9,I355:I363)</f>
        <v>966.18</v>
      </c>
      <c r="J364" s="195">
        <f>SUBTOTAL(9,J355:J363)</f>
        <v>1416.18</v>
      </c>
    </row>
    <row r="365" spans="1:10" outlineLevel="2">
      <c r="A365" s="191" t="s">
        <v>1015</v>
      </c>
      <c r="B365" s="191" t="s">
        <v>871</v>
      </c>
      <c r="C365" s="191" t="s">
        <v>1014</v>
      </c>
      <c r="D365" s="191" t="s">
        <v>3380</v>
      </c>
      <c r="E365" s="191" t="s">
        <v>2627</v>
      </c>
      <c r="F365" s="191" t="s">
        <v>1482</v>
      </c>
      <c r="G365" s="191">
        <v>21</v>
      </c>
      <c r="H365" s="192">
        <v>100</v>
      </c>
      <c r="I365" s="192">
        <v>374.58</v>
      </c>
      <c r="J365" s="192">
        <f>SUM(H365,I365)</f>
        <v>474.58</v>
      </c>
    </row>
    <row r="366" spans="1:10" outlineLevel="2">
      <c r="A366" s="191" t="s">
        <v>1015</v>
      </c>
      <c r="B366" s="191" t="s">
        <v>871</v>
      </c>
      <c r="C366" s="191" t="s">
        <v>1014</v>
      </c>
      <c r="D366" s="191" t="s">
        <v>1736</v>
      </c>
      <c r="E366" s="191" t="s">
        <v>2704</v>
      </c>
      <c r="F366" s="191" t="s">
        <v>2704</v>
      </c>
      <c r="G366" s="191">
        <v>7</v>
      </c>
      <c r="H366" s="192">
        <v>0</v>
      </c>
      <c r="I366" s="192">
        <v>124.86</v>
      </c>
      <c r="J366" s="192">
        <f>SUM(H366,I366)</f>
        <v>124.86</v>
      </c>
    </row>
    <row r="367" spans="1:10" outlineLevel="2">
      <c r="A367" s="191" t="s">
        <v>1015</v>
      </c>
      <c r="B367" s="191" t="s">
        <v>871</v>
      </c>
      <c r="C367" s="191" t="s">
        <v>1014</v>
      </c>
      <c r="D367" s="191" t="s">
        <v>3381</v>
      </c>
      <c r="E367" s="191" t="s">
        <v>3454</v>
      </c>
      <c r="F367" s="191" t="s">
        <v>3454</v>
      </c>
      <c r="G367" s="191">
        <v>7</v>
      </c>
      <c r="H367" s="192">
        <v>0</v>
      </c>
      <c r="I367" s="192">
        <v>124.86</v>
      </c>
      <c r="J367" s="192">
        <f>SUM(H367,I367)</f>
        <v>124.86</v>
      </c>
    </row>
    <row r="368" spans="1:10" outlineLevel="2">
      <c r="A368" s="191" t="s">
        <v>3158</v>
      </c>
      <c r="B368" s="191" t="s">
        <v>896</v>
      </c>
      <c r="C368" s="191" t="s">
        <v>1014</v>
      </c>
      <c r="D368" s="191" t="s">
        <v>3380</v>
      </c>
      <c r="E368" s="191" t="s">
        <v>3453</v>
      </c>
      <c r="F368" s="191" t="s">
        <v>3453</v>
      </c>
      <c r="G368" s="191">
        <v>12</v>
      </c>
      <c r="H368" s="192">
        <v>100</v>
      </c>
      <c r="I368" s="192">
        <v>116.06</v>
      </c>
      <c r="J368" s="192">
        <f>SUM(H368,I368)</f>
        <v>216.06</v>
      </c>
    </row>
    <row r="369" spans="1:10" outlineLevel="2">
      <c r="A369" s="191" t="s">
        <v>1016</v>
      </c>
      <c r="B369" s="191" t="s">
        <v>871</v>
      </c>
      <c r="C369" s="191" t="s">
        <v>1014</v>
      </c>
      <c r="D369" s="191" t="s">
        <v>3380</v>
      </c>
      <c r="E369" s="191" t="s">
        <v>2627</v>
      </c>
      <c r="F369" s="191" t="s">
        <v>1482</v>
      </c>
      <c r="G369" s="191">
        <v>21</v>
      </c>
      <c r="H369" s="192">
        <v>100</v>
      </c>
      <c r="I369" s="192">
        <v>291.89999999999998</v>
      </c>
      <c r="J369" s="192">
        <f>SUM(H369,I369)</f>
        <v>391.9</v>
      </c>
    </row>
    <row r="370" spans="1:10" outlineLevel="2">
      <c r="A370" s="191" t="s">
        <v>1016</v>
      </c>
      <c r="B370" s="191" t="s">
        <v>871</v>
      </c>
      <c r="C370" s="191" t="s">
        <v>1014</v>
      </c>
      <c r="D370" s="191" t="s">
        <v>1736</v>
      </c>
      <c r="E370" s="191" t="s">
        <v>2704</v>
      </c>
      <c r="F370" s="191" t="s">
        <v>2704</v>
      </c>
      <c r="G370" s="191">
        <v>7</v>
      </c>
      <c r="H370" s="192">
        <v>0</v>
      </c>
      <c r="I370" s="192">
        <v>97.3</v>
      </c>
      <c r="J370" s="192">
        <f>SUM(H370,I370)</f>
        <v>97.3</v>
      </c>
    </row>
    <row r="371" spans="1:10" outlineLevel="2">
      <c r="A371" s="191" t="s">
        <v>3159</v>
      </c>
      <c r="B371" s="191" t="s">
        <v>871</v>
      </c>
      <c r="C371" s="191" t="s">
        <v>1014</v>
      </c>
      <c r="D371" s="191" t="s">
        <v>3380</v>
      </c>
      <c r="E371" s="191" t="s">
        <v>2627</v>
      </c>
      <c r="F371" s="191" t="s">
        <v>2627</v>
      </c>
      <c r="G371" s="191">
        <v>12</v>
      </c>
      <c r="H371" s="192">
        <v>100</v>
      </c>
      <c r="I371" s="192">
        <v>180.69</v>
      </c>
      <c r="J371" s="192">
        <f>SUM(H371,I371)</f>
        <v>280.69</v>
      </c>
    </row>
    <row r="372" spans="1:10" outlineLevel="2">
      <c r="A372" s="191" t="s">
        <v>3160</v>
      </c>
      <c r="B372" s="191" t="s">
        <v>871</v>
      </c>
      <c r="C372" s="191" t="s">
        <v>1014</v>
      </c>
      <c r="D372" s="191" t="s">
        <v>3380</v>
      </c>
      <c r="E372" s="191" t="s">
        <v>2658</v>
      </c>
      <c r="F372" s="191" t="s">
        <v>1482</v>
      </c>
      <c r="G372" s="191">
        <v>0</v>
      </c>
      <c r="H372" s="192">
        <v>100</v>
      </c>
      <c r="I372" s="192">
        <v>0</v>
      </c>
      <c r="J372" s="192">
        <f>SUM(H372,I372)</f>
        <v>100</v>
      </c>
    </row>
    <row r="373" spans="1:10" outlineLevel="2">
      <c r="A373" s="191" t="s">
        <v>3156</v>
      </c>
      <c r="B373" s="191" t="s">
        <v>871</v>
      </c>
      <c r="C373" s="191" t="s">
        <v>1014</v>
      </c>
      <c r="D373" s="191" t="s">
        <v>3379</v>
      </c>
      <c r="E373" s="191" t="s">
        <v>2612</v>
      </c>
      <c r="F373" s="191" t="s">
        <v>2612</v>
      </c>
      <c r="G373" s="191">
        <v>7</v>
      </c>
      <c r="H373" s="192">
        <v>0</v>
      </c>
      <c r="I373" s="192">
        <v>102.77</v>
      </c>
      <c r="J373" s="192">
        <f>SUM(H373,I373)</f>
        <v>102.77</v>
      </c>
    </row>
    <row r="374" spans="1:10" outlineLevel="2">
      <c r="A374" s="191" t="s">
        <v>1017</v>
      </c>
      <c r="B374" s="191" t="s">
        <v>871</v>
      </c>
      <c r="C374" s="191" t="s">
        <v>1014</v>
      </c>
      <c r="D374" s="191" t="s">
        <v>3380</v>
      </c>
      <c r="E374" s="191" t="s">
        <v>2627</v>
      </c>
      <c r="F374" s="191" t="s">
        <v>2658</v>
      </c>
      <c r="G374" s="191">
        <v>24</v>
      </c>
      <c r="H374" s="192">
        <v>100</v>
      </c>
      <c r="I374" s="192">
        <v>356.64</v>
      </c>
      <c r="J374" s="192">
        <f>SUM(H374,I374)</f>
        <v>456.64</v>
      </c>
    </row>
    <row r="375" spans="1:10" outlineLevel="1">
      <c r="A375" s="193" t="s">
        <v>3543</v>
      </c>
      <c r="B375" s="194"/>
      <c r="C375" s="194"/>
      <c r="D375" s="194"/>
      <c r="E375" s="194"/>
      <c r="F375" s="194"/>
      <c r="G375" s="194">
        <f>SUBTOTAL(9,G365:G374)</f>
        <v>118</v>
      </c>
      <c r="H375" s="195">
        <f>SUBTOTAL(9,H365:H374)</f>
        <v>600</v>
      </c>
      <c r="I375" s="195">
        <f>SUBTOTAL(9,I365:I374)</f>
        <v>1769.6599999999999</v>
      </c>
      <c r="J375" s="195">
        <f>SUBTOTAL(9,J365:J374)</f>
        <v>2369.66</v>
      </c>
    </row>
    <row r="376" spans="1:10" outlineLevel="2">
      <c r="A376" s="191" t="s">
        <v>3144</v>
      </c>
      <c r="B376" s="191" t="s">
        <v>871</v>
      </c>
      <c r="C376" s="191" t="s">
        <v>3493</v>
      </c>
      <c r="D376" s="191" t="s">
        <v>3360</v>
      </c>
      <c r="E376" s="191" t="s">
        <v>3451</v>
      </c>
      <c r="F376" s="191" t="s">
        <v>3451</v>
      </c>
      <c r="G376" s="191">
        <v>0</v>
      </c>
      <c r="H376" s="192">
        <v>95</v>
      </c>
      <c r="I376" s="192">
        <v>0</v>
      </c>
      <c r="J376" s="192">
        <f>SUM(H376,I376)</f>
        <v>95</v>
      </c>
    </row>
    <row r="377" spans="1:10" outlineLevel="2">
      <c r="A377" s="191" t="s">
        <v>1002</v>
      </c>
      <c r="B377" s="191" t="s">
        <v>871</v>
      </c>
      <c r="C377" s="191" t="s">
        <v>3493</v>
      </c>
      <c r="D377" s="191" t="s">
        <v>2256</v>
      </c>
      <c r="E377" s="191" t="s">
        <v>1503</v>
      </c>
      <c r="F377" s="191" t="s">
        <v>1503</v>
      </c>
      <c r="G377" s="191">
        <v>7</v>
      </c>
      <c r="H377" s="192">
        <v>0</v>
      </c>
      <c r="I377" s="192">
        <v>116.98</v>
      </c>
      <c r="J377" s="192">
        <f>SUM(H377,I377)</f>
        <v>116.98</v>
      </c>
    </row>
    <row r="378" spans="1:10" outlineLevel="1">
      <c r="A378" s="193" t="s">
        <v>3544</v>
      </c>
      <c r="B378" s="194"/>
      <c r="C378" s="194"/>
      <c r="D378" s="194"/>
      <c r="E378" s="194"/>
      <c r="F378" s="194"/>
      <c r="G378" s="194">
        <f>SUBTOTAL(9,G376:G377)</f>
        <v>7</v>
      </c>
      <c r="H378" s="195">
        <f>SUBTOTAL(9,H376:H377)</f>
        <v>95</v>
      </c>
      <c r="I378" s="195">
        <f>SUBTOTAL(9,I376:I377)</f>
        <v>116.98</v>
      </c>
      <c r="J378" s="195">
        <f>SUBTOTAL(9,J376:J377)</f>
        <v>211.98000000000002</v>
      </c>
    </row>
    <row r="379" spans="1:10" outlineLevel="2">
      <c r="A379" s="191" t="s">
        <v>3161</v>
      </c>
      <c r="B379" s="191" t="s">
        <v>871</v>
      </c>
      <c r="C379" s="191" t="s">
        <v>1018</v>
      </c>
      <c r="D379" s="191" t="s">
        <v>1103</v>
      </c>
      <c r="E379" s="191" t="s">
        <v>2618</v>
      </c>
      <c r="F379" s="191" t="s">
        <v>2618</v>
      </c>
      <c r="G379" s="191">
        <v>12</v>
      </c>
      <c r="H379" s="192">
        <v>0</v>
      </c>
      <c r="I379" s="192">
        <v>168.93</v>
      </c>
      <c r="J379" s="192">
        <f>SUM(H379,I379)</f>
        <v>168.93</v>
      </c>
    </row>
    <row r="380" spans="1:10" outlineLevel="1">
      <c r="A380" s="193" t="s">
        <v>3545</v>
      </c>
      <c r="B380" s="194"/>
      <c r="C380" s="194"/>
      <c r="D380" s="194"/>
      <c r="E380" s="194"/>
      <c r="F380" s="194"/>
      <c r="G380" s="194">
        <f>SUBTOTAL(9,G379:G379)</f>
        <v>12</v>
      </c>
      <c r="H380" s="195">
        <f>SUBTOTAL(9,H379:H379)</f>
        <v>0</v>
      </c>
      <c r="I380" s="195">
        <f>SUBTOTAL(9,I379:I379)</f>
        <v>168.93</v>
      </c>
      <c r="J380" s="195">
        <f>SUBTOTAL(9,J379:J379)</f>
        <v>168.93</v>
      </c>
    </row>
    <row r="381" spans="1:10" outlineLevel="2">
      <c r="A381" s="191" t="s">
        <v>3162</v>
      </c>
      <c r="B381" s="191" t="s">
        <v>871</v>
      </c>
      <c r="C381" s="191" t="s">
        <v>3055</v>
      </c>
      <c r="D381" s="191" t="s">
        <v>1526</v>
      </c>
      <c r="E381" s="191" t="s">
        <v>2616</v>
      </c>
      <c r="F381" s="191" t="s">
        <v>2616</v>
      </c>
      <c r="G381" s="191">
        <v>12</v>
      </c>
      <c r="H381" s="192">
        <v>0</v>
      </c>
      <c r="I381" s="192">
        <v>183.07</v>
      </c>
      <c r="J381" s="192">
        <f>SUM(H381,I381)</f>
        <v>183.07</v>
      </c>
    </row>
    <row r="382" spans="1:10" outlineLevel="1">
      <c r="A382" s="193" t="s">
        <v>3546</v>
      </c>
      <c r="B382" s="194"/>
      <c r="C382" s="194"/>
      <c r="D382" s="194"/>
      <c r="E382" s="194"/>
      <c r="F382" s="194"/>
      <c r="G382" s="194">
        <f>SUBTOTAL(9,G381:G381)</f>
        <v>12</v>
      </c>
      <c r="H382" s="195">
        <f>SUBTOTAL(9,H381:H381)</f>
        <v>0</v>
      </c>
      <c r="I382" s="195">
        <f>SUBTOTAL(9,I381:I381)</f>
        <v>183.07</v>
      </c>
      <c r="J382" s="195">
        <f>SUBTOTAL(9,J381:J381)</f>
        <v>183.07</v>
      </c>
    </row>
    <row r="383" spans="1:10" outlineLevel="2">
      <c r="A383" s="191" t="s">
        <v>1028</v>
      </c>
      <c r="B383" s="191" t="s">
        <v>896</v>
      </c>
      <c r="C383" s="191" t="s">
        <v>3494</v>
      </c>
      <c r="D383" s="191" t="s">
        <v>3363</v>
      </c>
      <c r="E383" s="191" t="s">
        <v>1487</v>
      </c>
      <c r="F383" s="191" t="s">
        <v>3471</v>
      </c>
      <c r="G383" s="191">
        <v>24</v>
      </c>
      <c r="H383" s="192">
        <v>100</v>
      </c>
      <c r="I383" s="192">
        <v>224.81</v>
      </c>
      <c r="J383" s="192">
        <f>SUM(H383,I383)</f>
        <v>324.81</v>
      </c>
    </row>
    <row r="384" spans="1:10" outlineLevel="2">
      <c r="A384" s="191" t="s">
        <v>3145</v>
      </c>
      <c r="B384" s="191" t="s">
        <v>871</v>
      </c>
      <c r="C384" s="191" t="s">
        <v>3494</v>
      </c>
      <c r="D384" s="191" t="s">
        <v>2346</v>
      </c>
      <c r="E384" s="191" t="s">
        <v>1493</v>
      </c>
      <c r="F384" s="191" t="s">
        <v>2609</v>
      </c>
      <c r="G384" s="191">
        <v>14</v>
      </c>
      <c r="H384" s="192">
        <v>90</v>
      </c>
      <c r="I384" s="192">
        <v>214.62</v>
      </c>
      <c r="J384" s="192">
        <f>SUM(H384,I384)</f>
        <v>304.62</v>
      </c>
    </row>
    <row r="385" spans="1:10" outlineLevel="2">
      <c r="A385" s="191" t="s">
        <v>1003</v>
      </c>
      <c r="B385" s="191" t="s">
        <v>896</v>
      </c>
      <c r="C385" s="191" t="s">
        <v>3494</v>
      </c>
      <c r="D385" s="191" t="s">
        <v>3363</v>
      </c>
      <c r="E385" s="191" t="s">
        <v>2606</v>
      </c>
      <c r="F385" s="191" t="s">
        <v>2593</v>
      </c>
      <c r="G385" s="191">
        <v>14</v>
      </c>
      <c r="H385" s="192">
        <v>100</v>
      </c>
      <c r="I385" s="192">
        <v>151.28</v>
      </c>
      <c r="J385" s="192">
        <f>SUM(H385,I385)</f>
        <v>251.28</v>
      </c>
    </row>
    <row r="386" spans="1:10" outlineLevel="1">
      <c r="A386" s="193" t="s">
        <v>3547</v>
      </c>
      <c r="B386" s="194"/>
      <c r="C386" s="194"/>
      <c r="D386" s="194"/>
      <c r="E386" s="194"/>
      <c r="F386" s="194"/>
      <c r="G386" s="194">
        <f>SUBTOTAL(9,G383:G385)</f>
        <v>52</v>
      </c>
      <c r="H386" s="195">
        <f>SUBTOTAL(9,H383:H385)</f>
        <v>290</v>
      </c>
      <c r="I386" s="195">
        <f>SUBTOTAL(9,I383:I385)</f>
        <v>590.71</v>
      </c>
      <c r="J386" s="195">
        <f>SUBTOTAL(9,J383:J385)</f>
        <v>880.71</v>
      </c>
    </row>
    <row r="387" spans="1:10" outlineLevel="2">
      <c r="A387" s="191" t="s">
        <v>3146</v>
      </c>
      <c r="B387" s="191" t="s">
        <v>871</v>
      </c>
      <c r="C387" s="191" t="s">
        <v>3496</v>
      </c>
      <c r="D387" s="191" t="s">
        <v>3365</v>
      </c>
      <c r="E387" s="191" t="s">
        <v>2649</v>
      </c>
      <c r="F387" s="191" t="s">
        <v>2586</v>
      </c>
      <c r="G387" s="191">
        <v>0</v>
      </c>
      <c r="H387" s="192">
        <v>150</v>
      </c>
      <c r="I387" s="192">
        <v>0</v>
      </c>
      <c r="J387" s="192">
        <f>SUM(H387,I387)</f>
        <v>150</v>
      </c>
    </row>
    <row r="388" spans="1:10" outlineLevel="2">
      <c r="A388" s="191" t="s">
        <v>3146</v>
      </c>
      <c r="B388" s="191" t="s">
        <v>871</v>
      </c>
      <c r="C388" s="191" t="s">
        <v>3496</v>
      </c>
      <c r="D388" s="191" t="s">
        <v>3265</v>
      </c>
      <c r="E388" s="191" t="s">
        <v>3472</v>
      </c>
      <c r="F388" s="191" t="s">
        <v>3472</v>
      </c>
      <c r="G388" s="191">
        <v>0</v>
      </c>
      <c r="H388" s="192">
        <v>150</v>
      </c>
      <c r="I388" s="192">
        <v>0</v>
      </c>
      <c r="J388" s="192">
        <f>SUM(H388,I388)</f>
        <v>150</v>
      </c>
    </row>
    <row r="389" spans="1:10" outlineLevel="2">
      <c r="A389" s="191" t="s">
        <v>3147</v>
      </c>
      <c r="B389" s="191" t="s">
        <v>871</v>
      </c>
      <c r="C389" s="191" t="s">
        <v>3496</v>
      </c>
      <c r="D389" s="191" t="s">
        <v>3366</v>
      </c>
      <c r="E389" s="191" t="s">
        <v>2680</v>
      </c>
      <c r="F389" s="191" t="s">
        <v>2680</v>
      </c>
      <c r="G389" s="191">
        <v>7</v>
      </c>
      <c r="H389" s="192">
        <v>0</v>
      </c>
      <c r="I389" s="192">
        <v>111.2</v>
      </c>
      <c r="J389" s="192">
        <f>SUM(H389,I389)</f>
        <v>111.2</v>
      </c>
    </row>
    <row r="390" spans="1:10" outlineLevel="2">
      <c r="A390" s="191" t="s">
        <v>3147</v>
      </c>
      <c r="B390" s="191" t="s">
        <v>871</v>
      </c>
      <c r="C390" s="191" t="s">
        <v>3496</v>
      </c>
      <c r="D390" s="191" t="s">
        <v>1556</v>
      </c>
      <c r="E390" s="191" t="s">
        <v>2633</v>
      </c>
      <c r="F390" s="191" t="s">
        <v>2633</v>
      </c>
      <c r="G390" s="191">
        <v>7</v>
      </c>
      <c r="H390" s="192">
        <v>0</v>
      </c>
      <c r="I390" s="192">
        <v>111.2</v>
      </c>
      <c r="J390" s="192">
        <f>SUM(H390,I390)</f>
        <v>111.2</v>
      </c>
    </row>
    <row r="391" spans="1:10" outlineLevel="1">
      <c r="A391" s="193" t="s">
        <v>3548</v>
      </c>
      <c r="B391" s="194"/>
      <c r="C391" s="194"/>
      <c r="D391" s="194"/>
      <c r="E391" s="194"/>
      <c r="F391" s="194"/>
      <c r="G391" s="194">
        <f>SUBTOTAL(9,G387:G390)</f>
        <v>14</v>
      </c>
      <c r="H391" s="195">
        <f>SUBTOTAL(9,H387:H390)</f>
        <v>300</v>
      </c>
      <c r="I391" s="195">
        <f>SUBTOTAL(9,I387:I390)</f>
        <v>222.4</v>
      </c>
      <c r="J391" s="195">
        <f>SUBTOTAL(9,J387:J390)</f>
        <v>522.4</v>
      </c>
    </row>
    <row r="392" spans="1:10" outlineLevel="2">
      <c r="A392" s="191" t="s">
        <v>1004</v>
      </c>
      <c r="B392" s="191" t="s">
        <v>871</v>
      </c>
      <c r="C392" s="191" t="s">
        <v>3495</v>
      </c>
      <c r="D392" s="191" t="s">
        <v>3262</v>
      </c>
      <c r="E392" s="191" t="s">
        <v>3454</v>
      </c>
      <c r="F392" s="191" t="s">
        <v>3454</v>
      </c>
      <c r="G392" s="191">
        <v>7</v>
      </c>
      <c r="H392" s="192">
        <v>0</v>
      </c>
      <c r="I392" s="192">
        <v>118.36</v>
      </c>
      <c r="J392" s="192">
        <f>SUM(H392,I392)</f>
        <v>118.36</v>
      </c>
    </row>
    <row r="393" spans="1:10" outlineLevel="2">
      <c r="A393" s="191" t="s">
        <v>1004</v>
      </c>
      <c r="B393" s="191" t="s">
        <v>871</v>
      </c>
      <c r="C393" s="191" t="s">
        <v>3495</v>
      </c>
      <c r="D393" s="191" t="s">
        <v>3310</v>
      </c>
      <c r="E393" s="191" t="s">
        <v>2724</v>
      </c>
      <c r="F393" s="191" t="s">
        <v>2640</v>
      </c>
      <c r="G393" s="191">
        <v>28</v>
      </c>
      <c r="H393" s="192">
        <v>100</v>
      </c>
      <c r="I393" s="192">
        <v>475.76</v>
      </c>
      <c r="J393" s="192">
        <f>SUM(H393,I393)</f>
        <v>575.76</v>
      </c>
    </row>
    <row r="394" spans="1:10" outlineLevel="2">
      <c r="A394" s="191" t="s">
        <v>1005</v>
      </c>
      <c r="B394" s="191" t="s">
        <v>871</v>
      </c>
      <c r="C394" s="191" t="s">
        <v>3495</v>
      </c>
      <c r="D394" s="191" t="s">
        <v>3364</v>
      </c>
      <c r="E394" s="191" t="s">
        <v>1489</v>
      </c>
      <c r="F394" s="191" t="s">
        <v>1489</v>
      </c>
      <c r="G394" s="191">
        <v>12</v>
      </c>
      <c r="H394" s="192">
        <v>0</v>
      </c>
      <c r="I394" s="192">
        <v>278.02</v>
      </c>
      <c r="J394" s="192">
        <f>SUM(H394,I394)</f>
        <v>278.02</v>
      </c>
    </row>
    <row r="395" spans="1:10" outlineLevel="1">
      <c r="A395" s="193" t="s">
        <v>3549</v>
      </c>
      <c r="B395" s="194"/>
      <c r="C395" s="194"/>
      <c r="D395" s="194"/>
      <c r="E395" s="194"/>
      <c r="F395" s="194"/>
      <c r="G395" s="194">
        <f>SUBTOTAL(9,G392:G394)</f>
        <v>47</v>
      </c>
      <c r="H395" s="195">
        <f>SUBTOTAL(9,H392:H394)</f>
        <v>100</v>
      </c>
      <c r="I395" s="195">
        <f>SUBTOTAL(9,I392:I394)</f>
        <v>872.14</v>
      </c>
      <c r="J395" s="195">
        <f>SUBTOTAL(9,J392:J394)</f>
        <v>972.14</v>
      </c>
    </row>
    <row r="396" spans="1:10" outlineLevel="2">
      <c r="A396" s="191" t="s">
        <v>1006</v>
      </c>
      <c r="B396" s="191" t="s">
        <v>874</v>
      </c>
      <c r="C396" s="191" t="s">
        <v>3498</v>
      </c>
      <c r="D396" s="191" t="s">
        <v>3368</v>
      </c>
      <c r="E396" s="191" t="s">
        <v>2626</v>
      </c>
      <c r="F396" s="191" t="s">
        <v>2626</v>
      </c>
      <c r="G396" s="191">
        <v>7</v>
      </c>
      <c r="H396" s="192">
        <v>0</v>
      </c>
      <c r="I396" s="192">
        <v>126.72</v>
      </c>
      <c r="J396" s="192">
        <f>SUM(H396,I396)</f>
        <v>126.72</v>
      </c>
    </row>
    <row r="397" spans="1:10" outlineLevel="2">
      <c r="A397" s="191" t="s">
        <v>1006</v>
      </c>
      <c r="B397" s="191" t="s">
        <v>874</v>
      </c>
      <c r="C397" s="191" t="s">
        <v>3498</v>
      </c>
      <c r="D397" s="191" t="s">
        <v>3369</v>
      </c>
      <c r="E397" s="191" t="s">
        <v>1499</v>
      </c>
      <c r="F397" s="191" t="s">
        <v>1500</v>
      </c>
      <c r="G397" s="191">
        <v>14</v>
      </c>
      <c r="H397" s="192">
        <v>0</v>
      </c>
      <c r="I397" s="192">
        <v>253.44</v>
      </c>
      <c r="J397" s="192">
        <f>SUM(H397,I397)</f>
        <v>253.44</v>
      </c>
    </row>
    <row r="398" spans="1:10" outlineLevel="2">
      <c r="A398" s="191" t="s">
        <v>1006</v>
      </c>
      <c r="B398" s="191" t="s">
        <v>874</v>
      </c>
      <c r="C398" s="191" t="s">
        <v>3498</v>
      </c>
      <c r="D398" s="191" t="s">
        <v>2045</v>
      </c>
      <c r="E398" s="191" t="s">
        <v>2603</v>
      </c>
      <c r="F398" s="191" t="s">
        <v>2603</v>
      </c>
      <c r="G398" s="191">
        <v>7</v>
      </c>
      <c r="H398" s="192">
        <v>0</v>
      </c>
      <c r="I398" s="192">
        <v>126.72</v>
      </c>
      <c r="J398" s="192">
        <f>SUM(H398,I398)</f>
        <v>126.72</v>
      </c>
    </row>
    <row r="399" spans="1:10" outlineLevel="2">
      <c r="A399" s="191" t="s">
        <v>1006</v>
      </c>
      <c r="B399" s="191" t="s">
        <v>874</v>
      </c>
      <c r="C399" s="191" t="s">
        <v>3498</v>
      </c>
      <c r="D399" s="191" t="s">
        <v>2070</v>
      </c>
      <c r="E399" s="191" t="s">
        <v>2645</v>
      </c>
      <c r="F399" s="191" t="s">
        <v>2640</v>
      </c>
      <c r="G399" s="191">
        <v>14</v>
      </c>
      <c r="H399" s="192">
        <v>0</v>
      </c>
      <c r="I399" s="192">
        <v>253.44</v>
      </c>
      <c r="J399" s="192">
        <f>SUM(H399,I399)</f>
        <v>253.44</v>
      </c>
    </row>
    <row r="400" spans="1:10" outlineLevel="1">
      <c r="A400" s="193" t="s">
        <v>3550</v>
      </c>
      <c r="B400" s="194"/>
      <c r="C400" s="194"/>
      <c r="D400" s="194"/>
      <c r="E400" s="194"/>
      <c r="F400" s="194"/>
      <c r="G400" s="194">
        <f>SUBTOTAL(9,G396:G399)</f>
        <v>42</v>
      </c>
      <c r="H400" s="195">
        <f>SUBTOTAL(9,H396:H399)</f>
        <v>0</v>
      </c>
      <c r="I400" s="195">
        <f>SUBTOTAL(9,I396:I399)</f>
        <v>760.31999999999994</v>
      </c>
      <c r="J400" s="195">
        <f>SUBTOTAL(9,J396:J399)</f>
        <v>760.31999999999994</v>
      </c>
    </row>
    <row r="401" spans="1:10" outlineLevel="2">
      <c r="A401" s="191" t="s">
        <v>3148</v>
      </c>
      <c r="B401" s="191" t="s">
        <v>871</v>
      </c>
      <c r="C401" s="191" t="s">
        <v>3497</v>
      </c>
      <c r="D401" s="191" t="s">
        <v>3367</v>
      </c>
      <c r="E401" s="191" t="s">
        <v>2653</v>
      </c>
      <c r="F401" s="191" t="s">
        <v>2653</v>
      </c>
      <c r="G401" s="191">
        <v>12</v>
      </c>
      <c r="H401" s="192">
        <v>0</v>
      </c>
      <c r="I401" s="192">
        <v>153</v>
      </c>
      <c r="J401" s="192">
        <f>SUM(H401,I401)</f>
        <v>153</v>
      </c>
    </row>
    <row r="402" spans="1:10" outlineLevel="1">
      <c r="A402" s="193" t="s">
        <v>3551</v>
      </c>
      <c r="B402" s="194"/>
      <c r="C402" s="194"/>
      <c r="D402" s="194"/>
      <c r="E402" s="194"/>
      <c r="F402" s="194"/>
      <c r="G402" s="194">
        <f>SUBTOTAL(9,G401:G401)</f>
        <v>12</v>
      </c>
      <c r="H402" s="195">
        <f>SUBTOTAL(9,H401:H401)</f>
        <v>0</v>
      </c>
      <c r="I402" s="195">
        <f>SUBTOTAL(9,I401:I401)</f>
        <v>153</v>
      </c>
      <c r="J402" s="195">
        <f>SUBTOTAL(9,J401:J401)</f>
        <v>153</v>
      </c>
    </row>
    <row r="403" spans="1:10" outlineLevel="2">
      <c r="A403" s="191" t="s">
        <v>3149</v>
      </c>
      <c r="B403" s="191" t="s">
        <v>871</v>
      </c>
      <c r="C403" s="191" t="s">
        <v>3499</v>
      </c>
      <c r="D403" s="191" t="s">
        <v>3370</v>
      </c>
      <c r="E403" s="191" t="s">
        <v>2662</v>
      </c>
      <c r="F403" s="191" t="s">
        <v>2662</v>
      </c>
      <c r="G403" s="191">
        <v>12</v>
      </c>
      <c r="H403" s="192">
        <v>0</v>
      </c>
      <c r="I403" s="192">
        <v>238.27</v>
      </c>
      <c r="J403" s="192">
        <f>SUM(H403,I403)</f>
        <v>238.27</v>
      </c>
    </row>
    <row r="404" spans="1:10" outlineLevel="2">
      <c r="A404" s="191" t="s">
        <v>3150</v>
      </c>
      <c r="B404" s="191" t="s">
        <v>871</v>
      </c>
      <c r="C404" s="191" t="s">
        <v>3499</v>
      </c>
      <c r="D404" s="191" t="s">
        <v>3371</v>
      </c>
      <c r="E404" s="191" t="s">
        <v>2662</v>
      </c>
      <c r="F404" s="191" t="s">
        <v>2662</v>
      </c>
      <c r="G404" s="191">
        <v>12</v>
      </c>
      <c r="H404" s="192">
        <v>0</v>
      </c>
      <c r="I404" s="192">
        <v>226.47</v>
      </c>
      <c r="J404" s="192">
        <f>SUM(H404,I404)</f>
        <v>226.47</v>
      </c>
    </row>
    <row r="405" spans="1:10" outlineLevel="2">
      <c r="A405" s="191" t="s">
        <v>3151</v>
      </c>
      <c r="B405" s="191" t="s">
        <v>896</v>
      </c>
      <c r="C405" s="191" t="s">
        <v>3499</v>
      </c>
      <c r="D405" s="191" t="s">
        <v>3372</v>
      </c>
      <c r="E405" s="191" t="s">
        <v>3473</v>
      </c>
      <c r="F405" s="191" t="s">
        <v>3473</v>
      </c>
      <c r="G405" s="191">
        <v>2</v>
      </c>
      <c r="H405" s="192">
        <v>20</v>
      </c>
      <c r="I405" s="192">
        <v>17.03</v>
      </c>
      <c r="J405" s="192">
        <f>SUM(H405,I405)</f>
        <v>37.03</v>
      </c>
    </row>
    <row r="406" spans="1:10" outlineLevel="1">
      <c r="A406" s="193" t="s">
        <v>3552</v>
      </c>
      <c r="B406" s="194"/>
      <c r="C406" s="194"/>
      <c r="D406" s="194"/>
      <c r="E406" s="194"/>
      <c r="F406" s="194"/>
      <c r="G406" s="194">
        <f>SUBTOTAL(9,G403:G405)</f>
        <v>26</v>
      </c>
      <c r="H406" s="195">
        <f>SUBTOTAL(9,H403:H405)</f>
        <v>20</v>
      </c>
      <c r="I406" s="195">
        <f>SUBTOTAL(9,I403:I405)</f>
        <v>481.77</v>
      </c>
      <c r="J406" s="195">
        <f>SUBTOTAL(9,J403:J405)</f>
        <v>501.77</v>
      </c>
    </row>
    <row r="407" spans="1:10" outlineLevel="2">
      <c r="A407" s="191" t="s">
        <v>3163</v>
      </c>
      <c r="B407" s="191" t="s">
        <v>896</v>
      </c>
      <c r="C407" s="191" t="s">
        <v>1019</v>
      </c>
      <c r="D407" s="191" t="s">
        <v>3363</v>
      </c>
      <c r="E407" s="191" t="s">
        <v>2593</v>
      </c>
      <c r="F407" s="191" t="s">
        <v>1487</v>
      </c>
      <c r="G407" s="191">
        <v>24</v>
      </c>
      <c r="H407" s="192">
        <v>100</v>
      </c>
      <c r="I407" s="192">
        <v>205.92</v>
      </c>
      <c r="J407" s="192">
        <f>SUM(H407,I407)</f>
        <v>305.91999999999996</v>
      </c>
    </row>
    <row r="408" spans="1:10" outlineLevel="2">
      <c r="A408" s="191" t="s">
        <v>3163</v>
      </c>
      <c r="B408" s="191" t="s">
        <v>896</v>
      </c>
      <c r="C408" s="191" t="s">
        <v>1019</v>
      </c>
      <c r="D408" s="191" t="s">
        <v>3363</v>
      </c>
      <c r="E408" s="191" t="s">
        <v>2593</v>
      </c>
      <c r="F408" s="191" t="s">
        <v>1487</v>
      </c>
      <c r="G408" s="191">
        <v>24</v>
      </c>
      <c r="H408" s="192">
        <v>100</v>
      </c>
      <c r="I408" s="192">
        <v>205.92</v>
      </c>
      <c r="J408" s="192">
        <f>SUM(H408,I408)</f>
        <v>305.91999999999996</v>
      </c>
    </row>
    <row r="409" spans="1:10" outlineLevel="1">
      <c r="A409" s="193" t="s">
        <v>3553</v>
      </c>
      <c r="B409" s="194"/>
      <c r="C409" s="194"/>
      <c r="D409" s="194"/>
      <c r="E409" s="194"/>
      <c r="F409" s="194"/>
      <c r="G409" s="194">
        <f>SUBTOTAL(9,G407:G408)</f>
        <v>48</v>
      </c>
      <c r="H409" s="195">
        <f>SUBTOTAL(9,H407:H408)</f>
        <v>200</v>
      </c>
      <c r="I409" s="195">
        <f>SUBTOTAL(9,I407:I408)</f>
        <v>411.84</v>
      </c>
      <c r="J409" s="195">
        <f>SUBTOTAL(9,J407:J408)</f>
        <v>611.83999999999992</v>
      </c>
    </row>
    <row r="410" spans="1:10" outlineLevel="2">
      <c r="A410" s="191" t="s">
        <v>1020</v>
      </c>
      <c r="B410" s="191" t="s">
        <v>874</v>
      </c>
      <c r="C410" s="191" t="s">
        <v>1021</v>
      </c>
      <c r="D410" s="191" t="s">
        <v>3476</v>
      </c>
      <c r="E410" s="191" t="s">
        <v>2660</v>
      </c>
      <c r="F410" s="191" t="s">
        <v>2660</v>
      </c>
      <c r="G410" s="191">
        <v>7</v>
      </c>
      <c r="H410" s="192">
        <v>0</v>
      </c>
      <c r="I410" s="192">
        <v>134.33000000000001</v>
      </c>
      <c r="J410" s="192">
        <f>SUM(H410,I410)</f>
        <v>134.33000000000001</v>
      </c>
    </row>
    <row r="411" spans="1:10" outlineLevel="2">
      <c r="A411" s="191" t="s">
        <v>3164</v>
      </c>
      <c r="B411" s="191" t="s">
        <v>871</v>
      </c>
      <c r="C411" s="191" t="s">
        <v>1021</v>
      </c>
      <c r="D411" s="191" t="s">
        <v>3382</v>
      </c>
      <c r="E411" s="191" t="s">
        <v>3472</v>
      </c>
      <c r="F411" s="191" t="s">
        <v>3472</v>
      </c>
      <c r="G411" s="191">
        <v>12</v>
      </c>
      <c r="H411" s="192">
        <v>0</v>
      </c>
      <c r="I411" s="192">
        <v>157.30000000000001</v>
      </c>
      <c r="J411" s="192">
        <f>SUM(H411,I411)</f>
        <v>157.30000000000001</v>
      </c>
    </row>
    <row r="412" spans="1:10" outlineLevel="2">
      <c r="A412" s="191" t="s">
        <v>3165</v>
      </c>
      <c r="B412" s="191" t="s">
        <v>871</v>
      </c>
      <c r="C412" s="191" t="s">
        <v>1021</v>
      </c>
      <c r="D412" s="191" t="s">
        <v>3382</v>
      </c>
      <c r="E412" s="191" t="s">
        <v>3472</v>
      </c>
      <c r="F412" s="191" t="s">
        <v>3472</v>
      </c>
      <c r="G412" s="191">
        <v>12</v>
      </c>
      <c r="H412" s="192">
        <v>0</v>
      </c>
      <c r="I412" s="192">
        <v>155.13999999999999</v>
      </c>
      <c r="J412" s="192">
        <f>SUM(H412,I412)</f>
        <v>155.13999999999999</v>
      </c>
    </row>
    <row r="413" spans="1:10" outlineLevel="2">
      <c r="A413" s="191" t="s">
        <v>3166</v>
      </c>
      <c r="B413" s="191" t="s">
        <v>871</v>
      </c>
      <c r="C413" s="191" t="s">
        <v>1021</v>
      </c>
      <c r="D413" s="191" t="s">
        <v>3383</v>
      </c>
      <c r="E413" s="191" t="s">
        <v>2660</v>
      </c>
      <c r="F413" s="191" t="s">
        <v>2660</v>
      </c>
      <c r="G413" s="191">
        <v>7</v>
      </c>
      <c r="H413" s="192">
        <v>0</v>
      </c>
      <c r="I413" s="192">
        <v>112.05</v>
      </c>
      <c r="J413" s="192">
        <f>SUM(H413,I413)</f>
        <v>112.05</v>
      </c>
    </row>
    <row r="414" spans="1:10" outlineLevel="1">
      <c r="A414" s="193" t="s">
        <v>3554</v>
      </c>
      <c r="B414" s="194"/>
      <c r="C414" s="194"/>
      <c r="D414" s="194"/>
      <c r="E414" s="194"/>
      <c r="F414" s="194"/>
      <c r="G414" s="194">
        <f>SUBTOTAL(9,G410:G413)</f>
        <v>38</v>
      </c>
      <c r="H414" s="195">
        <f>SUBTOTAL(9,H410:H413)</f>
        <v>0</v>
      </c>
      <c r="I414" s="195">
        <f>SUBTOTAL(9,I410:I413)</f>
        <v>558.81999999999994</v>
      </c>
      <c r="J414" s="195">
        <f>SUBTOTAL(9,J410:J413)</f>
        <v>558.81999999999994</v>
      </c>
    </row>
    <row r="415" spans="1:10" outlineLevel="2">
      <c r="A415" s="191" t="s">
        <v>1042</v>
      </c>
      <c r="B415" s="191" t="s">
        <v>871</v>
      </c>
      <c r="C415" s="191" t="s">
        <v>1022</v>
      </c>
      <c r="D415" s="191" t="s">
        <v>3318</v>
      </c>
      <c r="E415" s="191" t="s">
        <v>2590</v>
      </c>
      <c r="F415" s="191" t="s">
        <v>2590</v>
      </c>
      <c r="G415" s="191">
        <v>12</v>
      </c>
      <c r="H415" s="192">
        <v>0</v>
      </c>
      <c r="I415" s="192">
        <v>155.54</v>
      </c>
      <c r="J415" s="192">
        <f>SUM(H415,I415)</f>
        <v>155.54</v>
      </c>
    </row>
    <row r="416" spans="1:10" outlineLevel="2">
      <c r="A416" s="191" t="s">
        <v>1023</v>
      </c>
      <c r="B416" s="191" t="s">
        <v>896</v>
      </c>
      <c r="C416" s="191" t="s">
        <v>1022</v>
      </c>
      <c r="D416" s="191" t="s">
        <v>910</v>
      </c>
      <c r="E416" s="191" t="s">
        <v>2657</v>
      </c>
      <c r="F416" s="191" t="s">
        <v>2657</v>
      </c>
      <c r="G416" s="191">
        <v>12</v>
      </c>
      <c r="H416" s="192">
        <v>100</v>
      </c>
      <c r="I416" s="192">
        <v>104.19</v>
      </c>
      <c r="J416" s="192">
        <f>SUM(H416,I416)</f>
        <v>204.19</v>
      </c>
    </row>
    <row r="417" spans="1:10" outlineLevel="2">
      <c r="A417" s="191" t="s">
        <v>1023</v>
      </c>
      <c r="B417" s="191" t="s">
        <v>896</v>
      </c>
      <c r="C417" s="191" t="s">
        <v>1022</v>
      </c>
      <c r="D417" s="191" t="s">
        <v>910</v>
      </c>
      <c r="E417" s="191" t="s">
        <v>3471</v>
      </c>
      <c r="F417" s="191" t="s">
        <v>3471</v>
      </c>
      <c r="G417" s="191">
        <v>12</v>
      </c>
      <c r="H417" s="192">
        <v>0</v>
      </c>
      <c r="I417" s="192">
        <v>104.19</v>
      </c>
      <c r="J417" s="192">
        <f>SUM(H417,I417)</f>
        <v>104.19</v>
      </c>
    </row>
    <row r="418" spans="1:10" outlineLevel="1">
      <c r="A418" s="193" t="s">
        <v>3555</v>
      </c>
      <c r="B418" s="194"/>
      <c r="C418" s="194"/>
      <c r="D418" s="194"/>
      <c r="E418" s="194"/>
      <c r="F418" s="194"/>
      <c r="G418" s="194">
        <f>SUBTOTAL(9,G415:G417)</f>
        <v>36</v>
      </c>
      <c r="H418" s="195">
        <f>SUBTOTAL(9,H415:H417)</f>
        <v>100</v>
      </c>
      <c r="I418" s="195">
        <f>SUBTOTAL(9,I415:I417)</f>
        <v>363.92</v>
      </c>
      <c r="J418" s="195">
        <f>SUBTOTAL(9,J415:J417)</f>
        <v>463.92</v>
      </c>
    </row>
    <row r="419" spans="1:10" outlineLevel="2">
      <c r="A419" s="191" t="s">
        <v>1025</v>
      </c>
      <c r="B419" s="191" t="s">
        <v>871</v>
      </c>
      <c r="C419" s="191" t="s">
        <v>1024</v>
      </c>
      <c r="D419" s="191" t="s">
        <v>3384</v>
      </c>
      <c r="E419" s="191" t="s">
        <v>2593</v>
      </c>
      <c r="F419" s="191" t="s">
        <v>2593</v>
      </c>
      <c r="G419" s="191">
        <v>7</v>
      </c>
      <c r="H419" s="192">
        <v>0</v>
      </c>
      <c r="I419" s="192">
        <v>95.91</v>
      </c>
      <c r="J419" s="192">
        <f>SUM(H419,I419)</f>
        <v>95.91</v>
      </c>
    </row>
    <row r="420" spans="1:10" outlineLevel="2">
      <c r="A420" s="191" t="s">
        <v>1027</v>
      </c>
      <c r="B420" s="191" t="s">
        <v>871</v>
      </c>
      <c r="C420" s="191" t="s">
        <v>1024</v>
      </c>
      <c r="D420" s="191" t="s">
        <v>3242</v>
      </c>
      <c r="E420" s="191" t="s">
        <v>1486</v>
      </c>
      <c r="F420" s="191" t="s">
        <v>1486</v>
      </c>
      <c r="G420" s="191">
        <v>7</v>
      </c>
      <c r="H420" s="192">
        <v>0</v>
      </c>
      <c r="I420" s="192">
        <v>110.66</v>
      </c>
      <c r="J420" s="192">
        <f>SUM(H420,I420)</f>
        <v>110.66</v>
      </c>
    </row>
    <row r="421" spans="1:10" outlineLevel="2">
      <c r="A421" s="191" t="s">
        <v>1027</v>
      </c>
      <c r="B421" s="191" t="s">
        <v>871</v>
      </c>
      <c r="C421" s="191" t="s">
        <v>1024</v>
      </c>
      <c r="D421" s="191" t="s">
        <v>3243</v>
      </c>
      <c r="E421" s="191" t="s">
        <v>1496</v>
      </c>
      <c r="F421" s="191" t="s">
        <v>1496</v>
      </c>
      <c r="G421" s="191">
        <v>7</v>
      </c>
      <c r="H421" s="192">
        <v>0</v>
      </c>
      <c r="I421" s="192">
        <v>110.66</v>
      </c>
      <c r="J421" s="192">
        <f>SUM(H421,I421)</f>
        <v>110.66</v>
      </c>
    </row>
    <row r="422" spans="1:10" outlineLevel="2">
      <c r="A422" s="191" t="s">
        <v>908</v>
      </c>
      <c r="B422" s="191" t="s">
        <v>896</v>
      </c>
      <c r="C422" s="191" t="s">
        <v>1024</v>
      </c>
      <c r="D422" s="191" t="s">
        <v>3385</v>
      </c>
      <c r="E422" s="191" t="s">
        <v>2657</v>
      </c>
      <c r="F422" s="191" t="s">
        <v>1487</v>
      </c>
      <c r="G422" s="191">
        <v>28</v>
      </c>
      <c r="H422" s="192">
        <v>100</v>
      </c>
      <c r="I422" s="192">
        <v>245.96</v>
      </c>
      <c r="J422" s="192">
        <f>SUM(H422,I422)</f>
        <v>345.96000000000004</v>
      </c>
    </row>
    <row r="423" spans="1:10" outlineLevel="2">
      <c r="A423" s="191" t="s">
        <v>3167</v>
      </c>
      <c r="B423" s="191" t="s">
        <v>871</v>
      </c>
      <c r="C423" s="191" t="s">
        <v>1024</v>
      </c>
      <c r="D423" s="191" t="s">
        <v>3386</v>
      </c>
      <c r="E423" s="191" t="s">
        <v>2626</v>
      </c>
      <c r="F423" s="191" t="s">
        <v>2626</v>
      </c>
      <c r="G423" s="191">
        <v>7</v>
      </c>
      <c r="H423" s="192">
        <v>0</v>
      </c>
      <c r="I423" s="192">
        <v>119.47</v>
      </c>
      <c r="J423" s="192">
        <f>SUM(H423,I423)</f>
        <v>119.47</v>
      </c>
    </row>
    <row r="424" spans="1:10" outlineLevel="2">
      <c r="A424" s="191" t="s">
        <v>1029</v>
      </c>
      <c r="B424" s="191" t="s">
        <v>871</v>
      </c>
      <c r="C424" s="191" t="s">
        <v>1024</v>
      </c>
      <c r="D424" s="191" t="s">
        <v>3245</v>
      </c>
      <c r="E424" s="191" t="s">
        <v>2616</v>
      </c>
      <c r="F424" s="191" t="s">
        <v>2707</v>
      </c>
      <c r="G424" s="191">
        <v>14</v>
      </c>
      <c r="H424" s="192">
        <v>0</v>
      </c>
      <c r="I424" s="192">
        <v>243.34</v>
      </c>
      <c r="J424" s="192">
        <f>SUM(H424,I424)</f>
        <v>243.34</v>
      </c>
    </row>
    <row r="425" spans="1:10" outlineLevel="2">
      <c r="A425" s="191" t="s">
        <v>1029</v>
      </c>
      <c r="B425" s="191" t="s">
        <v>871</v>
      </c>
      <c r="C425" s="191" t="s">
        <v>1024</v>
      </c>
      <c r="D425" s="191" t="s">
        <v>3246</v>
      </c>
      <c r="E425" s="191" t="s">
        <v>1494</v>
      </c>
      <c r="F425" s="191" t="s">
        <v>1494</v>
      </c>
      <c r="G425" s="191">
        <v>7</v>
      </c>
      <c r="H425" s="192">
        <v>0</v>
      </c>
      <c r="I425" s="192">
        <v>122.26</v>
      </c>
      <c r="J425" s="192">
        <f>SUM(H425,I425)</f>
        <v>122.26</v>
      </c>
    </row>
    <row r="426" spans="1:10" outlineLevel="2">
      <c r="A426" s="191" t="s">
        <v>1030</v>
      </c>
      <c r="B426" s="191" t="s">
        <v>871</v>
      </c>
      <c r="C426" s="191" t="s">
        <v>1024</v>
      </c>
      <c r="D426" s="191" t="s">
        <v>3243</v>
      </c>
      <c r="E426" s="191" t="s">
        <v>1496</v>
      </c>
      <c r="F426" s="191" t="s">
        <v>1496</v>
      </c>
      <c r="G426" s="191">
        <v>7</v>
      </c>
      <c r="H426" s="192">
        <v>0</v>
      </c>
      <c r="I426" s="192">
        <v>89.02</v>
      </c>
      <c r="J426" s="192">
        <f>SUM(H426,I426)</f>
        <v>89.02</v>
      </c>
    </row>
    <row r="427" spans="1:10" outlineLevel="2">
      <c r="A427" s="191" t="s">
        <v>1030</v>
      </c>
      <c r="B427" s="191" t="s">
        <v>871</v>
      </c>
      <c r="C427" s="191" t="s">
        <v>1024</v>
      </c>
      <c r="D427" s="191" t="s">
        <v>1787</v>
      </c>
      <c r="E427" s="191" t="s">
        <v>2601</v>
      </c>
      <c r="F427" s="191" t="s">
        <v>2590</v>
      </c>
      <c r="G427" s="191">
        <v>14</v>
      </c>
      <c r="H427" s="192">
        <v>0</v>
      </c>
      <c r="I427" s="192">
        <v>178.92</v>
      </c>
      <c r="J427" s="192">
        <f>SUM(H427,I427)</f>
        <v>178.92</v>
      </c>
    </row>
    <row r="428" spans="1:10" outlineLevel="1">
      <c r="A428" s="193" t="s">
        <v>3556</v>
      </c>
      <c r="B428" s="194"/>
      <c r="C428" s="194"/>
      <c r="D428" s="194"/>
      <c r="E428" s="194"/>
      <c r="F428" s="194"/>
      <c r="G428" s="194">
        <f>SUBTOTAL(9,G419:G427)</f>
        <v>98</v>
      </c>
      <c r="H428" s="195">
        <f>SUBTOTAL(9,H419:H427)</f>
        <v>100</v>
      </c>
      <c r="I428" s="195">
        <f>SUBTOTAL(9,I419:I427)</f>
        <v>1316.2000000000003</v>
      </c>
      <c r="J428" s="195">
        <f>SUBTOTAL(9,J419:J427)</f>
        <v>1416.2</v>
      </c>
    </row>
    <row r="429" spans="1:10" outlineLevel="2">
      <c r="A429" s="191" t="s">
        <v>3168</v>
      </c>
      <c r="B429" s="191" t="s">
        <v>896</v>
      </c>
      <c r="C429" s="191" t="s">
        <v>1034</v>
      </c>
      <c r="D429" s="191" t="s">
        <v>3363</v>
      </c>
      <c r="E429" s="191" t="s">
        <v>2657</v>
      </c>
      <c r="F429" s="191" t="s">
        <v>1487</v>
      </c>
      <c r="G429" s="191">
        <v>28</v>
      </c>
      <c r="H429" s="192">
        <v>100</v>
      </c>
      <c r="I429" s="192">
        <v>253.72</v>
      </c>
      <c r="J429" s="192">
        <f>SUM(H429,I429)</f>
        <v>353.72</v>
      </c>
    </row>
    <row r="430" spans="1:10" outlineLevel="2">
      <c r="A430" s="191" t="s">
        <v>3169</v>
      </c>
      <c r="B430" s="191" t="s">
        <v>871</v>
      </c>
      <c r="C430" s="191" t="s">
        <v>1034</v>
      </c>
      <c r="D430" s="191" t="s">
        <v>1035</v>
      </c>
      <c r="E430" s="191" t="s">
        <v>2586</v>
      </c>
      <c r="F430" s="191" t="s">
        <v>2586</v>
      </c>
      <c r="G430" s="191">
        <v>7</v>
      </c>
      <c r="H430" s="192">
        <v>0</v>
      </c>
      <c r="I430" s="192">
        <v>89.04</v>
      </c>
      <c r="J430" s="192">
        <f>SUM(H430,I430)</f>
        <v>89.04</v>
      </c>
    </row>
    <row r="431" spans="1:10" outlineLevel="2">
      <c r="A431" s="191" t="s">
        <v>1032</v>
      </c>
      <c r="B431" s="191" t="s">
        <v>1033</v>
      </c>
      <c r="C431" s="191" t="s">
        <v>1034</v>
      </c>
      <c r="D431" s="191" t="s">
        <v>3387</v>
      </c>
      <c r="E431" s="191" t="s">
        <v>2599</v>
      </c>
      <c r="F431" s="191" t="s">
        <v>2600</v>
      </c>
      <c r="G431" s="191">
        <v>24</v>
      </c>
      <c r="H431" s="192">
        <v>0</v>
      </c>
      <c r="I431" s="192">
        <v>228.62</v>
      </c>
      <c r="J431" s="192">
        <f>SUM(H431,I431)</f>
        <v>228.62</v>
      </c>
    </row>
    <row r="432" spans="1:10" outlineLevel="1">
      <c r="A432" s="193" t="s">
        <v>3557</v>
      </c>
      <c r="B432" s="194"/>
      <c r="C432" s="194"/>
      <c r="D432" s="194"/>
      <c r="E432" s="194"/>
      <c r="F432" s="194"/>
      <c r="G432" s="194">
        <f>SUBTOTAL(9,G429:G431)</f>
        <v>59</v>
      </c>
      <c r="H432" s="195">
        <f>SUBTOTAL(9,H429:H431)</f>
        <v>100</v>
      </c>
      <c r="I432" s="195">
        <f>SUBTOTAL(9,I429:I431)</f>
        <v>571.38</v>
      </c>
      <c r="J432" s="195">
        <f>SUBTOTAL(9,J429:J431)</f>
        <v>671.38000000000011</v>
      </c>
    </row>
    <row r="433" spans="1:10" outlineLevel="2">
      <c r="A433" s="191" t="s">
        <v>988</v>
      </c>
      <c r="B433" s="191" t="s">
        <v>871</v>
      </c>
      <c r="C433" s="191" t="s">
        <v>1036</v>
      </c>
      <c r="D433" s="191" t="s">
        <v>3299</v>
      </c>
      <c r="E433" s="191" t="s">
        <v>2665</v>
      </c>
      <c r="F433" s="191" t="s">
        <v>1490</v>
      </c>
      <c r="G433" s="191">
        <v>28</v>
      </c>
      <c r="H433" s="192">
        <v>0</v>
      </c>
      <c r="I433" s="192">
        <v>450.4</v>
      </c>
      <c r="J433" s="192">
        <f>SUM(H433,I433)</f>
        <v>450.4</v>
      </c>
    </row>
    <row r="434" spans="1:10" outlineLevel="2">
      <c r="A434" s="191" t="s">
        <v>1037</v>
      </c>
      <c r="B434" s="191" t="s">
        <v>871</v>
      </c>
      <c r="C434" s="191" t="s">
        <v>1036</v>
      </c>
      <c r="D434" s="191" t="s">
        <v>3388</v>
      </c>
      <c r="E434" s="191" t="s">
        <v>2624</v>
      </c>
      <c r="F434" s="191" t="s">
        <v>1496</v>
      </c>
      <c r="G434" s="191">
        <v>21</v>
      </c>
      <c r="H434" s="192">
        <v>0</v>
      </c>
      <c r="I434" s="192">
        <v>331.98</v>
      </c>
      <c r="J434" s="192">
        <f>SUM(H434,I434)</f>
        <v>331.98</v>
      </c>
    </row>
    <row r="435" spans="1:10" outlineLevel="2">
      <c r="A435" s="191" t="s">
        <v>1039</v>
      </c>
      <c r="B435" s="191" t="s">
        <v>871</v>
      </c>
      <c r="C435" s="191" t="s">
        <v>1036</v>
      </c>
      <c r="D435" s="191" t="s">
        <v>1038</v>
      </c>
      <c r="E435" s="191" t="s">
        <v>2715</v>
      </c>
      <c r="F435" s="191" t="s">
        <v>2715</v>
      </c>
      <c r="G435" s="191">
        <v>7</v>
      </c>
      <c r="H435" s="192">
        <v>0</v>
      </c>
      <c r="I435" s="192">
        <v>94.52</v>
      </c>
      <c r="J435" s="192">
        <f>SUM(H435,I435)</f>
        <v>94.52</v>
      </c>
    </row>
    <row r="436" spans="1:10" outlineLevel="2">
      <c r="A436" s="191" t="s">
        <v>1039</v>
      </c>
      <c r="B436" s="191" t="s">
        <v>871</v>
      </c>
      <c r="C436" s="191" t="s">
        <v>1036</v>
      </c>
      <c r="D436" s="191" t="s">
        <v>3389</v>
      </c>
      <c r="E436" s="191" t="s">
        <v>2603</v>
      </c>
      <c r="F436" s="191" t="s">
        <v>2603</v>
      </c>
      <c r="G436" s="191">
        <v>7</v>
      </c>
      <c r="H436" s="192">
        <v>0</v>
      </c>
      <c r="I436" s="192">
        <v>96.38</v>
      </c>
      <c r="J436" s="192">
        <f>SUM(H436,I436)</f>
        <v>96.38</v>
      </c>
    </row>
    <row r="437" spans="1:10" outlineLevel="2">
      <c r="A437" s="191" t="s">
        <v>1040</v>
      </c>
      <c r="B437" s="191" t="s">
        <v>1041</v>
      </c>
      <c r="C437" s="191" t="s">
        <v>1036</v>
      </c>
      <c r="D437" s="191" t="s">
        <v>3388</v>
      </c>
      <c r="E437" s="191" t="s">
        <v>2624</v>
      </c>
      <c r="F437" s="191" t="s">
        <v>1496</v>
      </c>
      <c r="G437" s="191">
        <v>21</v>
      </c>
      <c r="H437" s="192">
        <v>0</v>
      </c>
      <c r="I437" s="192">
        <v>374.13</v>
      </c>
      <c r="J437" s="192">
        <f>SUM(H437,I437)</f>
        <v>374.13</v>
      </c>
    </row>
    <row r="438" spans="1:10" outlineLevel="2">
      <c r="A438" s="191" t="s">
        <v>3170</v>
      </c>
      <c r="B438" s="191" t="s">
        <v>871</v>
      </c>
      <c r="C438" s="191" t="s">
        <v>1036</v>
      </c>
      <c r="D438" s="191" t="s">
        <v>1038</v>
      </c>
      <c r="E438" s="191" t="s">
        <v>2715</v>
      </c>
      <c r="F438" s="191" t="s">
        <v>2715</v>
      </c>
      <c r="G438" s="191">
        <v>7</v>
      </c>
      <c r="H438" s="192">
        <v>0</v>
      </c>
      <c r="I438" s="192">
        <v>102.77</v>
      </c>
      <c r="J438" s="192">
        <f>SUM(H438,I438)</f>
        <v>102.77</v>
      </c>
    </row>
    <row r="439" spans="1:10" outlineLevel="2">
      <c r="A439" s="191" t="s">
        <v>3171</v>
      </c>
      <c r="B439" s="191" t="s">
        <v>871</v>
      </c>
      <c r="C439" s="191" t="s">
        <v>1036</v>
      </c>
      <c r="D439" s="191" t="s">
        <v>3388</v>
      </c>
      <c r="E439" s="191" t="s">
        <v>2624</v>
      </c>
      <c r="F439" s="191" t="s">
        <v>1496</v>
      </c>
      <c r="G439" s="191">
        <v>21</v>
      </c>
      <c r="H439" s="192">
        <v>0</v>
      </c>
      <c r="I439" s="192">
        <v>331.98</v>
      </c>
      <c r="J439" s="192">
        <f>SUM(H439,I439)</f>
        <v>331.98</v>
      </c>
    </row>
    <row r="440" spans="1:10" outlineLevel="2">
      <c r="A440" s="191" t="s">
        <v>3172</v>
      </c>
      <c r="B440" s="191" t="s">
        <v>871</v>
      </c>
      <c r="C440" s="191" t="s">
        <v>1036</v>
      </c>
      <c r="D440" s="191" t="s">
        <v>3299</v>
      </c>
      <c r="E440" s="191" t="s">
        <v>2665</v>
      </c>
      <c r="F440" s="191" t="s">
        <v>1490</v>
      </c>
      <c r="G440" s="191">
        <v>28</v>
      </c>
      <c r="H440" s="192">
        <v>0</v>
      </c>
      <c r="I440" s="192">
        <v>455.96</v>
      </c>
      <c r="J440" s="192">
        <f>SUM(H440,I440)</f>
        <v>455.96</v>
      </c>
    </row>
    <row r="441" spans="1:10" outlineLevel="2">
      <c r="A441" s="191" t="s">
        <v>1043</v>
      </c>
      <c r="B441" s="191" t="s">
        <v>871</v>
      </c>
      <c r="C441" s="191" t="s">
        <v>1036</v>
      </c>
      <c r="D441" s="191" t="s">
        <v>3389</v>
      </c>
      <c r="E441" s="191" t="s">
        <v>2603</v>
      </c>
      <c r="F441" s="191" t="s">
        <v>2603</v>
      </c>
      <c r="G441" s="191">
        <v>7</v>
      </c>
      <c r="H441" s="192">
        <v>0</v>
      </c>
      <c r="I441" s="192">
        <v>120.86</v>
      </c>
      <c r="J441" s="192">
        <f>SUM(H441,I441)</f>
        <v>120.86</v>
      </c>
    </row>
    <row r="442" spans="1:10" outlineLevel="2">
      <c r="A442" s="191" t="s">
        <v>1044</v>
      </c>
      <c r="B442" s="191" t="s">
        <v>871</v>
      </c>
      <c r="C442" s="191" t="s">
        <v>1036</v>
      </c>
      <c r="D442" s="191" t="s">
        <v>3388</v>
      </c>
      <c r="E442" s="191" t="s">
        <v>2624</v>
      </c>
      <c r="F442" s="191" t="s">
        <v>1496</v>
      </c>
      <c r="G442" s="191">
        <v>21</v>
      </c>
      <c r="H442" s="192">
        <v>0</v>
      </c>
      <c r="I442" s="192">
        <v>308.31</v>
      </c>
      <c r="J442" s="192">
        <f>SUM(H442,I442)</f>
        <v>308.31</v>
      </c>
    </row>
    <row r="443" spans="1:10" outlineLevel="2">
      <c r="A443" s="191" t="s">
        <v>1044</v>
      </c>
      <c r="B443" s="191" t="s">
        <v>871</v>
      </c>
      <c r="C443" s="191" t="s">
        <v>1036</v>
      </c>
      <c r="D443" s="191" t="s">
        <v>3295</v>
      </c>
      <c r="E443" s="191" t="s">
        <v>2646</v>
      </c>
      <c r="F443" s="191" t="s">
        <v>2646</v>
      </c>
      <c r="G443" s="191">
        <v>7</v>
      </c>
      <c r="H443" s="192">
        <v>0</v>
      </c>
      <c r="I443" s="192">
        <v>103.28</v>
      </c>
      <c r="J443" s="192">
        <f>SUM(H443,I443)</f>
        <v>103.28</v>
      </c>
    </row>
    <row r="444" spans="1:10" outlineLevel="2">
      <c r="A444" s="191" t="s">
        <v>1045</v>
      </c>
      <c r="B444" s="191" t="s">
        <v>871</v>
      </c>
      <c r="C444" s="191" t="s">
        <v>1036</v>
      </c>
      <c r="D444" s="191" t="s">
        <v>3299</v>
      </c>
      <c r="E444" s="191" t="s">
        <v>2665</v>
      </c>
      <c r="F444" s="191" t="s">
        <v>1490</v>
      </c>
      <c r="G444" s="191">
        <v>28</v>
      </c>
      <c r="H444" s="192">
        <v>0</v>
      </c>
      <c r="I444" s="192">
        <v>455.96</v>
      </c>
      <c r="J444" s="192">
        <f>SUM(H444,I444)</f>
        <v>455.96</v>
      </c>
    </row>
    <row r="445" spans="1:10" outlineLevel="1">
      <c r="A445" s="193" t="s">
        <v>3558</v>
      </c>
      <c r="B445" s="194"/>
      <c r="C445" s="194"/>
      <c r="D445" s="194"/>
      <c r="E445" s="194"/>
      <c r="F445" s="194"/>
      <c r="G445" s="194">
        <f>SUBTOTAL(9,G433:G444)</f>
        <v>203</v>
      </c>
      <c r="H445" s="195">
        <f>SUBTOTAL(9,H433:H444)</f>
        <v>0</v>
      </c>
      <c r="I445" s="195">
        <f>SUBTOTAL(9,I433:I444)</f>
        <v>3226.53</v>
      </c>
      <c r="J445" s="195">
        <f>SUBTOTAL(9,J433:J444)</f>
        <v>3226.53</v>
      </c>
    </row>
    <row r="446" spans="1:10" outlineLevel="2">
      <c r="A446" s="191" t="s">
        <v>1046</v>
      </c>
      <c r="B446" s="191" t="s">
        <v>1047</v>
      </c>
      <c r="C446" s="191" t="s">
        <v>1048</v>
      </c>
      <c r="D446" s="191" t="s">
        <v>3291</v>
      </c>
      <c r="E446" s="191" t="s">
        <v>2675</v>
      </c>
      <c r="F446" s="191" t="s">
        <v>2675</v>
      </c>
      <c r="G446" s="191">
        <v>7</v>
      </c>
      <c r="H446" s="192">
        <v>0</v>
      </c>
      <c r="I446" s="192">
        <v>141.84</v>
      </c>
      <c r="J446" s="192">
        <f>SUM(H446,I446)</f>
        <v>141.84</v>
      </c>
    </row>
    <row r="447" spans="1:10" outlineLevel="2">
      <c r="A447" s="191" t="s">
        <v>1046</v>
      </c>
      <c r="B447" s="191" t="s">
        <v>1047</v>
      </c>
      <c r="C447" s="191" t="s">
        <v>1048</v>
      </c>
      <c r="D447" s="191" t="s">
        <v>3390</v>
      </c>
      <c r="E447" s="191" t="s">
        <v>2638</v>
      </c>
      <c r="F447" s="191" t="s">
        <v>2617</v>
      </c>
      <c r="G447" s="191">
        <v>28</v>
      </c>
      <c r="H447" s="192">
        <v>0</v>
      </c>
      <c r="I447" s="192">
        <v>570.12</v>
      </c>
      <c r="J447" s="192">
        <f>SUM(H447,I447)</f>
        <v>570.12</v>
      </c>
    </row>
    <row r="448" spans="1:10" outlineLevel="1">
      <c r="A448" s="193" t="s">
        <v>3559</v>
      </c>
      <c r="B448" s="194"/>
      <c r="C448" s="194"/>
      <c r="D448" s="194"/>
      <c r="E448" s="194"/>
      <c r="F448" s="194"/>
      <c r="G448" s="194">
        <f>SUBTOTAL(9,G446:G447)</f>
        <v>35</v>
      </c>
      <c r="H448" s="195">
        <f>SUBTOTAL(9,H446:H447)</f>
        <v>0</v>
      </c>
      <c r="I448" s="195">
        <f>SUBTOTAL(9,I446:I447)</f>
        <v>711.96</v>
      </c>
      <c r="J448" s="195">
        <f>SUBTOTAL(9,J446:J447)</f>
        <v>711.96</v>
      </c>
    </row>
    <row r="449" spans="1:10" outlineLevel="2">
      <c r="A449" s="191" t="s">
        <v>1049</v>
      </c>
      <c r="B449" s="191" t="s">
        <v>871</v>
      </c>
      <c r="C449" s="191" t="s">
        <v>1050</v>
      </c>
      <c r="D449" s="191" t="s">
        <v>1035</v>
      </c>
      <c r="E449" s="191" t="s">
        <v>2586</v>
      </c>
      <c r="F449" s="191" t="s">
        <v>2586</v>
      </c>
      <c r="G449" s="191">
        <v>7</v>
      </c>
      <c r="H449" s="192">
        <v>0</v>
      </c>
      <c r="I449" s="192">
        <v>97.3</v>
      </c>
      <c r="J449" s="192">
        <f>SUM(H449,I449)</f>
        <v>97.3</v>
      </c>
    </row>
    <row r="450" spans="1:10" outlineLevel="1">
      <c r="A450" s="193" t="s">
        <v>3560</v>
      </c>
      <c r="B450" s="194"/>
      <c r="C450" s="194"/>
      <c r="D450" s="194"/>
      <c r="E450" s="194"/>
      <c r="F450" s="194"/>
      <c r="G450" s="194">
        <f>SUBTOTAL(9,G449:G449)</f>
        <v>7</v>
      </c>
      <c r="H450" s="195">
        <f>SUBTOTAL(9,H449:H449)</f>
        <v>0</v>
      </c>
      <c r="I450" s="195">
        <f>SUBTOTAL(9,I449:I449)</f>
        <v>97.3</v>
      </c>
      <c r="J450" s="195">
        <f>SUBTOTAL(9,J449:J449)</f>
        <v>97.3</v>
      </c>
    </row>
    <row r="451" spans="1:10" outlineLevel="2">
      <c r="A451" s="191" t="s">
        <v>3173</v>
      </c>
      <c r="B451" s="191" t="s">
        <v>871</v>
      </c>
      <c r="C451" s="191" t="s">
        <v>1051</v>
      </c>
      <c r="D451" s="191" t="s">
        <v>3391</v>
      </c>
      <c r="E451" s="191" t="s">
        <v>2637</v>
      </c>
      <c r="F451" s="191" t="s">
        <v>2608</v>
      </c>
      <c r="G451" s="191">
        <v>28</v>
      </c>
      <c r="H451" s="192">
        <v>0</v>
      </c>
      <c r="I451" s="192">
        <v>468.12</v>
      </c>
      <c r="J451" s="192">
        <f>SUM(H451,I451)</f>
        <v>468.12</v>
      </c>
    </row>
    <row r="452" spans="1:10" outlineLevel="1">
      <c r="A452" s="193" t="s">
        <v>3561</v>
      </c>
      <c r="B452" s="194"/>
      <c r="C452" s="194"/>
      <c r="D452" s="194"/>
      <c r="E452" s="194"/>
      <c r="F452" s="194"/>
      <c r="G452" s="194">
        <f>SUBTOTAL(9,G451:G451)</f>
        <v>28</v>
      </c>
      <c r="H452" s="195">
        <f>SUBTOTAL(9,H451:H451)</f>
        <v>0</v>
      </c>
      <c r="I452" s="195">
        <f>SUBTOTAL(9,I451:I451)</f>
        <v>468.12</v>
      </c>
      <c r="J452" s="195">
        <f>SUBTOTAL(9,J451:J451)</f>
        <v>468.12</v>
      </c>
    </row>
    <row r="453" spans="1:10" outlineLevel="2">
      <c r="A453" s="191" t="s">
        <v>3174</v>
      </c>
      <c r="B453" s="191" t="s">
        <v>871</v>
      </c>
      <c r="C453" s="191" t="s">
        <v>1052</v>
      </c>
      <c r="D453" s="191" t="s">
        <v>3392</v>
      </c>
      <c r="E453" s="191" t="s">
        <v>2639</v>
      </c>
      <c r="F453" s="191" t="s">
        <v>2639</v>
      </c>
      <c r="G453" s="191">
        <v>12</v>
      </c>
      <c r="H453" s="192">
        <v>0</v>
      </c>
      <c r="I453" s="192">
        <v>149.43</v>
      </c>
      <c r="J453" s="192">
        <f>SUM(H453,I453)</f>
        <v>149.43</v>
      </c>
    </row>
    <row r="454" spans="1:10" outlineLevel="2">
      <c r="A454" s="191" t="s">
        <v>3175</v>
      </c>
      <c r="B454" s="191" t="s">
        <v>871</v>
      </c>
      <c r="C454" s="191" t="s">
        <v>1052</v>
      </c>
      <c r="D454" s="191" t="s">
        <v>3309</v>
      </c>
      <c r="E454" s="191" t="s">
        <v>2600</v>
      </c>
      <c r="F454" s="191" t="s">
        <v>2600</v>
      </c>
      <c r="G454" s="191">
        <v>12</v>
      </c>
      <c r="H454" s="192">
        <v>0</v>
      </c>
      <c r="I454" s="192">
        <v>157.15</v>
      </c>
      <c r="J454" s="192">
        <f>SUM(H454,I454)</f>
        <v>157.15</v>
      </c>
    </row>
    <row r="455" spans="1:10" outlineLevel="2">
      <c r="A455" s="191" t="s">
        <v>3176</v>
      </c>
      <c r="B455" s="191" t="s">
        <v>896</v>
      </c>
      <c r="C455" s="191" t="s">
        <v>1052</v>
      </c>
      <c r="D455" s="191" t="s">
        <v>3385</v>
      </c>
      <c r="E455" s="191" t="s">
        <v>2593</v>
      </c>
      <c r="F455" s="191" t="s">
        <v>1487</v>
      </c>
      <c r="G455" s="191">
        <v>24</v>
      </c>
      <c r="H455" s="192">
        <v>100</v>
      </c>
      <c r="I455" s="192">
        <v>229.61</v>
      </c>
      <c r="J455" s="192">
        <f>SUM(H455,I455)</f>
        <v>329.61</v>
      </c>
    </row>
    <row r="456" spans="1:10" outlineLevel="2">
      <c r="A456" s="191" t="s">
        <v>3177</v>
      </c>
      <c r="B456" s="191" t="s">
        <v>871</v>
      </c>
      <c r="C456" s="191" t="s">
        <v>1052</v>
      </c>
      <c r="D456" s="191" t="s">
        <v>3393</v>
      </c>
      <c r="E456" s="191" t="s">
        <v>3477</v>
      </c>
      <c r="F456" s="191" t="s">
        <v>3477</v>
      </c>
      <c r="G456" s="191">
        <v>12</v>
      </c>
      <c r="H456" s="192">
        <v>100</v>
      </c>
      <c r="I456" s="192">
        <v>208.95</v>
      </c>
      <c r="J456" s="192">
        <f>SUM(H456,I456)</f>
        <v>308.95</v>
      </c>
    </row>
    <row r="457" spans="1:10" outlineLevel="2">
      <c r="A457" s="191" t="s">
        <v>3177</v>
      </c>
      <c r="B457" s="191" t="s">
        <v>871</v>
      </c>
      <c r="C457" s="191" t="s">
        <v>1052</v>
      </c>
      <c r="D457" s="191" t="s">
        <v>3393</v>
      </c>
      <c r="E457" s="191" t="s">
        <v>3478</v>
      </c>
      <c r="F457" s="191" t="s">
        <v>3478</v>
      </c>
      <c r="G457" s="191">
        <v>12</v>
      </c>
      <c r="H457" s="192">
        <v>0</v>
      </c>
      <c r="I457" s="192">
        <v>208.95</v>
      </c>
      <c r="J457" s="192">
        <f>SUM(H457,I457)</f>
        <v>208.95</v>
      </c>
    </row>
    <row r="458" spans="1:10" outlineLevel="2">
      <c r="A458" s="191" t="s">
        <v>3177</v>
      </c>
      <c r="B458" s="191" t="s">
        <v>871</v>
      </c>
      <c r="C458" s="191" t="s">
        <v>1052</v>
      </c>
      <c r="D458" s="191" t="s">
        <v>3393</v>
      </c>
      <c r="E458" s="191" t="s">
        <v>2597</v>
      </c>
      <c r="F458" s="191" t="s">
        <v>2597</v>
      </c>
      <c r="G458" s="191">
        <v>12</v>
      </c>
      <c r="H458" s="192">
        <v>0</v>
      </c>
      <c r="I458" s="192">
        <v>208.95</v>
      </c>
      <c r="J458" s="192">
        <f>SUM(H458,I458)</f>
        <v>208.95</v>
      </c>
    </row>
    <row r="459" spans="1:10" outlineLevel="2">
      <c r="A459" s="191" t="s">
        <v>3177</v>
      </c>
      <c r="B459" s="191" t="s">
        <v>871</v>
      </c>
      <c r="C459" s="191" t="s">
        <v>1052</v>
      </c>
      <c r="D459" s="191" t="s">
        <v>3393</v>
      </c>
      <c r="E459" s="191" t="s">
        <v>2598</v>
      </c>
      <c r="F459" s="191" t="s">
        <v>2598</v>
      </c>
      <c r="G459" s="191">
        <v>12</v>
      </c>
      <c r="H459" s="192">
        <v>0</v>
      </c>
      <c r="I459" s="192">
        <v>208.95</v>
      </c>
      <c r="J459" s="192">
        <f>SUM(H459,I459)</f>
        <v>208.95</v>
      </c>
    </row>
    <row r="460" spans="1:10" outlineLevel="2">
      <c r="A460" s="191" t="s">
        <v>3178</v>
      </c>
      <c r="B460" s="191" t="s">
        <v>874</v>
      </c>
      <c r="C460" s="191" t="s">
        <v>1052</v>
      </c>
      <c r="D460" s="191" t="s">
        <v>3394</v>
      </c>
      <c r="E460" s="191" t="s">
        <v>2719</v>
      </c>
      <c r="F460" s="191" t="s">
        <v>2608</v>
      </c>
      <c r="G460" s="191">
        <v>21</v>
      </c>
      <c r="H460" s="192">
        <v>0</v>
      </c>
      <c r="I460" s="192">
        <v>407.16</v>
      </c>
      <c r="J460" s="192">
        <f>SUM(H460,I460)</f>
        <v>407.16</v>
      </c>
    </row>
    <row r="461" spans="1:10" outlineLevel="2">
      <c r="A461" s="191" t="s">
        <v>3179</v>
      </c>
      <c r="B461" s="191" t="s">
        <v>871</v>
      </c>
      <c r="C461" s="191" t="s">
        <v>1052</v>
      </c>
      <c r="D461" s="191" t="s">
        <v>3395</v>
      </c>
      <c r="E461" s="191" t="s">
        <v>3479</v>
      </c>
      <c r="F461" s="191" t="s">
        <v>3479</v>
      </c>
      <c r="G461" s="191">
        <v>12</v>
      </c>
      <c r="H461" s="192">
        <v>0</v>
      </c>
      <c r="I461" s="192">
        <v>154.37</v>
      </c>
      <c r="J461" s="192">
        <f>SUM(H461,I461)</f>
        <v>154.37</v>
      </c>
    </row>
    <row r="462" spans="1:10" outlineLevel="2">
      <c r="A462" s="191" t="s">
        <v>3179</v>
      </c>
      <c r="B462" s="191" t="s">
        <v>871</v>
      </c>
      <c r="C462" s="191" t="s">
        <v>1052</v>
      </c>
      <c r="D462" s="191" t="s">
        <v>3395</v>
      </c>
      <c r="E462" s="191" t="s">
        <v>1503</v>
      </c>
      <c r="F462" s="191" t="s">
        <v>1503</v>
      </c>
      <c r="G462" s="191">
        <v>12</v>
      </c>
      <c r="H462" s="192">
        <v>0</v>
      </c>
      <c r="I462" s="192">
        <v>154.37</v>
      </c>
      <c r="J462" s="192">
        <f>SUM(H462,I462)</f>
        <v>154.37</v>
      </c>
    </row>
    <row r="463" spans="1:10" outlineLevel="2">
      <c r="A463" s="191" t="s">
        <v>3180</v>
      </c>
      <c r="B463" s="191" t="s">
        <v>3132</v>
      </c>
      <c r="C463" s="191" t="s">
        <v>1052</v>
      </c>
      <c r="D463" s="191" t="s">
        <v>3394</v>
      </c>
      <c r="E463" s="191" t="s">
        <v>2719</v>
      </c>
      <c r="F463" s="191" t="s">
        <v>2719</v>
      </c>
      <c r="G463" s="191">
        <v>12</v>
      </c>
      <c r="H463" s="192">
        <v>0</v>
      </c>
      <c r="I463" s="192">
        <v>133.15</v>
      </c>
      <c r="J463" s="192">
        <f>SUM(H463,I463)</f>
        <v>133.15</v>
      </c>
    </row>
    <row r="464" spans="1:10" outlineLevel="2">
      <c r="A464" s="191" t="s">
        <v>3181</v>
      </c>
      <c r="B464" s="191" t="s">
        <v>871</v>
      </c>
      <c r="C464" s="191" t="s">
        <v>1052</v>
      </c>
      <c r="D464" s="191" t="s">
        <v>3309</v>
      </c>
      <c r="E464" s="191" t="s">
        <v>2600</v>
      </c>
      <c r="F464" s="191" t="s">
        <v>2600</v>
      </c>
      <c r="G464" s="191">
        <v>12</v>
      </c>
      <c r="H464" s="192">
        <v>0</v>
      </c>
      <c r="I464" s="192">
        <v>157.15</v>
      </c>
      <c r="J464" s="192">
        <f>SUM(H464,I464)</f>
        <v>157.15</v>
      </c>
    </row>
    <row r="465" spans="1:10" outlineLevel="2">
      <c r="A465" s="191" t="s">
        <v>3182</v>
      </c>
      <c r="B465" s="191" t="s">
        <v>871</v>
      </c>
      <c r="C465" s="191" t="s">
        <v>1052</v>
      </c>
      <c r="D465" s="191" t="s">
        <v>3396</v>
      </c>
      <c r="E465" s="191" t="s">
        <v>2585</v>
      </c>
      <c r="F465" s="191" t="s">
        <v>2585</v>
      </c>
      <c r="G465" s="191">
        <v>12</v>
      </c>
      <c r="H465" s="192">
        <v>0</v>
      </c>
      <c r="I465" s="192">
        <v>154.77000000000001</v>
      </c>
      <c r="J465" s="192">
        <f>SUM(H465,I465)</f>
        <v>154.77000000000001</v>
      </c>
    </row>
    <row r="466" spans="1:10" outlineLevel="2">
      <c r="A466" s="191" t="s">
        <v>3183</v>
      </c>
      <c r="B466" s="191" t="s">
        <v>871</v>
      </c>
      <c r="C466" s="191" t="s">
        <v>1052</v>
      </c>
      <c r="D466" s="191" t="s">
        <v>3397</v>
      </c>
      <c r="E466" s="191" t="s">
        <v>2695</v>
      </c>
      <c r="F466" s="191" t="s">
        <v>2598</v>
      </c>
      <c r="G466" s="191">
        <v>0</v>
      </c>
      <c r="H466" s="192">
        <v>100</v>
      </c>
      <c r="I466" s="192">
        <v>0</v>
      </c>
      <c r="J466" s="192">
        <f>SUM(H466,I466)</f>
        <v>100</v>
      </c>
    </row>
    <row r="467" spans="1:10" outlineLevel="2">
      <c r="A467" s="191" t="s">
        <v>3184</v>
      </c>
      <c r="B467" s="191" t="s">
        <v>871</v>
      </c>
      <c r="C467" s="191" t="s">
        <v>1052</v>
      </c>
      <c r="D467" s="191" t="s">
        <v>3395</v>
      </c>
      <c r="E467" s="191" t="s">
        <v>3479</v>
      </c>
      <c r="F467" s="191" t="s">
        <v>3479</v>
      </c>
      <c r="G467" s="191">
        <v>12</v>
      </c>
      <c r="H467" s="192">
        <v>0</v>
      </c>
      <c r="I467" s="192">
        <v>157.15</v>
      </c>
      <c r="J467" s="192">
        <f>SUM(H467,I467)</f>
        <v>157.15</v>
      </c>
    </row>
    <row r="468" spans="1:10" outlineLevel="2">
      <c r="A468" s="191" t="s">
        <v>3184</v>
      </c>
      <c r="B468" s="191" t="s">
        <v>871</v>
      </c>
      <c r="C468" s="191" t="s">
        <v>1052</v>
      </c>
      <c r="D468" s="191" t="s">
        <v>3395</v>
      </c>
      <c r="E468" s="191" t="s">
        <v>1503</v>
      </c>
      <c r="F468" s="191" t="s">
        <v>1503</v>
      </c>
      <c r="G468" s="191">
        <v>12</v>
      </c>
      <c r="H468" s="192">
        <v>0</v>
      </c>
      <c r="I468" s="192">
        <v>157.15</v>
      </c>
      <c r="J468" s="192">
        <f>SUM(H468,I468)</f>
        <v>157.15</v>
      </c>
    </row>
    <row r="469" spans="1:10" outlineLevel="2">
      <c r="A469" s="191" t="s">
        <v>3185</v>
      </c>
      <c r="B469" s="191" t="s">
        <v>871</v>
      </c>
      <c r="C469" s="191" t="s">
        <v>1052</v>
      </c>
      <c r="D469" s="191" t="s">
        <v>3395</v>
      </c>
      <c r="E469" s="191" t="s">
        <v>3480</v>
      </c>
      <c r="F469" s="191" t="s">
        <v>2629</v>
      </c>
      <c r="G469" s="191">
        <v>24</v>
      </c>
      <c r="H469" s="192">
        <v>0</v>
      </c>
      <c r="I469" s="192">
        <v>371.49</v>
      </c>
      <c r="J469" s="192">
        <f>SUM(H469,I469)</f>
        <v>371.49</v>
      </c>
    </row>
    <row r="470" spans="1:10" outlineLevel="2">
      <c r="A470" s="191" t="s">
        <v>3186</v>
      </c>
      <c r="B470" s="191" t="s">
        <v>871</v>
      </c>
      <c r="C470" s="191" t="s">
        <v>1052</v>
      </c>
      <c r="D470" s="191" t="s">
        <v>3394</v>
      </c>
      <c r="E470" s="191" t="s">
        <v>2608</v>
      </c>
      <c r="F470" s="191" t="s">
        <v>2608</v>
      </c>
      <c r="G470" s="191">
        <v>12</v>
      </c>
      <c r="H470" s="192">
        <v>0</v>
      </c>
      <c r="I470" s="192">
        <v>183.07</v>
      </c>
      <c r="J470" s="192">
        <f>SUM(H470,I470)</f>
        <v>183.07</v>
      </c>
    </row>
    <row r="471" spans="1:10" outlineLevel="2">
      <c r="A471" s="191" t="s">
        <v>1053</v>
      </c>
      <c r="B471" s="191" t="s">
        <v>871</v>
      </c>
      <c r="C471" s="191" t="s">
        <v>1052</v>
      </c>
      <c r="D471" s="191" t="s">
        <v>3395</v>
      </c>
      <c r="E471" s="191" t="s">
        <v>3480</v>
      </c>
      <c r="F471" s="191" t="s">
        <v>2629</v>
      </c>
      <c r="G471" s="191">
        <v>24</v>
      </c>
      <c r="H471" s="192">
        <v>0</v>
      </c>
      <c r="I471" s="192">
        <v>328.32</v>
      </c>
      <c r="J471" s="192">
        <f>SUM(H471,I471)</f>
        <v>328.32</v>
      </c>
    </row>
    <row r="472" spans="1:10" outlineLevel="2">
      <c r="A472" s="191" t="s">
        <v>3187</v>
      </c>
      <c r="B472" s="191" t="s">
        <v>871</v>
      </c>
      <c r="C472" s="191" t="s">
        <v>1052</v>
      </c>
      <c r="D472" s="191" t="s">
        <v>2520</v>
      </c>
      <c r="E472" s="191" t="s">
        <v>2745</v>
      </c>
      <c r="F472" s="191" t="s">
        <v>2745</v>
      </c>
      <c r="G472" s="191">
        <v>12</v>
      </c>
      <c r="H472" s="192">
        <v>0</v>
      </c>
      <c r="I472" s="192">
        <v>183.96</v>
      </c>
      <c r="J472" s="192">
        <f>SUM(H472,I472)</f>
        <v>183.96</v>
      </c>
    </row>
    <row r="473" spans="1:10" outlineLevel="2">
      <c r="A473" s="191" t="s">
        <v>3187</v>
      </c>
      <c r="B473" s="191" t="s">
        <v>871</v>
      </c>
      <c r="C473" s="191" t="s">
        <v>1052</v>
      </c>
      <c r="D473" s="191" t="s">
        <v>2520</v>
      </c>
      <c r="E473" s="191" t="s">
        <v>2696</v>
      </c>
      <c r="F473" s="191" t="s">
        <v>2696</v>
      </c>
      <c r="G473" s="191">
        <v>12</v>
      </c>
      <c r="H473" s="192">
        <v>0</v>
      </c>
      <c r="I473" s="192">
        <v>183.96</v>
      </c>
      <c r="J473" s="192">
        <f>SUM(H473,I473)</f>
        <v>183.96</v>
      </c>
    </row>
    <row r="474" spans="1:10" outlineLevel="2">
      <c r="A474" s="191" t="s">
        <v>3187</v>
      </c>
      <c r="B474" s="191" t="s">
        <v>871</v>
      </c>
      <c r="C474" s="191" t="s">
        <v>1052</v>
      </c>
      <c r="D474" s="191" t="s">
        <v>2520</v>
      </c>
      <c r="E474" s="191" t="s">
        <v>2742</v>
      </c>
      <c r="F474" s="191" t="s">
        <v>2742</v>
      </c>
      <c r="G474" s="191">
        <v>12</v>
      </c>
      <c r="H474" s="192">
        <v>100</v>
      </c>
      <c r="I474" s="192">
        <v>183.96</v>
      </c>
      <c r="J474" s="192">
        <f>SUM(H474,I474)</f>
        <v>283.96000000000004</v>
      </c>
    </row>
    <row r="475" spans="1:10" outlineLevel="2">
      <c r="A475" s="191" t="s">
        <v>3187</v>
      </c>
      <c r="B475" s="191" t="s">
        <v>871</v>
      </c>
      <c r="C475" s="191" t="s">
        <v>1052</v>
      </c>
      <c r="D475" s="191" t="s">
        <v>2520</v>
      </c>
      <c r="E475" s="191" t="s">
        <v>2636</v>
      </c>
      <c r="F475" s="191" t="s">
        <v>2636</v>
      </c>
      <c r="G475" s="191">
        <v>12</v>
      </c>
      <c r="H475" s="192">
        <v>0</v>
      </c>
      <c r="I475" s="192">
        <v>183.96</v>
      </c>
      <c r="J475" s="192">
        <f>SUM(H475,I475)</f>
        <v>183.96</v>
      </c>
    </row>
    <row r="476" spans="1:10" outlineLevel="2">
      <c r="A476" s="191" t="s">
        <v>3188</v>
      </c>
      <c r="B476" s="191" t="s">
        <v>871</v>
      </c>
      <c r="C476" s="191" t="s">
        <v>1052</v>
      </c>
      <c r="D476" s="191" t="s">
        <v>3398</v>
      </c>
      <c r="E476" s="191" t="s">
        <v>2594</v>
      </c>
      <c r="F476" s="191" t="s">
        <v>2588</v>
      </c>
      <c r="G476" s="191">
        <v>0</v>
      </c>
      <c r="H476" s="192">
        <v>110</v>
      </c>
      <c r="I476" s="192">
        <v>0</v>
      </c>
      <c r="J476" s="192">
        <f>SUM(H476,I476)</f>
        <v>110</v>
      </c>
    </row>
    <row r="477" spans="1:10" outlineLevel="2">
      <c r="A477" s="191" t="s">
        <v>3189</v>
      </c>
      <c r="B477" s="191" t="s">
        <v>896</v>
      </c>
      <c r="C477" s="191" t="s">
        <v>1052</v>
      </c>
      <c r="D477" s="191" t="s">
        <v>3399</v>
      </c>
      <c r="E477" s="191" t="s">
        <v>2657</v>
      </c>
      <c r="F477" s="191" t="s">
        <v>2657</v>
      </c>
      <c r="G477" s="191">
        <v>12</v>
      </c>
      <c r="H477" s="192">
        <v>0</v>
      </c>
      <c r="I477" s="192">
        <v>108.89</v>
      </c>
      <c r="J477" s="192">
        <f>SUM(H477,I477)</f>
        <v>108.89</v>
      </c>
    </row>
    <row r="478" spans="1:10" outlineLevel="2">
      <c r="A478" s="191" t="s">
        <v>3189</v>
      </c>
      <c r="B478" s="191" t="s">
        <v>896</v>
      </c>
      <c r="C478" s="191" t="s">
        <v>1052</v>
      </c>
      <c r="D478" s="191" t="s">
        <v>3399</v>
      </c>
      <c r="E478" s="191" t="s">
        <v>3471</v>
      </c>
      <c r="F478" s="191" t="s">
        <v>3471</v>
      </c>
      <c r="G478" s="191">
        <v>12</v>
      </c>
      <c r="H478" s="192">
        <v>100</v>
      </c>
      <c r="I478" s="192">
        <v>108.89</v>
      </c>
      <c r="J478" s="192">
        <f>SUM(H478,I478)</f>
        <v>208.89</v>
      </c>
    </row>
    <row r="479" spans="1:10" outlineLevel="2">
      <c r="A479" s="191" t="s">
        <v>3190</v>
      </c>
      <c r="B479" s="191" t="s">
        <v>871</v>
      </c>
      <c r="C479" s="191" t="s">
        <v>1052</v>
      </c>
      <c r="D479" s="191" t="s">
        <v>3394</v>
      </c>
      <c r="E479" s="191" t="s">
        <v>2719</v>
      </c>
      <c r="F479" s="191" t="s">
        <v>2719</v>
      </c>
      <c r="G479" s="191">
        <v>12</v>
      </c>
      <c r="H479" s="192">
        <v>0</v>
      </c>
      <c r="I479" s="192">
        <v>157.15</v>
      </c>
      <c r="J479" s="192">
        <f>SUM(H479,I479)</f>
        <v>157.15</v>
      </c>
    </row>
    <row r="480" spans="1:10" outlineLevel="2">
      <c r="A480" s="191" t="s">
        <v>3190</v>
      </c>
      <c r="B480" s="191" t="s">
        <v>871</v>
      </c>
      <c r="C480" s="191" t="s">
        <v>1052</v>
      </c>
      <c r="D480" s="191" t="s">
        <v>3400</v>
      </c>
      <c r="E480" s="191" t="s">
        <v>2633</v>
      </c>
      <c r="F480" s="191" t="s">
        <v>2633</v>
      </c>
      <c r="G480" s="191">
        <v>12</v>
      </c>
      <c r="H480" s="192">
        <v>100</v>
      </c>
      <c r="I480" s="192">
        <v>155.13999999999999</v>
      </c>
      <c r="J480" s="192">
        <f>SUM(H480,I480)</f>
        <v>255.14</v>
      </c>
    </row>
    <row r="481" spans="1:10" outlineLevel="2">
      <c r="A481" s="191" t="s">
        <v>3191</v>
      </c>
      <c r="B481" s="191" t="s">
        <v>896</v>
      </c>
      <c r="C481" s="191" t="s">
        <v>1052</v>
      </c>
      <c r="D481" s="191" t="s">
        <v>3385</v>
      </c>
      <c r="E481" s="191" t="s">
        <v>2593</v>
      </c>
      <c r="F481" s="191" t="s">
        <v>1487</v>
      </c>
      <c r="G481" s="191">
        <v>24</v>
      </c>
      <c r="H481" s="192">
        <v>100</v>
      </c>
      <c r="I481" s="192">
        <v>216</v>
      </c>
      <c r="J481" s="192">
        <f>SUM(H481,I481)</f>
        <v>316</v>
      </c>
    </row>
    <row r="482" spans="1:10" outlineLevel="2">
      <c r="A482" s="191" t="s">
        <v>3192</v>
      </c>
      <c r="B482" s="191" t="s">
        <v>871</v>
      </c>
      <c r="C482" s="191" t="s">
        <v>1052</v>
      </c>
      <c r="D482" s="191" t="s">
        <v>3395</v>
      </c>
      <c r="E482" s="191" t="s">
        <v>2629</v>
      </c>
      <c r="F482" s="191" t="s">
        <v>2629</v>
      </c>
      <c r="G482" s="191">
        <v>12</v>
      </c>
      <c r="H482" s="192">
        <v>0</v>
      </c>
      <c r="I482" s="192">
        <v>159.53</v>
      </c>
      <c r="J482" s="192">
        <f>SUM(H482,I482)</f>
        <v>159.53</v>
      </c>
    </row>
    <row r="483" spans="1:10" outlineLevel="1">
      <c r="A483" s="193" t="s">
        <v>3562</v>
      </c>
      <c r="B483" s="194"/>
      <c r="C483" s="194"/>
      <c r="D483" s="194"/>
      <c r="E483" s="194"/>
      <c r="F483" s="194"/>
      <c r="G483" s="194">
        <f>SUBTOTAL(9,G453:G482)</f>
        <v>393</v>
      </c>
      <c r="H483" s="195">
        <f>SUBTOTAL(9,H453:H482)</f>
        <v>810</v>
      </c>
      <c r="I483" s="195">
        <f>SUBTOTAL(9,I453:I482)</f>
        <v>5371.5800000000017</v>
      </c>
      <c r="J483" s="195">
        <f>SUBTOTAL(9,J453:J482)</f>
        <v>6181.5800000000017</v>
      </c>
    </row>
    <row r="484" spans="1:10" outlineLevel="2">
      <c r="A484" s="191" t="s">
        <v>1054</v>
      </c>
      <c r="B484" s="191" t="s">
        <v>871</v>
      </c>
      <c r="C484" s="191" t="s">
        <v>1055</v>
      </c>
      <c r="D484" s="191" t="s">
        <v>3307</v>
      </c>
      <c r="E484" s="191" t="s">
        <v>2658</v>
      </c>
      <c r="F484" s="191" t="s">
        <v>2658</v>
      </c>
      <c r="G484" s="191">
        <v>7</v>
      </c>
      <c r="H484" s="192">
        <v>0</v>
      </c>
      <c r="I484" s="192">
        <v>109.91</v>
      </c>
      <c r="J484" s="192">
        <f>SUM(H484,I484)</f>
        <v>109.91</v>
      </c>
    </row>
    <row r="485" spans="1:10" outlineLevel="2">
      <c r="A485" s="191" t="s">
        <v>1054</v>
      </c>
      <c r="B485" s="191" t="s">
        <v>871</v>
      </c>
      <c r="C485" s="191" t="s">
        <v>1055</v>
      </c>
      <c r="D485" s="191" t="s">
        <v>3300</v>
      </c>
      <c r="E485" s="191" t="s">
        <v>2668</v>
      </c>
      <c r="F485" s="191" t="s">
        <v>2669</v>
      </c>
      <c r="G485" s="191">
        <v>21</v>
      </c>
      <c r="H485" s="192">
        <v>100</v>
      </c>
      <c r="I485" s="192">
        <v>329.73</v>
      </c>
      <c r="J485" s="192">
        <f>SUM(H485,I485)</f>
        <v>429.73</v>
      </c>
    </row>
    <row r="486" spans="1:10" outlineLevel="2">
      <c r="A486" s="191" t="s">
        <v>1054</v>
      </c>
      <c r="B486" s="191" t="s">
        <v>871</v>
      </c>
      <c r="C486" s="191" t="s">
        <v>1055</v>
      </c>
      <c r="D486" s="191" t="s">
        <v>2347</v>
      </c>
      <c r="E486" s="191" t="s">
        <v>2747</v>
      </c>
      <c r="F486" s="191" t="s">
        <v>2747</v>
      </c>
      <c r="G486" s="191">
        <v>7</v>
      </c>
      <c r="H486" s="192">
        <v>0</v>
      </c>
      <c r="I486" s="192">
        <v>151.56</v>
      </c>
      <c r="J486" s="192">
        <f>SUM(H486,I486)</f>
        <v>151.56</v>
      </c>
    </row>
    <row r="487" spans="1:10" outlineLevel="2">
      <c r="A487" s="191" t="s">
        <v>3193</v>
      </c>
      <c r="B487" s="191" t="s">
        <v>871</v>
      </c>
      <c r="C487" s="191" t="s">
        <v>1055</v>
      </c>
      <c r="D487" s="191" t="s">
        <v>3308</v>
      </c>
      <c r="E487" s="191" t="s">
        <v>2639</v>
      </c>
      <c r="F487" s="191" t="s">
        <v>2608</v>
      </c>
      <c r="G487" s="191">
        <v>24</v>
      </c>
      <c r="H487" s="192">
        <v>90</v>
      </c>
      <c r="I487" s="192">
        <v>388.42</v>
      </c>
      <c r="J487" s="192">
        <f>SUM(H487,I487)</f>
        <v>478.42</v>
      </c>
    </row>
    <row r="488" spans="1:10" outlineLevel="2">
      <c r="A488" s="191" t="s">
        <v>3193</v>
      </c>
      <c r="B488" s="191" t="s">
        <v>871</v>
      </c>
      <c r="C488" s="191" t="s">
        <v>1055</v>
      </c>
      <c r="D488" s="191" t="s">
        <v>3299</v>
      </c>
      <c r="E488" s="191" t="s">
        <v>2717</v>
      </c>
      <c r="F488" s="191" t="s">
        <v>1490</v>
      </c>
      <c r="G488" s="191">
        <v>0</v>
      </c>
      <c r="H488" s="192">
        <v>150</v>
      </c>
      <c r="I488" s="192">
        <v>0</v>
      </c>
      <c r="J488" s="192">
        <f>SUM(H488,I488)</f>
        <v>150</v>
      </c>
    </row>
    <row r="489" spans="1:10" outlineLevel="2">
      <c r="A489" s="191" t="s">
        <v>3194</v>
      </c>
      <c r="B489" s="191" t="s">
        <v>871</v>
      </c>
      <c r="C489" s="191" t="s">
        <v>1055</v>
      </c>
      <c r="D489" s="191" t="s">
        <v>2304</v>
      </c>
      <c r="E489" s="191" t="s">
        <v>2650</v>
      </c>
      <c r="F489" s="191" t="s">
        <v>2650</v>
      </c>
      <c r="G489" s="191">
        <v>12</v>
      </c>
      <c r="H489" s="192">
        <v>90</v>
      </c>
      <c r="I489" s="192">
        <v>169.63</v>
      </c>
      <c r="J489" s="192">
        <f>SUM(H489,I489)</f>
        <v>259.63</v>
      </c>
    </row>
    <row r="490" spans="1:10" outlineLevel="2">
      <c r="A490" s="191" t="s">
        <v>3195</v>
      </c>
      <c r="B490" s="191" t="s">
        <v>871</v>
      </c>
      <c r="C490" s="191" t="s">
        <v>1055</v>
      </c>
      <c r="D490" s="191" t="s">
        <v>2304</v>
      </c>
      <c r="E490" s="191" t="s">
        <v>2646</v>
      </c>
      <c r="F490" s="191" t="s">
        <v>2646</v>
      </c>
      <c r="G490" s="191">
        <v>12</v>
      </c>
      <c r="H490" s="192">
        <v>100</v>
      </c>
      <c r="I490" s="192">
        <v>167.37</v>
      </c>
      <c r="J490" s="192">
        <f>SUM(H490,I490)</f>
        <v>267.37</v>
      </c>
    </row>
    <row r="491" spans="1:10" outlineLevel="2">
      <c r="A491" s="191" t="s">
        <v>3196</v>
      </c>
      <c r="B491" s="191" t="s">
        <v>871</v>
      </c>
      <c r="C491" s="191" t="s">
        <v>1055</v>
      </c>
      <c r="D491" s="191" t="s">
        <v>3401</v>
      </c>
      <c r="E491" s="191" t="s">
        <v>3481</v>
      </c>
      <c r="F491" s="191" t="s">
        <v>2685</v>
      </c>
      <c r="G491" s="191">
        <v>0</v>
      </c>
      <c r="H491" s="192">
        <v>100</v>
      </c>
      <c r="I491" s="192">
        <v>0</v>
      </c>
      <c r="J491" s="192">
        <f>SUM(H491,I491)</f>
        <v>100</v>
      </c>
    </row>
    <row r="492" spans="1:10" outlineLevel="2">
      <c r="A492" s="191" t="s">
        <v>3091</v>
      </c>
      <c r="B492" s="191" t="s">
        <v>871</v>
      </c>
      <c r="C492" s="191" t="s">
        <v>1055</v>
      </c>
      <c r="D492" s="191" t="s">
        <v>2304</v>
      </c>
      <c r="E492" s="191" t="s">
        <v>2653</v>
      </c>
      <c r="F492" s="191" t="s">
        <v>2646</v>
      </c>
      <c r="G492" s="191">
        <v>0</v>
      </c>
      <c r="H492" s="192">
        <v>90</v>
      </c>
      <c r="I492" s="192">
        <v>0</v>
      </c>
      <c r="J492" s="192">
        <f>SUM(H492,I492)</f>
        <v>90</v>
      </c>
    </row>
    <row r="493" spans="1:10" outlineLevel="2">
      <c r="A493" s="191" t="s">
        <v>3197</v>
      </c>
      <c r="B493" s="191" t="s">
        <v>871</v>
      </c>
      <c r="C493" s="191" t="s">
        <v>1055</v>
      </c>
      <c r="D493" s="191" t="s">
        <v>3308</v>
      </c>
      <c r="E493" s="191" t="s">
        <v>2639</v>
      </c>
      <c r="F493" s="191" t="s">
        <v>2608</v>
      </c>
      <c r="G493" s="191">
        <v>24</v>
      </c>
      <c r="H493" s="192">
        <v>90</v>
      </c>
      <c r="I493" s="192">
        <v>319.06</v>
      </c>
      <c r="J493" s="192">
        <f>SUM(H493,I493)</f>
        <v>409.06</v>
      </c>
    </row>
    <row r="494" spans="1:10" outlineLevel="2">
      <c r="A494" s="191" t="s">
        <v>3198</v>
      </c>
      <c r="B494" s="191" t="s">
        <v>871</v>
      </c>
      <c r="C494" s="191" t="s">
        <v>1055</v>
      </c>
      <c r="D494" s="191" t="s">
        <v>2304</v>
      </c>
      <c r="E494" s="191" t="s">
        <v>2653</v>
      </c>
      <c r="F494" s="191" t="s">
        <v>2646</v>
      </c>
      <c r="G494" s="191">
        <v>0</v>
      </c>
      <c r="H494" s="192">
        <v>90</v>
      </c>
      <c r="I494" s="192">
        <v>0</v>
      </c>
      <c r="J494" s="192">
        <f>SUM(H494,I494)</f>
        <v>90</v>
      </c>
    </row>
    <row r="495" spans="1:10" outlineLevel="1">
      <c r="A495" s="193" t="s">
        <v>3563</v>
      </c>
      <c r="B495" s="194"/>
      <c r="C495" s="194"/>
      <c r="D495" s="194"/>
      <c r="E495" s="194"/>
      <c r="F495" s="194"/>
      <c r="G495" s="194">
        <f>SUBTOTAL(9,G484:G494)</f>
        <v>107</v>
      </c>
      <c r="H495" s="195">
        <f>SUBTOTAL(9,H484:H494)</f>
        <v>900</v>
      </c>
      <c r="I495" s="195">
        <f>SUBTOTAL(9,I484:I494)</f>
        <v>1635.6799999999998</v>
      </c>
      <c r="J495" s="195">
        <f>SUBTOTAL(9,J484:J494)</f>
        <v>2535.6799999999998</v>
      </c>
    </row>
    <row r="496" spans="1:10" outlineLevel="2">
      <c r="A496" s="191" t="s">
        <v>3199</v>
      </c>
      <c r="B496" s="191" t="s">
        <v>871</v>
      </c>
      <c r="C496" s="191" t="s">
        <v>1058</v>
      </c>
      <c r="D496" s="191" t="s">
        <v>3228</v>
      </c>
      <c r="E496" s="191" t="s">
        <v>2603</v>
      </c>
      <c r="F496" s="191" t="s">
        <v>2603</v>
      </c>
      <c r="G496" s="191">
        <v>7</v>
      </c>
      <c r="H496" s="192">
        <v>0</v>
      </c>
      <c r="I496" s="192">
        <v>112.6</v>
      </c>
      <c r="J496" s="192">
        <f>SUM(H496,I496)</f>
        <v>112.6</v>
      </c>
    </row>
    <row r="497" spans="1:10" outlineLevel="1">
      <c r="A497" s="193" t="s">
        <v>3564</v>
      </c>
      <c r="B497" s="194"/>
      <c r="C497" s="194"/>
      <c r="D497" s="194"/>
      <c r="E497" s="194"/>
      <c r="F497" s="194"/>
      <c r="G497" s="194">
        <f>SUBTOTAL(9,G496:G496)</f>
        <v>7</v>
      </c>
      <c r="H497" s="195">
        <f>SUBTOTAL(9,H496:H496)</f>
        <v>0</v>
      </c>
      <c r="I497" s="195">
        <f>SUBTOTAL(9,I496:I496)</f>
        <v>112.6</v>
      </c>
      <c r="J497" s="195">
        <f>SUBTOTAL(9,J496:J496)</f>
        <v>112.6</v>
      </c>
    </row>
    <row r="498" spans="1:10" outlineLevel="2">
      <c r="A498" s="191" t="s">
        <v>3200</v>
      </c>
      <c r="B498" s="191" t="s">
        <v>871</v>
      </c>
      <c r="C498" s="191" t="s">
        <v>1059</v>
      </c>
      <c r="D498" s="191" t="s">
        <v>3402</v>
      </c>
      <c r="E498" s="191" t="s">
        <v>1491</v>
      </c>
      <c r="F498" s="191" t="s">
        <v>1491</v>
      </c>
      <c r="G498" s="191">
        <v>12</v>
      </c>
      <c r="H498" s="192">
        <v>200</v>
      </c>
      <c r="I498" s="192">
        <v>180.69</v>
      </c>
      <c r="J498" s="192">
        <f>SUM(H498,I498)</f>
        <v>380.69</v>
      </c>
    </row>
    <row r="499" spans="1:10" outlineLevel="2">
      <c r="A499" s="191" t="s">
        <v>3201</v>
      </c>
      <c r="B499" s="191" t="s">
        <v>871</v>
      </c>
      <c r="C499" s="191" t="s">
        <v>1059</v>
      </c>
      <c r="D499" s="191" t="s">
        <v>193</v>
      </c>
      <c r="E499" s="191" t="s">
        <v>3465</v>
      </c>
      <c r="F499" s="191" t="s">
        <v>3482</v>
      </c>
      <c r="G499" s="191">
        <v>24</v>
      </c>
      <c r="H499" s="192">
        <v>0</v>
      </c>
      <c r="I499" s="192">
        <v>363.15</v>
      </c>
      <c r="J499" s="192">
        <f>SUM(H499,I499)</f>
        <v>363.15</v>
      </c>
    </row>
    <row r="500" spans="1:10" outlineLevel="2">
      <c r="A500" s="191" t="s">
        <v>3202</v>
      </c>
      <c r="B500" s="191" t="s">
        <v>871</v>
      </c>
      <c r="C500" s="191" t="s">
        <v>1059</v>
      </c>
      <c r="D500" s="191" t="s">
        <v>3403</v>
      </c>
      <c r="E500" s="191" t="s">
        <v>2687</v>
      </c>
      <c r="F500" s="191" t="s">
        <v>2687</v>
      </c>
      <c r="G500" s="191">
        <v>12</v>
      </c>
      <c r="H500" s="192">
        <v>100</v>
      </c>
      <c r="I500" s="192">
        <v>157.15</v>
      </c>
      <c r="J500" s="192">
        <f>SUM(H500,I500)</f>
        <v>257.14999999999998</v>
      </c>
    </row>
    <row r="501" spans="1:10" outlineLevel="2">
      <c r="A501" s="191" t="s">
        <v>3203</v>
      </c>
      <c r="B501" s="191" t="s">
        <v>871</v>
      </c>
      <c r="C501" s="191" t="s">
        <v>1059</v>
      </c>
      <c r="D501" s="191" t="s">
        <v>3404</v>
      </c>
      <c r="E501" s="191" t="s">
        <v>2710</v>
      </c>
      <c r="F501" s="191" t="s">
        <v>2710</v>
      </c>
      <c r="G501" s="191">
        <v>12</v>
      </c>
      <c r="H501" s="192">
        <v>0</v>
      </c>
      <c r="I501" s="192">
        <v>154.77000000000001</v>
      </c>
      <c r="J501" s="192">
        <f>SUM(H501,I501)</f>
        <v>154.77000000000001</v>
      </c>
    </row>
    <row r="502" spans="1:10" outlineLevel="2">
      <c r="A502" s="191" t="s">
        <v>3204</v>
      </c>
      <c r="B502" s="191" t="s">
        <v>871</v>
      </c>
      <c r="C502" s="191" t="s">
        <v>1059</v>
      </c>
      <c r="D502" s="191" t="s">
        <v>193</v>
      </c>
      <c r="E502" s="191" t="s">
        <v>3465</v>
      </c>
      <c r="F502" s="191" t="s">
        <v>3482</v>
      </c>
      <c r="G502" s="191">
        <v>24</v>
      </c>
      <c r="H502" s="192">
        <v>0</v>
      </c>
      <c r="I502" s="192">
        <v>312.14</v>
      </c>
      <c r="J502" s="192">
        <f>SUM(H502,I502)</f>
        <v>312.14</v>
      </c>
    </row>
    <row r="503" spans="1:10" outlineLevel="2">
      <c r="A503" s="191" t="s">
        <v>1060</v>
      </c>
      <c r="B503" s="191" t="s">
        <v>871</v>
      </c>
      <c r="C503" s="191" t="s">
        <v>1059</v>
      </c>
      <c r="D503" s="191" t="s">
        <v>3405</v>
      </c>
      <c r="E503" s="191" t="s">
        <v>1482</v>
      </c>
      <c r="F503" s="191" t="s">
        <v>3453</v>
      </c>
      <c r="G503" s="191">
        <v>24</v>
      </c>
      <c r="H503" s="192">
        <v>0</v>
      </c>
      <c r="I503" s="192">
        <v>329.55</v>
      </c>
      <c r="J503" s="192">
        <f>SUM(H503,I503)</f>
        <v>329.55</v>
      </c>
    </row>
    <row r="504" spans="1:10" outlineLevel="2">
      <c r="A504" s="191" t="s">
        <v>1060</v>
      </c>
      <c r="B504" s="191" t="s">
        <v>871</v>
      </c>
      <c r="C504" s="191" t="s">
        <v>1059</v>
      </c>
      <c r="D504" s="191" t="s">
        <v>193</v>
      </c>
      <c r="E504" s="191" t="s">
        <v>3465</v>
      </c>
      <c r="F504" s="191" t="s">
        <v>3482</v>
      </c>
      <c r="G504" s="191">
        <v>24</v>
      </c>
      <c r="H504" s="192">
        <v>0</v>
      </c>
      <c r="I504" s="192">
        <v>335.83</v>
      </c>
      <c r="J504" s="192">
        <f>SUM(H504,I504)</f>
        <v>335.83</v>
      </c>
    </row>
    <row r="505" spans="1:10" outlineLevel="1">
      <c r="A505" s="193" t="s">
        <v>3565</v>
      </c>
      <c r="B505" s="194"/>
      <c r="C505" s="194"/>
      <c r="D505" s="194"/>
      <c r="E505" s="194"/>
      <c r="F505" s="194"/>
      <c r="G505" s="194">
        <f>SUBTOTAL(9,G498:G504)</f>
        <v>132</v>
      </c>
      <c r="H505" s="195">
        <f>SUBTOTAL(9,H498:H504)</f>
        <v>300</v>
      </c>
      <c r="I505" s="195">
        <f>SUBTOTAL(9,I498:I504)</f>
        <v>1833.2799999999997</v>
      </c>
      <c r="J505" s="195">
        <f>SUBTOTAL(9,J498:J504)</f>
        <v>2133.2800000000002</v>
      </c>
    </row>
    <row r="506" spans="1:10" outlineLevel="2">
      <c r="A506" s="191" t="s">
        <v>1061</v>
      </c>
      <c r="B506" s="191" t="s">
        <v>871</v>
      </c>
      <c r="C506" s="191" t="s">
        <v>1062</v>
      </c>
      <c r="D506" s="191" t="s">
        <v>3406</v>
      </c>
      <c r="E506" s="191" t="s">
        <v>1489</v>
      </c>
      <c r="F506" s="191" t="s">
        <v>1489</v>
      </c>
      <c r="G506" s="191">
        <v>7</v>
      </c>
      <c r="H506" s="192">
        <v>0</v>
      </c>
      <c r="I506" s="192">
        <v>92.12</v>
      </c>
      <c r="J506" s="192">
        <f>SUM(H506,I506)</f>
        <v>92.12</v>
      </c>
    </row>
    <row r="507" spans="1:10" outlineLevel="1">
      <c r="A507" s="193" t="s">
        <v>3566</v>
      </c>
      <c r="B507" s="194"/>
      <c r="C507" s="194"/>
      <c r="D507" s="194"/>
      <c r="E507" s="194"/>
      <c r="F507" s="194"/>
      <c r="G507" s="194">
        <f>SUBTOTAL(9,G506:G506)</f>
        <v>7</v>
      </c>
      <c r="H507" s="195">
        <f>SUBTOTAL(9,H506:H506)</f>
        <v>0</v>
      </c>
      <c r="I507" s="195">
        <f>SUBTOTAL(9,I506:I506)</f>
        <v>92.12</v>
      </c>
      <c r="J507" s="195">
        <f>SUBTOTAL(9,J506:J506)</f>
        <v>92.12</v>
      </c>
    </row>
    <row r="508" spans="1:10" outlineLevel="2">
      <c r="A508" s="191" t="s">
        <v>3205</v>
      </c>
      <c r="B508" s="191" t="s">
        <v>871</v>
      </c>
      <c r="C508" s="191" t="s">
        <v>3056</v>
      </c>
      <c r="D508" s="191" t="s">
        <v>3407</v>
      </c>
      <c r="E508" s="191" t="s">
        <v>2620</v>
      </c>
      <c r="F508" s="191" t="s">
        <v>2620</v>
      </c>
      <c r="G508" s="191">
        <v>2</v>
      </c>
      <c r="H508" s="192">
        <v>0</v>
      </c>
      <c r="I508" s="192">
        <v>30.66</v>
      </c>
      <c r="J508" s="192">
        <f>SUM(H508,I508)</f>
        <v>30.66</v>
      </c>
    </row>
    <row r="509" spans="1:10" outlineLevel="2">
      <c r="A509" s="191" t="s">
        <v>3206</v>
      </c>
      <c r="B509" s="191" t="s">
        <v>874</v>
      </c>
      <c r="C509" s="191" t="s">
        <v>3056</v>
      </c>
      <c r="D509" s="191" t="s">
        <v>3309</v>
      </c>
      <c r="E509" s="191" t="s">
        <v>2699</v>
      </c>
      <c r="F509" s="191" t="s">
        <v>2599</v>
      </c>
      <c r="G509" s="191">
        <v>21</v>
      </c>
      <c r="H509" s="192">
        <v>100</v>
      </c>
      <c r="I509" s="192">
        <v>404.31</v>
      </c>
      <c r="J509" s="192">
        <f>SUM(H509,I509)</f>
        <v>504.31</v>
      </c>
    </row>
    <row r="510" spans="1:10" outlineLevel="2">
      <c r="A510" s="191" t="s">
        <v>3207</v>
      </c>
      <c r="B510" s="191" t="s">
        <v>871</v>
      </c>
      <c r="C510" s="191" t="s">
        <v>3056</v>
      </c>
      <c r="D510" s="191" t="s">
        <v>3408</v>
      </c>
      <c r="E510" s="191" t="s">
        <v>1487</v>
      </c>
      <c r="F510" s="191" t="s">
        <v>1487</v>
      </c>
      <c r="G510" s="191">
        <v>12</v>
      </c>
      <c r="H510" s="192">
        <v>59.3</v>
      </c>
      <c r="I510" s="192">
        <v>157.53</v>
      </c>
      <c r="J510" s="192">
        <f>SUM(H510,I510)</f>
        <v>216.82999999999998</v>
      </c>
    </row>
    <row r="511" spans="1:10" outlineLevel="1">
      <c r="A511" s="193" t="s">
        <v>3567</v>
      </c>
      <c r="B511" s="194"/>
      <c r="C511" s="194"/>
      <c r="D511" s="194"/>
      <c r="E511" s="194"/>
      <c r="F511" s="194"/>
      <c r="G511" s="194">
        <f>SUBTOTAL(9,G508:G510)</f>
        <v>35</v>
      </c>
      <c r="H511" s="195">
        <f>SUBTOTAL(9,H508:H510)</f>
        <v>159.30000000000001</v>
      </c>
      <c r="I511" s="195">
        <f>SUBTOTAL(9,I508:I510)</f>
        <v>592.5</v>
      </c>
      <c r="J511" s="195">
        <f>SUBTOTAL(9,J508:J510)</f>
        <v>751.8</v>
      </c>
    </row>
    <row r="512" spans="1:10" outlineLevel="2">
      <c r="A512" s="191" t="s">
        <v>3208</v>
      </c>
      <c r="B512" s="191" t="s">
        <v>977</v>
      </c>
      <c r="C512" s="191" t="s">
        <v>1065</v>
      </c>
      <c r="D512" s="191" t="s">
        <v>2354</v>
      </c>
      <c r="E512" s="191" t="s">
        <v>2646</v>
      </c>
      <c r="F512" s="191" t="s">
        <v>3465</v>
      </c>
      <c r="G512" s="191">
        <v>14</v>
      </c>
      <c r="H512" s="192">
        <v>120</v>
      </c>
      <c r="I512" s="192">
        <v>86.26</v>
      </c>
      <c r="J512" s="192">
        <f>SUM(H512,I512)</f>
        <v>206.26</v>
      </c>
    </row>
    <row r="513" spans="1:10" outlineLevel="2">
      <c r="A513" s="191" t="s">
        <v>3208</v>
      </c>
      <c r="B513" s="191" t="s">
        <v>977</v>
      </c>
      <c r="C513" s="191" t="s">
        <v>1065</v>
      </c>
      <c r="D513" s="191" t="s">
        <v>1459</v>
      </c>
      <c r="E513" s="191" t="s">
        <v>1494</v>
      </c>
      <c r="F513" s="191" t="s">
        <v>1480</v>
      </c>
      <c r="G513" s="191">
        <v>14</v>
      </c>
      <c r="H513" s="192">
        <v>0</v>
      </c>
      <c r="I513" s="192">
        <v>86.26</v>
      </c>
      <c r="J513" s="192">
        <f>SUM(H513,I513)</f>
        <v>86.26</v>
      </c>
    </row>
    <row r="514" spans="1:10" outlineLevel="2">
      <c r="A514" s="191" t="s">
        <v>1066</v>
      </c>
      <c r="B514" s="191" t="s">
        <v>977</v>
      </c>
      <c r="C514" s="191" t="s">
        <v>1065</v>
      </c>
      <c r="D514" s="191" t="s">
        <v>3359</v>
      </c>
      <c r="E514" s="191" t="s">
        <v>2704</v>
      </c>
      <c r="F514" s="191" t="s">
        <v>1483</v>
      </c>
      <c r="G514" s="191">
        <v>21</v>
      </c>
      <c r="H514" s="192">
        <v>239.22</v>
      </c>
      <c r="I514" s="192">
        <v>128.76</v>
      </c>
      <c r="J514" s="192">
        <f>SUM(H514,I514)</f>
        <v>367.98</v>
      </c>
    </row>
    <row r="515" spans="1:10" outlineLevel="2">
      <c r="A515" s="191" t="s">
        <v>1066</v>
      </c>
      <c r="B515" s="191" t="s">
        <v>979</v>
      </c>
      <c r="C515" s="191" t="s">
        <v>1065</v>
      </c>
      <c r="D515" s="191" t="s">
        <v>2354</v>
      </c>
      <c r="E515" s="191" t="s">
        <v>2646</v>
      </c>
      <c r="F515" s="191" t="s">
        <v>3465</v>
      </c>
      <c r="G515" s="191">
        <v>14</v>
      </c>
      <c r="H515" s="192">
        <v>240</v>
      </c>
      <c r="I515" s="192">
        <v>92.42</v>
      </c>
      <c r="J515" s="192">
        <f>SUM(H515,I515)</f>
        <v>332.42</v>
      </c>
    </row>
    <row r="516" spans="1:10" outlineLevel="2">
      <c r="A516" s="191" t="s">
        <v>1066</v>
      </c>
      <c r="B516" s="191" t="s">
        <v>979</v>
      </c>
      <c r="C516" s="191" t="s">
        <v>1065</v>
      </c>
      <c r="D516" s="191" t="s">
        <v>3409</v>
      </c>
      <c r="E516" s="191" t="s">
        <v>1494</v>
      </c>
      <c r="F516" s="191" t="s">
        <v>1480</v>
      </c>
      <c r="G516" s="191">
        <v>14</v>
      </c>
      <c r="H516" s="192">
        <v>0</v>
      </c>
      <c r="I516" s="192">
        <v>92.42</v>
      </c>
      <c r="J516" s="192">
        <f>SUM(H516,I516)</f>
        <v>92.42</v>
      </c>
    </row>
    <row r="517" spans="1:10" outlineLevel="2">
      <c r="A517" s="191" t="s">
        <v>3209</v>
      </c>
      <c r="B517" s="191" t="s">
        <v>977</v>
      </c>
      <c r="C517" s="191" t="s">
        <v>1065</v>
      </c>
      <c r="D517" s="191" t="s">
        <v>3359</v>
      </c>
      <c r="E517" s="191" t="s">
        <v>2704</v>
      </c>
      <c r="F517" s="191" t="s">
        <v>1483</v>
      </c>
      <c r="G517" s="191">
        <v>21</v>
      </c>
      <c r="H517" s="192">
        <v>239.48</v>
      </c>
      <c r="I517" s="192">
        <v>128.76</v>
      </c>
      <c r="J517" s="192">
        <f>SUM(H517,I517)</f>
        <v>368.24</v>
      </c>
    </row>
    <row r="518" spans="1:10" outlineLevel="2">
      <c r="A518" s="191" t="s">
        <v>3209</v>
      </c>
      <c r="B518" s="191" t="s">
        <v>979</v>
      </c>
      <c r="C518" s="191" t="s">
        <v>1065</v>
      </c>
      <c r="D518" s="191" t="s">
        <v>3410</v>
      </c>
      <c r="E518" s="191" t="s">
        <v>2722</v>
      </c>
      <c r="F518" s="191" t="s">
        <v>2722</v>
      </c>
      <c r="G518" s="191">
        <v>7</v>
      </c>
      <c r="H518" s="192">
        <v>0</v>
      </c>
      <c r="I518" s="192">
        <v>46.21</v>
      </c>
      <c r="J518" s="192">
        <f>SUM(H518,I518)</f>
        <v>46.21</v>
      </c>
    </row>
    <row r="519" spans="1:10" outlineLevel="2">
      <c r="A519" s="191" t="s">
        <v>3209</v>
      </c>
      <c r="B519" s="191" t="s">
        <v>979</v>
      </c>
      <c r="C519" s="191" t="s">
        <v>1065</v>
      </c>
      <c r="D519" s="191" t="s">
        <v>3411</v>
      </c>
      <c r="E519" s="191" t="s">
        <v>2646</v>
      </c>
      <c r="F519" s="191" t="s">
        <v>3465</v>
      </c>
      <c r="G519" s="191">
        <v>14</v>
      </c>
      <c r="H519" s="192">
        <v>240</v>
      </c>
      <c r="I519" s="192">
        <v>92.42</v>
      </c>
      <c r="J519" s="192">
        <f>SUM(H519,I519)</f>
        <v>332.42</v>
      </c>
    </row>
    <row r="520" spans="1:10" outlineLevel="2">
      <c r="A520" s="191" t="s">
        <v>3209</v>
      </c>
      <c r="B520" s="191" t="s">
        <v>979</v>
      </c>
      <c r="C520" s="191" t="s">
        <v>1065</v>
      </c>
      <c r="D520" s="191" t="s">
        <v>3412</v>
      </c>
      <c r="E520" s="191" t="s">
        <v>1494</v>
      </c>
      <c r="F520" s="191" t="s">
        <v>1480</v>
      </c>
      <c r="G520" s="191">
        <v>14</v>
      </c>
      <c r="H520" s="192">
        <v>0</v>
      </c>
      <c r="I520" s="192">
        <v>92.42</v>
      </c>
      <c r="J520" s="192">
        <f>SUM(H520,I520)</f>
        <v>92.42</v>
      </c>
    </row>
    <row r="521" spans="1:10" outlineLevel="2">
      <c r="A521" s="191" t="s">
        <v>3210</v>
      </c>
      <c r="B521" s="191" t="s">
        <v>977</v>
      </c>
      <c r="C521" s="191" t="s">
        <v>1065</v>
      </c>
      <c r="D521" s="191" t="s">
        <v>3413</v>
      </c>
      <c r="E521" s="191" t="s">
        <v>2646</v>
      </c>
      <c r="F521" s="191" t="s">
        <v>2646</v>
      </c>
      <c r="G521" s="191">
        <v>7</v>
      </c>
      <c r="H521" s="192">
        <v>117.48</v>
      </c>
      <c r="I521" s="192">
        <v>43.13</v>
      </c>
      <c r="J521" s="192">
        <f>SUM(H521,I521)</f>
        <v>160.61000000000001</v>
      </c>
    </row>
    <row r="522" spans="1:10" outlineLevel="2">
      <c r="A522" s="191" t="s">
        <v>3210</v>
      </c>
      <c r="B522" s="191" t="s">
        <v>977</v>
      </c>
      <c r="C522" s="191" t="s">
        <v>1065</v>
      </c>
      <c r="D522" s="191" t="s">
        <v>3414</v>
      </c>
      <c r="E522" s="191" t="s">
        <v>2724</v>
      </c>
      <c r="F522" s="191" t="s">
        <v>2724</v>
      </c>
      <c r="G522" s="191">
        <v>7</v>
      </c>
      <c r="H522" s="192">
        <v>0</v>
      </c>
      <c r="I522" s="192">
        <v>43.13</v>
      </c>
      <c r="J522" s="192">
        <f>SUM(H522,I522)</f>
        <v>43.13</v>
      </c>
    </row>
    <row r="523" spans="1:10" outlineLevel="2">
      <c r="A523" s="191" t="s">
        <v>3210</v>
      </c>
      <c r="B523" s="191" t="s">
        <v>977</v>
      </c>
      <c r="C523" s="191" t="s">
        <v>1065</v>
      </c>
      <c r="D523" s="191" t="s">
        <v>2347</v>
      </c>
      <c r="E523" s="191" t="s">
        <v>2747</v>
      </c>
      <c r="F523" s="191" t="s">
        <v>2747</v>
      </c>
      <c r="G523" s="191">
        <v>7</v>
      </c>
      <c r="H523" s="192">
        <v>45</v>
      </c>
      <c r="I523" s="192">
        <v>58.54</v>
      </c>
      <c r="J523" s="192">
        <f>SUM(H523,I523)</f>
        <v>103.53999999999999</v>
      </c>
    </row>
    <row r="524" spans="1:10" outlineLevel="2">
      <c r="A524" s="191" t="s">
        <v>1067</v>
      </c>
      <c r="B524" s="191" t="s">
        <v>977</v>
      </c>
      <c r="C524" s="191" t="s">
        <v>1065</v>
      </c>
      <c r="D524" s="191" t="s">
        <v>3359</v>
      </c>
      <c r="E524" s="191" t="s">
        <v>2704</v>
      </c>
      <c r="F524" s="191" t="s">
        <v>1483</v>
      </c>
      <c r="G524" s="191">
        <v>21</v>
      </c>
      <c r="H524" s="192">
        <v>239.48</v>
      </c>
      <c r="I524" s="192">
        <v>128.76</v>
      </c>
      <c r="J524" s="192">
        <f>SUM(H524,I524)</f>
        <v>368.24</v>
      </c>
    </row>
    <row r="525" spans="1:10" outlineLevel="2">
      <c r="A525" s="191" t="s">
        <v>1067</v>
      </c>
      <c r="B525" s="191" t="s">
        <v>979</v>
      </c>
      <c r="C525" s="191" t="s">
        <v>1065</v>
      </c>
      <c r="D525" s="191" t="s">
        <v>2354</v>
      </c>
      <c r="E525" s="191" t="s">
        <v>2646</v>
      </c>
      <c r="F525" s="191" t="s">
        <v>3465</v>
      </c>
      <c r="G525" s="191">
        <v>14</v>
      </c>
      <c r="H525" s="192">
        <v>0</v>
      </c>
      <c r="I525" s="192">
        <v>92.42</v>
      </c>
      <c r="J525" s="192">
        <f>SUM(H525,I525)</f>
        <v>92.42</v>
      </c>
    </row>
    <row r="526" spans="1:10" outlineLevel="2">
      <c r="A526" s="191" t="s">
        <v>1067</v>
      </c>
      <c r="B526" s="191" t="s">
        <v>979</v>
      </c>
      <c r="C526" s="191" t="s">
        <v>1065</v>
      </c>
      <c r="D526" s="191" t="s">
        <v>3409</v>
      </c>
      <c r="E526" s="191" t="s">
        <v>1494</v>
      </c>
      <c r="F526" s="191" t="s">
        <v>1480</v>
      </c>
      <c r="G526" s="191">
        <v>14</v>
      </c>
      <c r="H526" s="192">
        <v>0</v>
      </c>
      <c r="I526" s="192">
        <v>92.42</v>
      </c>
      <c r="J526" s="192">
        <f>SUM(H526,I526)</f>
        <v>92.42</v>
      </c>
    </row>
    <row r="527" spans="1:10" outlineLevel="2">
      <c r="A527" s="191" t="s">
        <v>3211</v>
      </c>
      <c r="B527" s="191" t="s">
        <v>977</v>
      </c>
      <c r="C527" s="191" t="s">
        <v>1065</v>
      </c>
      <c r="D527" s="191" t="s">
        <v>2354</v>
      </c>
      <c r="E527" s="191" t="s">
        <v>2646</v>
      </c>
      <c r="F527" s="191" t="s">
        <v>2646</v>
      </c>
      <c r="G527" s="191">
        <v>7</v>
      </c>
      <c r="H527" s="192">
        <v>0</v>
      </c>
      <c r="I527" s="192">
        <v>41.74</v>
      </c>
      <c r="J527" s="192">
        <f>SUM(H527,I527)</f>
        <v>41.74</v>
      </c>
    </row>
    <row r="528" spans="1:10" outlineLevel="2">
      <c r="A528" s="191" t="s">
        <v>3211</v>
      </c>
      <c r="B528" s="191" t="s">
        <v>977</v>
      </c>
      <c r="C528" s="191" t="s">
        <v>1065</v>
      </c>
      <c r="D528" s="191" t="s">
        <v>3412</v>
      </c>
      <c r="E528" s="191" t="s">
        <v>1494</v>
      </c>
      <c r="F528" s="191" t="s">
        <v>1480</v>
      </c>
      <c r="G528" s="191">
        <v>14</v>
      </c>
      <c r="H528" s="192">
        <v>0</v>
      </c>
      <c r="I528" s="192">
        <v>86.26</v>
      </c>
      <c r="J528" s="192">
        <f>SUM(H528,I528)</f>
        <v>86.26</v>
      </c>
    </row>
    <row r="529" spans="1:10" outlineLevel="2">
      <c r="A529" s="191" t="s">
        <v>3212</v>
      </c>
      <c r="B529" s="191" t="s">
        <v>977</v>
      </c>
      <c r="C529" s="191" t="s">
        <v>1065</v>
      </c>
      <c r="D529" s="191" t="s">
        <v>3415</v>
      </c>
      <c r="E529" s="191" t="s">
        <v>2646</v>
      </c>
      <c r="F529" s="191" t="s">
        <v>3465</v>
      </c>
      <c r="G529" s="191">
        <v>14</v>
      </c>
      <c r="H529" s="192">
        <v>240</v>
      </c>
      <c r="I529" s="192">
        <v>86.26</v>
      </c>
      <c r="J529" s="192">
        <f>SUM(H529,I529)</f>
        <v>326.26</v>
      </c>
    </row>
    <row r="530" spans="1:10" outlineLevel="2">
      <c r="A530" s="191" t="s">
        <v>3212</v>
      </c>
      <c r="B530" s="191" t="s">
        <v>977</v>
      </c>
      <c r="C530" s="191" t="s">
        <v>1065</v>
      </c>
      <c r="D530" s="191" t="s">
        <v>3412</v>
      </c>
      <c r="E530" s="191" t="s">
        <v>1494</v>
      </c>
      <c r="F530" s="191" t="s">
        <v>1480</v>
      </c>
      <c r="G530" s="191">
        <v>14</v>
      </c>
      <c r="H530" s="192">
        <v>0</v>
      </c>
      <c r="I530" s="192">
        <v>86.26</v>
      </c>
      <c r="J530" s="192">
        <f>SUM(H530,I530)</f>
        <v>86.26</v>
      </c>
    </row>
    <row r="531" spans="1:10" outlineLevel="2">
      <c r="A531" s="191" t="s">
        <v>1068</v>
      </c>
      <c r="B531" s="191" t="s">
        <v>977</v>
      </c>
      <c r="C531" s="191" t="s">
        <v>1065</v>
      </c>
      <c r="D531" s="191" t="s">
        <v>3359</v>
      </c>
      <c r="E531" s="191" t="s">
        <v>2704</v>
      </c>
      <c r="F531" s="191" t="s">
        <v>1483</v>
      </c>
      <c r="G531" s="191">
        <v>21</v>
      </c>
      <c r="H531" s="192">
        <v>239.22</v>
      </c>
      <c r="I531" s="192">
        <v>128.76</v>
      </c>
      <c r="J531" s="192">
        <f>SUM(H531,I531)</f>
        <v>367.98</v>
      </c>
    </row>
    <row r="532" spans="1:10" outlineLevel="2">
      <c r="A532" s="191" t="s">
        <v>1068</v>
      </c>
      <c r="B532" s="191" t="s">
        <v>979</v>
      </c>
      <c r="C532" s="191" t="s">
        <v>1065</v>
      </c>
      <c r="D532" s="191" t="s">
        <v>2354</v>
      </c>
      <c r="E532" s="191" t="s">
        <v>2646</v>
      </c>
      <c r="F532" s="191" t="s">
        <v>3465</v>
      </c>
      <c r="G532" s="191">
        <v>14</v>
      </c>
      <c r="H532" s="192">
        <v>0</v>
      </c>
      <c r="I532" s="192">
        <v>92.42</v>
      </c>
      <c r="J532" s="192">
        <f>SUM(H532,I532)</f>
        <v>92.42</v>
      </c>
    </row>
    <row r="533" spans="1:10" outlineLevel="2">
      <c r="A533" s="191" t="s">
        <v>1069</v>
      </c>
      <c r="B533" s="191" t="s">
        <v>977</v>
      </c>
      <c r="C533" s="191" t="s">
        <v>1065</v>
      </c>
      <c r="D533" s="191" t="s">
        <v>3359</v>
      </c>
      <c r="E533" s="191" t="s">
        <v>2704</v>
      </c>
      <c r="F533" s="191" t="s">
        <v>1483</v>
      </c>
      <c r="G533" s="191">
        <v>21</v>
      </c>
      <c r="H533" s="192">
        <v>239</v>
      </c>
      <c r="I533" s="192">
        <v>128.76</v>
      </c>
      <c r="J533" s="192">
        <f>SUM(H533,I533)</f>
        <v>367.76</v>
      </c>
    </row>
    <row r="534" spans="1:10" outlineLevel="2">
      <c r="A534" s="191" t="s">
        <v>1069</v>
      </c>
      <c r="B534" s="191" t="s">
        <v>979</v>
      </c>
      <c r="C534" s="191" t="s">
        <v>1065</v>
      </c>
      <c r="D534" s="191" t="s">
        <v>2354</v>
      </c>
      <c r="E534" s="191" t="s">
        <v>2646</v>
      </c>
      <c r="F534" s="191" t="s">
        <v>3465</v>
      </c>
      <c r="G534" s="191">
        <v>14</v>
      </c>
      <c r="H534" s="192">
        <v>0</v>
      </c>
      <c r="I534" s="192">
        <v>92.42</v>
      </c>
      <c r="J534" s="192">
        <f>SUM(H534,I534)</f>
        <v>92.42</v>
      </c>
    </row>
    <row r="535" spans="1:10" outlineLevel="1">
      <c r="A535" s="193" t="s">
        <v>3568</v>
      </c>
      <c r="B535" s="194"/>
      <c r="C535" s="194"/>
      <c r="D535" s="194"/>
      <c r="E535" s="194"/>
      <c r="F535" s="194"/>
      <c r="G535" s="194">
        <f>SUBTOTAL(9,G512:G534)</f>
        <v>322</v>
      </c>
      <c r="H535" s="195">
        <f>SUBTOTAL(9,H512:H534)</f>
        <v>2198.88</v>
      </c>
      <c r="I535" s="195">
        <f>SUBTOTAL(9,I512:I534)</f>
        <v>2047.21</v>
      </c>
      <c r="J535" s="195">
        <f>SUBTOTAL(9,J512:J534)</f>
        <v>4246.0900000000011</v>
      </c>
    </row>
    <row r="536" spans="1:10" outlineLevel="2">
      <c r="A536" s="191" t="s">
        <v>1070</v>
      </c>
      <c r="B536" s="191" t="s">
        <v>871</v>
      </c>
      <c r="C536" s="191" t="s">
        <v>1071</v>
      </c>
      <c r="D536" s="191" t="s">
        <v>3416</v>
      </c>
      <c r="E536" s="191" t="s">
        <v>1490</v>
      </c>
      <c r="F536" s="191" t="s">
        <v>1490</v>
      </c>
      <c r="G536" s="191">
        <v>7</v>
      </c>
      <c r="H536" s="192">
        <v>0</v>
      </c>
      <c r="I536" s="192">
        <v>95.67</v>
      </c>
      <c r="J536" s="192">
        <f>SUM(H536,I536)</f>
        <v>95.67</v>
      </c>
    </row>
    <row r="537" spans="1:10" outlineLevel="2">
      <c r="A537" s="191" t="s">
        <v>3213</v>
      </c>
      <c r="B537" s="191" t="s">
        <v>871</v>
      </c>
      <c r="C537" s="191" t="s">
        <v>1071</v>
      </c>
      <c r="D537" s="191" t="s">
        <v>3417</v>
      </c>
      <c r="E537" s="191" t="s">
        <v>2585</v>
      </c>
      <c r="F537" s="191" t="s">
        <v>2585</v>
      </c>
      <c r="G537" s="191">
        <v>7</v>
      </c>
      <c r="H537" s="192">
        <v>0</v>
      </c>
      <c r="I537" s="192">
        <v>101.03</v>
      </c>
      <c r="J537" s="192">
        <f>SUM(H537,I537)</f>
        <v>101.03</v>
      </c>
    </row>
    <row r="538" spans="1:10" outlineLevel="2">
      <c r="A538" s="191" t="s">
        <v>3213</v>
      </c>
      <c r="B538" s="191" t="s">
        <v>871</v>
      </c>
      <c r="C538" s="191" t="s">
        <v>1071</v>
      </c>
      <c r="D538" s="191" t="s">
        <v>3417</v>
      </c>
      <c r="E538" s="191" t="s">
        <v>2732</v>
      </c>
      <c r="F538" s="191" t="s">
        <v>2732</v>
      </c>
      <c r="G538" s="191">
        <v>7</v>
      </c>
      <c r="H538" s="192">
        <v>0</v>
      </c>
      <c r="I538" s="192">
        <v>101.03</v>
      </c>
      <c r="J538" s="192">
        <f>SUM(H538,I538)</f>
        <v>101.03</v>
      </c>
    </row>
    <row r="539" spans="1:10" outlineLevel="2">
      <c r="A539" s="191" t="s">
        <v>3213</v>
      </c>
      <c r="B539" s="191" t="s">
        <v>871</v>
      </c>
      <c r="C539" s="191" t="s">
        <v>1071</v>
      </c>
      <c r="D539" s="191" t="s">
        <v>3417</v>
      </c>
      <c r="E539" s="191" t="s">
        <v>3483</v>
      </c>
      <c r="F539" s="191" t="s">
        <v>3483</v>
      </c>
      <c r="G539" s="191">
        <v>7</v>
      </c>
      <c r="H539" s="192">
        <v>0</v>
      </c>
      <c r="I539" s="192">
        <v>95.44</v>
      </c>
      <c r="J539" s="192">
        <f>SUM(H539,I539)</f>
        <v>95.44</v>
      </c>
    </row>
    <row r="540" spans="1:10" outlineLevel="2">
      <c r="A540" s="191" t="s">
        <v>3213</v>
      </c>
      <c r="B540" s="191" t="s">
        <v>871</v>
      </c>
      <c r="C540" s="191" t="s">
        <v>1071</v>
      </c>
      <c r="D540" s="191" t="s">
        <v>3417</v>
      </c>
      <c r="E540" s="191" t="s">
        <v>2671</v>
      </c>
      <c r="F540" s="191" t="s">
        <v>2671</v>
      </c>
      <c r="G540" s="191">
        <v>7</v>
      </c>
      <c r="H540" s="192">
        <v>0</v>
      </c>
      <c r="I540" s="192">
        <v>95.44</v>
      </c>
      <c r="J540" s="192">
        <f>SUM(H540,I540)</f>
        <v>95.44</v>
      </c>
    </row>
    <row r="541" spans="1:10" outlineLevel="2">
      <c r="A541" s="191" t="s">
        <v>3213</v>
      </c>
      <c r="B541" s="191" t="s">
        <v>871</v>
      </c>
      <c r="C541" s="191" t="s">
        <v>1071</v>
      </c>
      <c r="D541" s="191" t="s">
        <v>3417</v>
      </c>
      <c r="E541" s="191" t="s">
        <v>1498</v>
      </c>
      <c r="F541" s="191" t="s">
        <v>1498</v>
      </c>
      <c r="G541" s="191">
        <v>7</v>
      </c>
      <c r="H541" s="192">
        <v>0</v>
      </c>
      <c r="I541" s="192">
        <v>95.44</v>
      </c>
      <c r="J541" s="192">
        <f>SUM(H541,I541)</f>
        <v>95.44</v>
      </c>
    </row>
    <row r="542" spans="1:10" outlineLevel="2">
      <c r="A542" s="191" t="s">
        <v>3213</v>
      </c>
      <c r="B542" s="191" t="s">
        <v>871</v>
      </c>
      <c r="C542" s="191" t="s">
        <v>1071</v>
      </c>
      <c r="D542" s="191" t="s">
        <v>3417</v>
      </c>
      <c r="E542" s="191" t="s">
        <v>3484</v>
      </c>
      <c r="F542" s="191" t="s">
        <v>3484</v>
      </c>
      <c r="G542" s="191">
        <v>7</v>
      </c>
      <c r="H542" s="192">
        <v>0</v>
      </c>
      <c r="I542" s="192">
        <v>105.42</v>
      </c>
      <c r="J542" s="192">
        <f>SUM(H542,I542)</f>
        <v>105.42</v>
      </c>
    </row>
    <row r="543" spans="1:10" outlineLevel="2">
      <c r="A543" s="191" t="s">
        <v>3213</v>
      </c>
      <c r="B543" s="191" t="s">
        <v>871</v>
      </c>
      <c r="C543" s="191" t="s">
        <v>1071</v>
      </c>
      <c r="D543" s="191" t="s">
        <v>3417</v>
      </c>
      <c r="E543" s="191" t="s">
        <v>3485</v>
      </c>
      <c r="F543" s="191" t="s">
        <v>3485</v>
      </c>
      <c r="G543" s="191">
        <v>7</v>
      </c>
      <c r="H543" s="192">
        <v>0</v>
      </c>
      <c r="I543" s="192">
        <v>105.42</v>
      </c>
      <c r="J543" s="192">
        <f>SUM(H543,I543)</f>
        <v>105.42</v>
      </c>
    </row>
    <row r="544" spans="1:10" outlineLevel="2">
      <c r="A544" s="191" t="s">
        <v>3213</v>
      </c>
      <c r="B544" s="191" t="s">
        <v>871</v>
      </c>
      <c r="C544" s="191" t="s">
        <v>1071</v>
      </c>
      <c r="D544" s="191" t="s">
        <v>3417</v>
      </c>
      <c r="E544" s="191" t="s">
        <v>2667</v>
      </c>
      <c r="F544" s="191" t="s">
        <v>2667</v>
      </c>
      <c r="G544" s="191">
        <v>7</v>
      </c>
      <c r="H544" s="192">
        <v>0</v>
      </c>
      <c r="I544" s="192">
        <v>105.42</v>
      </c>
      <c r="J544" s="192">
        <f>SUM(H544,I544)</f>
        <v>105.42</v>
      </c>
    </row>
    <row r="545" spans="1:10" outlineLevel="1">
      <c r="A545" s="193" t="s">
        <v>3569</v>
      </c>
      <c r="B545" s="194"/>
      <c r="C545" s="194"/>
      <c r="D545" s="194"/>
      <c r="E545" s="194"/>
      <c r="F545" s="194"/>
      <c r="G545" s="194">
        <f>SUBTOTAL(9,G536:G544)</f>
        <v>63</v>
      </c>
      <c r="H545" s="195">
        <f>SUBTOTAL(9,H536:H544)</f>
        <v>0</v>
      </c>
      <c r="I545" s="195">
        <f>SUBTOTAL(9,I536:I544)</f>
        <v>900.30999999999983</v>
      </c>
      <c r="J545" s="195">
        <f>SUBTOTAL(9,J536:J544)</f>
        <v>900.30999999999983</v>
      </c>
    </row>
    <row r="546" spans="1:10" outlineLevel="2">
      <c r="A546" s="191" t="s">
        <v>1057</v>
      </c>
      <c r="B546" s="191" t="s">
        <v>871</v>
      </c>
      <c r="C546" s="191" t="s">
        <v>1072</v>
      </c>
      <c r="D546" s="191" t="s">
        <v>3418</v>
      </c>
      <c r="E546" s="191" t="s">
        <v>2651</v>
      </c>
      <c r="F546" s="191" t="s">
        <v>2651</v>
      </c>
      <c r="G546" s="191">
        <v>7</v>
      </c>
      <c r="H546" s="192">
        <v>0</v>
      </c>
      <c r="I546" s="192">
        <v>95.91</v>
      </c>
      <c r="J546" s="192">
        <f>SUM(H546,I546)</f>
        <v>95.91</v>
      </c>
    </row>
    <row r="547" spans="1:10" outlineLevel="2">
      <c r="A547" s="191" t="s">
        <v>1073</v>
      </c>
      <c r="B547" s="191" t="s">
        <v>871</v>
      </c>
      <c r="C547" s="191" t="s">
        <v>1072</v>
      </c>
      <c r="D547" s="191" t="s">
        <v>3299</v>
      </c>
      <c r="E547" s="191" t="s">
        <v>2717</v>
      </c>
      <c r="F547" s="191" t="s">
        <v>2717</v>
      </c>
      <c r="G547" s="191">
        <v>12</v>
      </c>
      <c r="H547" s="192">
        <v>0</v>
      </c>
      <c r="I547" s="192">
        <v>218.9</v>
      </c>
      <c r="J547" s="192">
        <f>SUM(H547,I547)</f>
        <v>218.9</v>
      </c>
    </row>
    <row r="548" spans="1:10" outlineLevel="1">
      <c r="A548" s="193" t="s">
        <v>3570</v>
      </c>
      <c r="B548" s="194"/>
      <c r="C548" s="194"/>
      <c r="D548" s="194"/>
      <c r="E548" s="194"/>
      <c r="F548" s="194"/>
      <c r="G548" s="194">
        <f>SUBTOTAL(9,G546:G547)</f>
        <v>19</v>
      </c>
      <c r="H548" s="195">
        <f>SUBTOTAL(9,H546:H547)</f>
        <v>0</v>
      </c>
      <c r="I548" s="195">
        <f>SUBTOTAL(9,I546:I547)</f>
        <v>314.81</v>
      </c>
      <c r="J548" s="195">
        <f>SUBTOTAL(9,J546:J547)</f>
        <v>314.81</v>
      </c>
    </row>
    <row r="549" spans="1:10" outlineLevel="2">
      <c r="A549" s="191" t="s">
        <v>1074</v>
      </c>
      <c r="B549" s="191" t="s">
        <v>874</v>
      </c>
      <c r="C549" s="191" t="s">
        <v>1075</v>
      </c>
      <c r="D549" s="191" t="s">
        <v>3419</v>
      </c>
      <c r="E549" s="191" t="s">
        <v>3473</v>
      </c>
      <c r="F549" s="191" t="s">
        <v>3473</v>
      </c>
      <c r="G549" s="191">
        <v>0</v>
      </c>
      <c r="H549" s="192">
        <v>150</v>
      </c>
      <c r="I549" s="192">
        <v>0</v>
      </c>
      <c r="J549" s="192">
        <f>SUM(H549,I549)</f>
        <v>150</v>
      </c>
    </row>
    <row r="550" spans="1:10" outlineLevel="2">
      <c r="A550" s="191" t="s">
        <v>1074</v>
      </c>
      <c r="B550" s="191" t="s">
        <v>874</v>
      </c>
      <c r="C550" s="191" t="s">
        <v>1075</v>
      </c>
      <c r="D550" s="191" t="s">
        <v>3420</v>
      </c>
      <c r="E550" s="191" t="s">
        <v>2606</v>
      </c>
      <c r="F550" s="191" t="s">
        <v>1487</v>
      </c>
      <c r="G550" s="191">
        <v>21</v>
      </c>
      <c r="H550" s="192">
        <v>0</v>
      </c>
      <c r="I550" s="192">
        <v>407.16</v>
      </c>
      <c r="J550" s="192">
        <f>SUM(H550,I550)</f>
        <v>407.16</v>
      </c>
    </row>
    <row r="551" spans="1:10" outlineLevel="2">
      <c r="A551" s="191" t="s">
        <v>1074</v>
      </c>
      <c r="B551" s="191" t="s">
        <v>874</v>
      </c>
      <c r="C551" s="191" t="s">
        <v>1075</v>
      </c>
      <c r="D551" s="191" t="s">
        <v>3421</v>
      </c>
      <c r="E551" s="191" t="s">
        <v>2602</v>
      </c>
      <c r="F551" s="191" t="s">
        <v>2603</v>
      </c>
      <c r="G551" s="191">
        <v>21</v>
      </c>
      <c r="H551" s="192">
        <v>0</v>
      </c>
      <c r="I551" s="192">
        <v>409.14</v>
      </c>
      <c r="J551" s="192">
        <f>SUM(H551,I551)</f>
        <v>409.14</v>
      </c>
    </row>
    <row r="552" spans="1:10" outlineLevel="2">
      <c r="A552" s="191" t="s">
        <v>3214</v>
      </c>
      <c r="B552" s="191" t="s">
        <v>871</v>
      </c>
      <c r="C552" s="191" t="s">
        <v>1075</v>
      </c>
      <c r="D552" s="191" t="s">
        <v>193</v>
      </c>
      <c r="E552" s="191" t="s">
        <v>2653</v>
      </c>
      <c r="F552" s="191" t="s">
        <v>2646</v>
      </c>
      <c r="G552" s="191">
        <v>21</v>
      </c>
      <c r="H552" s="192">
        <v>0</v>
      </c>
      <c r="I552" s="192">
        <v>264.12</v>
      </c>
      <c r="J552" s="192">
        <f>SUM(H552,I552)</f>
        <v>264.12</v>
      </c>
    </row>
    <row r="553" spans="1:10" outlineLevel="2">
      <c r="A553" s="191" t="s">
        <v>3215</v>
      </c>
      <c r="B553" s="191" t="s">
        <v>871</v>
      </c>
      <c r="C553" s="191" t="s">
        <v>1075</v>
      </c>
      <c r="D553" s="191" t="s">
        <v>3422</v>
      </c>
      <c r="E553" s="191" t="s">
        <v>2709</v>
      </c>
      <c r="F553" s="191" t="s">
        <v>2627</v>
      </c>
      <c r="G553" s="191">
        <v>14</v>
      </c>
      <c r="H553" s="192">
        <v>0</v>
      </c>
      <c r="I553" s="192">
        <v>206.2</v>
      </c>
      <c r="J553" s="192">
        <f>SUM(H553,I553)</f>
        <v>206.2</v>
      </c>
    </row>
    <row r="554" spans="1:10" outlineLevel="2">
      <c r="A554" s="191" t="s">
        <v>1076</v>
      </c>
      <c r="B554" s="191" t="s">
        <v>871</v>
      </c>
      <c r="C554" s="191" t="s">
        <v>1075</v>
      </c>
      <c r="D554" s="191" t="s">
        <v>3423</v>
      </c>
      <c r="E554" s="191" t="s">
        <v>2637</v>
      </c>
      <c r="F554" s="191" t="s">
        <v>2608</v>
      </c>
      <c r="G554" s="191">
        <v>28</v>
      </c>
      <c r="H554" s="192">
        <v>0</v>
      </c>
      <c r="I554" s="192">
        <v>416.64</v>
      </c>
      <c r="J554" s="192">
        <f>SUM(H554,I554)</f>
        <v>416.64</v>
      </c>
    </row>
    <row r="555" spans="1:10" outlineLevel="2">
      <c r="A555" s="191" t="s">
        <v>1076</v>
      </c>
      <c r="B555" s="191" t="s">
        <v>871</v>
      </c>
      <c r="C555" s="191" t="s">
        <v>1075</v>
      </c>
      <c r="D555" s="191" t="s">
        <v>3421</v>
      </c>
      <c r="E555" s="191" t="s">
        <v>2602</v>
      </c>
      <c r="F555" s="191" t="s">
        <v>2603</v>
      </c>
      <c r="G555" s="191">
        <v>21</v>
      </c>
      <c r="H555" s="192">
        <v>0</v>
      </c>
      <c r="I555" s="192">
        <v>314.01</v>
      </c>
      <c r="J555" s="192">
        <f>SUM(H555,I555)</f>
        <v>314.01</v>
      </c>
    </row>
    <row r="556" spans="1:10" outlineLevel="2">
      <c r="A556" s="191" t="s">
        <v>1077</v>
      </c>
      <c r="B556" s="191" t="s">
        <v>871</v>
      </c>
      <c r="C556" s="191" t="s">
        <v>1075</v>
      </c>
      <c r="D556" s="191" t="s">
        <v>196</v>
      </c>
      <c r="E556" s="191" t="s">
        <v>2627</v>
      </c>
      <c r="F556" s="191" t="s">
        <v>1482</v>
      </c>
      <c r="G556" s="191">
        <v>21</v>
      </c>
      <c r="H556" s="192">
        <v>0</v>
      </c>
      <c r="I556" s="192">
        <v>356.67</v>
      </c>
      <c r="J556" s="192">
        <f>SUM(H556,I556)</f>
        <v>356.67</v>
      </c>
    </row>
    <row r="557" spans="1:10" outlineLevel="2">
      <c r="A557" s="191" t="s">
        <v>1077</v>
      </c>
      <c r="B557" s="191" t="s">
        <v>871</v>
      </c>
      <c r="C557" s="191" t="s">
        <v>1075</v>
      </c>
      <c r="D557" s="191" t="s">
        <v>3424</v>
      </c>
      <c r="E557" s="191" t="s">
        <v>2711</v>
      </c>
      <c r="F557" s="191" t="s">
        <v>2589</v>
      </c>
      <c r="G557" s="191">
        <v>14</v>
      </c>
      <c r="H557" s="192">
        <v>0</v>
      </c>
      <c r="I557" s="192">
        <v>237.78</v>
      </c>
      <c r="J557" s="192">
        <f>SUM(H557,I557)</f>
        <v>237.78</v>
      </c>
    </row>
    <row r="558" spans="1:10" outlineLevel="2">
      <c r="A558" s="191" t="s">
        <v>1077</v>
      </c>
      <c r="B558" s="191" t="s">
        <v>871</v>
      </c>
      <c r="C558" s="191" t="s">
        <v>1075</v>
      </c>
      <c r="D558" s="191" t="s">
        <v>3425</v>
      </c>
      <c r="E558" s="191" t="s">
        <v>2694</v>
      </c>
      <c r="F558" s="191" t="s">
        <v>2680</v>
      </c>
      <c r="G558" s="191">
        <v>21</v>
      </c>
      <c r="H558" s="192">
        <v>0</v>
      </c>
      <c r="I558" s="192">
        <v>358.29</v>
      </c>
      <c r="J558" s="192">
        <f>SUM(H558,I558)</f>
        <v>358.29</v>
      </c>
    </row>
    <row r="559" spans="1:10" outlineLevel="2">
      <c r="A559" s="191" t="s">
        <v>1078</v>
      </c>
      <c r="B559" s="191" t="s">
        <v>871</v>
      </c>
      <c r="C559" s="191" t="s">
        <v>1075</v>
      </c>
      <c r="D559" s="191" t="s">
        <v>3426</v>
      </c>
      <c r="E559" s="191" t="s">
        <v>2606</v>
      </c>
      <c r="F559" s="191" t="s">
        <v>1487</v>
      </c>
      <c r="G559" s="191">
        <v>21</v>
      </c>
      <c r="H559" s="192">
        <v>0</v>
      </c>
      <c r="I559" s="192">
        <v>340.32</v>
      </c>
      <c r="J559" s="192">
        <f>SUM(H559,I559)</f>
        <v>340.32</v>
      </c>
    </row>
    <row r="560" spans="1:10" outlineLevel="2">
      <c r="A560" s="191" t="s">
        <v>1078</v>
      </c>
      <c r="B560" s="191" t="s">
        <v>871</v>
      </c>
      <c r="C560" s="191" t="s">
        <v>1075</v>
      </c>
      <c r="D560" s="191" t="s">
        <v>193</v>
      </c>
      <c r="E560" s="191" t="s">
        <v>2653</v>
      </c>
      <c r="F560" s="191" t="s">
        <v>2646</v>
      </c>
      <c r="G560" s="191">
        <v>21</v>
      </c>
      <c r="H560" s="192">
        <v>0</v>
      </c>
      <c r="I560" s="192">
        <v>341.01</v>
      </c>
      <c r="J560" s="192">
        <f>SUM(H560,I560)</f>
        <v>341.01</v>
      </c>
    </row>
    <row r="561" spans="1:10" outlineLevel="2">
      <c r="A561" s="191" t="s">
        <v>1079</v>
      </c>
      <c r="B561" s="191" t="s">
        <v>871</v>
      </c>
      <c r="C561" s="191" t="s">
        <v>1075</v>
      </c>
      <c r="D561" s="191" t="s">
        <v>3427</v>
      </c>
      <c r="E561" s="191" t="s">
        <v>2709</v>
      </c>
      <c r="F561" s="191" t="s">
        <v>2627</v>
      </c>
      <c r="G561" s="191">
        <v>14</v>
      </c>
      <c r="H561" s="192">
        <v>0</v>
      </c>
      <c r="I561" s="192">
        <v>205.54</v>
      </c>
      <c r="J561" s="192">
        <f>SUM(H561,I561)</f>
        <v>205.54</v>
      </c>
    </row>
    <row r="562" spans="1:10" outlineLevel="2">
      <c r="A562" s="191" t="s">
        <v>1079</v>
      </c>
      <c r="B562" s="191" t="s">
        <v>871</v>
      </c>
      <c r="C562" s="191" t="s">
        <v>1075</v>
      </c>
      <c r="D562" s="191" t="s">
        <v>3428</v>
      </c>
      <c r="E562" s="191" t="s">
        <v>2606</v>
      </c>
      <c r="F562" s="191" t="s">
        <v>1487</v>
      </c>
      <c r="G562" s="191">
        <v>21</v>
      </c>
      <c r="H562" s="192">
        <v>0</v>
      </c>
      <c r="I562" s="192">
        <v>308.31</v>
      </c>
      <c r="J562" s="192">
        <f>SUM(H562,I562)</f>
        <v>308.31</v>
      </c>
    </row>
    <row r="563" spans="1:10" outlineLevel="2">
      <c r="A563" s="191" t="s">
        <v>1080</v>
      </c>
      <c r="B563" s="191" t="s">
        <v>871</v>
      </c>
      <c r="C563" s="191" t="s">
        <v>1075</v>
      </c>
      <c r="D563" s="191" t="s">
        <v>3423</v>
      </c>
      <c r="E563" s="191" t="s">
        <v>2637</v>
      </c>
      <c r="F563" s="191" t="s">
        <v>2608</v>
      </c>
      <c r="G563" s="191">
        <v>28</v>
      </c>
      <c r="H563" s="192">
        <v>0</v>
      </c>
      <c r="I563" s="192">
        <v>389.2</v>
      </c>
      <c r="J563" s="192">
        <f>SUM(H563,I563)</f>
        <v>389.2</v>
      </c>
    </row>
    <row r="564" spans="1:10" outlineLevel="2">
      <c r="A564" s="191" t="s">
        <v>1080</v>
      </c>
      <c r="B564" s="191" t="s">
        <v>871</v>
      </c>
      <c r="C564" s="191" t="s">
        <v>1075</v>
      </c>
      <c r="D564" s="191" t="s">
        <v>3426</v>
      </c>
      <c r="E564" s="191" t="s">
        <v>2606</v>
      </c>
      <c r="F564" s="191" t="s">
        <v>1487</v>
      </c>
      <c r="G564" s="191">
        <v>21</v>
      </c>
      <c r="H564" s="192">
        <v>0</v>
      </c>
      <c r="I564" s="192">
        <v>291.89999999999998</v>
      </c>
      <c r="J564" s="192">
        <f>SUM(H564,I564)</f>
        <v>291.89999999999998</v>
      </c>
    </row>
    <row r="565" spans="1:10" outlineLevel="2">
      <c r="A565" s="191" t="s">
        <v>1081</v>
      </c>
      <c r="B565" s="191" t="s">
        <v>871</v>
      </c>
      <c r="C565" s="191" t="s">
        <v>1075</v>
      </c>
      <c r="D565" s="191" t="s">
        <v>196</v>
      </c>
      <c r="E565" s="191" t="s">
        <v>2627</v>
      </c>
      <c r="F565" s="191" t="s">
        <v>1482</v>
      </c>
      <c r="G565" s="191">
        <v>21</v>
      </c>
      <c r="H565" s="192">
        <v>0</v>
      </c>
      <c r="I565" s="192">
        <v>331.98</v>
      </c>
      <c r="J565" s="192">
        <f>SUM(H565,I565)</f>
        <v>331.98</v>
      </c>
    </row>
    <row r="566" spans="1:10" outlineLevel="2">
      <c r="A566" s="191" t="s">
        <v>3216</v>
      </c>
      <c r="B566" s="191" t="s">
        <v>871</v>
      </c>
      <c r="C566" s="191" t="s">
        <v>1075</v>
      </c>
      <c r="D566" s="191" t="s">
        <v>3429</v>
      </c>
      <c r="E566" s="191" t="s">
        <v>2653</v>
      </c>
      <c r="F566" s="191" t="s">
        <v>2646</v>
      </c>
      <c r="G566" s="191">
        <v>21</v>
      </c>
      <c r="H566" s="192">
        <v>0</v>
      </c>
      <c r="I566" s="192">
        <v>341.97</v>
      </c>
      <c r="J566" s="192">
        <f>SUM(H566,I566)</f>
        <v>341.97</v>
      </c>
    </row>
    <row r="567" spans="1:10" outlineLevel="2">
      <c r="A567" s="191" t="s">
        <v>3216</v>
      </c>
      <c r="B567" s="191" t="s">
        <v>871</v>
      </c>
      <c r="C567" s="191" t="s">
        <v>1075</v>
      </c>
      <c r="D567" s="191" t="s">
        <v>3421</v>
      </c>
      <c r="E567" s="191" t="s">
        <v>2602</v>
      </c>
      <c r="F567" s="191" t="s">
        <v>2603</v>
      </c>
      <c r="G567" s="191">
        <v>21</v>
      </c>
      <c r="H567" s="192">
        <v>0</v>
      </c>
      <c r="I567" s="192">
        <v>341.97</v>
      </c>
      <c r="J567" s="192">
        <f>SUM(H567,I567)</f>
        <v>341.97</v>
      </c>
    </row>
    <row r="568" spans="1:10" outlineLevel="1">
      <c r="A568" s="193" t="s">
        <v>3571</v>
      </c>
      <c r="B568" s="194"/>
      <c r="C568" s="194"/>
      <c r="D568" s="194"/>
      <c r="E568" s="194"/>
      <c r="F568" s="194"/>
      <c r="G568" s="194">
        <f>SUBTOTAL(9,G549:G567)</f>
        <v>371</v>
      </c>
      <c r="H568" s="195">
        <f>SUBTOTAL(9,H549:H567)</f>
        <v>150</v>
      </c>
      <c r="I568" s="195">
        <f>SUBTOTAL(9,I549:I567)</f>
        <v>5862.2100000000009</v>
      </c>
      <c r="J568" s="195">
        <f>SUBTOTAL(9,J549:J567)</f>
        <v>6012.2100000000009</v>
      </c>
    </row>
    <row r="569" spans="1:10" outlineLevel="2">
      <c r="A569" s="191" t="s">
        <v>1082</v>
      </c>
      <c r="B569" s="191" t="s">
        <v>871</v>
      </c>
      <c r="C569" s="191" t="s">
        <v>869</v>
      </c>
      <c r="D569" s="191" t="s">
        <v>3409</v>
      </c>
      <c r="E569" s="191" t="s">
        <v>1494</v>
      </c>
      <c r="F569" s="191" t="s">
        <v>1480</v>
      </c>
      <c r="G569" s="191">
        <v>14</v>
      </c>
      <c r="H569" s="192">
        <v>0</v>
      </c>
      <c r="I569" s="192">
        <v>225.2</v>
      </c>
      <c r="J569" s="192">
        <f>SUM(H569,I569)</f>
        <v>225.2</v>
      </c>
    </row>
    <row r="570" spans="1:10" outlineLevel="2">
      <c r="A570" s="191" t="s">
        <v>1083</v>
      </c>
      <c r="B570" s="191" t="s">
        <v>904</v>
      </c>
      <c r="C570" s="191" t="s">
        <v>869</v>
      </c>
      <c r="D570" s="191" t="s">
        <v>1526</v>
      </c>
      <c r="E570" s="191" t="s">
        <v>2616</v>
      </c>
      <c r="F570" s="191" t="s">
        <v>2616</v>
      </c>
      <c r="G570" s="191">
        <v>7</v>
      </c>
      <c r="H570" s="192">
        <v>0</v>
      </c>
      <c r="I570" s="192">
        <v>97.3</v>
      </c>
      <c r="J570" s="192">
        <f>SUM(H570,I570)</f>
        <v>97.3</v>
      </c>
    </row>
    <row r="571" spans="1:10" outlineLevel="2">
      <c r="A571" s="191" t="s">
        <v>1083</v>
      </c>
      <c r="B571" s="191" t="s">
        <v>904</v>
      </c>
      <c r="C571" s="191" t="s">
        <v>869</v>
      </c>
      <c r="D571" s="191" t="s">
        <v>3430</v>
      </c>
      <c r="E571" s="191" t="s">
        <v>1489</v>
      </c>
      <c r="F571" s="191" t="s">
        <v>1490</v>
      </c>
      <c r="G571" s="191">
        <v>14</v>
      </c>
      <c r="H571" s="192">
        <v>0</v>
      </c>
      <c r="I571" s="192">
        <v>195.04</v>
      </c>
      <c r="J571" s="192">
        <f>SUM(H571,I571)</f>
        <v>195.04</v>
      </c>
    </row>
    <row r="572" spans="1:10" outlineLevel="2">
      <c r="A572" s="191" t="s">
        <v>1083</v>
      </c>
      <c r="B572" s="191" t="s">
        <v>904</v>
      </c>
      <c r="C572" s="191" t="s">
        <v>869</v>
      </c>
      <c r="D572" s="191" t="s">
        <v>3358</v>
      </c>
      <c r="E572" s="191" t="s">
        <v>2741</v>
      </c>
      <c r="F572" s="191" t="s">
        <v>2741</v>
      </c>
      <c r="G572" s="191">
        <v>7</v>
      </c>
      <c r="H572" s="192">
        <v>0</v>
      </c>
      <c r="I572" s="192">
        <v>126.47</v>
      </c>
      <c r="J572" s="192">
        <f>SUM(H572,I572)</f>
        <v>126.47</v>
      </c>
    </row>
    <row r="573" spans="1:10" outlineLevel="1">
      <c r="A573" s="193" t="s">
        <v>3046</v>
      </c>
      <c r="B573" s="194"/>
      <c r="C573" s="194"/>
      <c r="D573" s="194"/>
      <c r="E573" s="194"/>
      <c r="F573" s="194"/>
      <c r="G573" s="194">
        <f>SUBTOTAL(9,G569:G572)</f>
        <v>42</v>
      </c>
      <c r="H573" s="195">
        <f>SUBTOTAL(9,H569:H572)</f>
        <v>0</v>
      </c>
      <c r="I573" s="195">
        <f>SUBTOTAL(9,I569:I572)</f>
        <v>644.01</v>
      </c>
      <c r="J573" s="195">
        <f>SUBTOTAL(9,J569:J572)</f>
        <v>644.01</v>
      </c>
    </row>
    <row r="574" spans="1:10" outlineLevel="2">
      <c r="A574" s="191" t="s">
        <v>1085</v>
      </c>
      <c r="B574" s="191" t="s">
        <v>871</v>
      </c>
      <c r="C574" s="191" t="s">
        <v>1084</v>
      </c>
      <c r="D574" s="191" t="s">
        <v>3431</v>
      </c>
      <c r="E574" s="191" t="s">
        <v>2660</v>
      </c>
      <c r="F574" s="191" t="s">
        <v>2660</v>
      </c>
      <c r="G574" s="191">
        <v>7</v>
      </c>
      <c r="H574" s="192">
        <v>0</v>
      </c>
      <c r="I574" s="192">
        <v>110.66</v>
      </c>
      <c r="J574" s="192">
        <f>SUM(H574,I574)</f>
        <v>110.66</v>
      </c>
    </row>
    <row r="575" spans="1:10" outlineLevel="2">
      <c r="A575" s="191" t="s">
        <v>1085</v>
      </c>
      <c r="B575" s="191" t="s">
        <v>871</v>
      </c>
      <c r="C575" s="191" t="s">
        <v>1084</v>
      </c>
      <c r="D575" s="191" t="s">
        <v>3359</v>
      </c>
      <c r="E575" s="191" t="s">
        <v>2704</v>
      </c>
      <c r="F575" s="191" t="s">
        <v>1483</v>
      </c>
      <c r="G575" s="191">
        <v>21</v>
      </c>
      <c r="H575" s="192">
        <v>0</v>
      </c>
      <c r="I575" s="192">
        <v>331.98</v>
      </c>
      <c r="J575" s="192">
        <f>SUM(H575,I575)</f>
        <v>331.98</v>
      </c>
    </row>
    <row r="576" spans="1:10" outlineLevel="2">
      <c r="A576" s="191" t="s">
        <v>1085</v>
      </c>
      <c r="B576" s="191" t="s">
        <v>871</v>
      </c>
      <c r="C576" s="191" t="s">
        <v>1084</v>
      </c>
      <c r="D576" s="191" t="s">
        <v>3432</v>
      </c>
      <c r="E576" s="191" t="s">
        <v>1500</v>
      </c>
      <c r="F576" s="191" t="s">
        <v>1500</v>
      </c>
      <c r="G576" s="191">
        <v>7</v>
      </c>
      <c r="H576" s="192">
        <v>0</v>
      </c>
      <c r="I576" s="192">
        <v>111.2</v>
      </c>
      <c r="J576" s="192">
        <f>SUM(H576,I576)</f>
        <v>111.2</v>
      </c>
    </row>
    <row r="577" spans="1:10" outlineLevel="2">
      <c r="A577" s="191" t="s">
        <v>1086</v>
      </c>
      <c r="B577" s="191" t="s">
        <v>871</v>
      </c>
      <c r="C577" s="191" t="s">
        <v>1084</v>
      </c>
      <c r="D577" s="191" t="s">
        <v>3433</v>
      </c>
      <c r="E577" s="191" t="s">
        <v>2603</v>
      </c>
      <c r="F577" s="191" t="s">
        <v>2603</v>
      </c>
      <c r="G577" s="191">
        <v>7</v>
      </c>
      <c r="H577" s="192">
        <v>0</v>
      </c>
      <c r="I577" s="192">
        <v>95.71</v>
      </c>
      <c r="J577" s="192">
        <f>SUM(H577,I577)</f>
        <v>95.71</v>
      </c>
    </row>
    <row r="578" spans="1:10" outlineLevel="1">
      <c r="A578" s="193" t="s">
        <v>3572</v>
      </c>
      <c r="B578" s="194"/>
      <c r="C578" s="194"/>
      <c r="D578" s="194"/>
      <c r="E578" s="194"/>
      <c r="F578" s="194"/>
      <c r="G578" s="194">
        <f>SUBTOTAL(9,G574:G577)</f>
        <v>42</v>
      </c>
      <c r="H578" s="195">
        <f>SUBTOTAL(9,H574:H577)</f>
        <v>0</v>
      </c>
      <c r="I578" s="195">
        <f>SUBTOTAL(9,I574:I577)</f>
        <v>649.55000000000007</v>
      </c>
      <c r="J578" s="195">
        <f>SUBTOTAL(9,J574:J577)</f>
        <v>649.55000000000007</v>
      </c>
    </row>
    <row r="579" spans="1:10" outlineLevel="2">
      <c r="A579" s="191" t="s">
        <v>1087</v>
      </c>
      <c r="B579" s="191" t="s">
        <v>871</v>
      </c>
      <c r="C579" s="191" t="s">
        <v>1088</v>
      </c>
      <c r="D579" s="191" t="s">
        <v>3434</v>
      </c>
      <c r="E579" s="191" t="s">
        <v>2660</v>
      </c>
      <c r="F579" s="191" t="s">
        <v>2660</v>
      </c>
      <c r="G579" s="191">
        <v>7</v>
      </c>
      <c r="H579" s="192">
        <v>0</v>
      </c>
      <c r="I579" s="192">
        <v>120.28</v>
      </c>
      <c r="J579" s="192">
        <f>SUM(H579,I579)</f>
        <v>120.28</v>
      </c>
    </row>
    <row r="580" spans="1:10" outlineLevel="2">
      <c r="A580" s="191" t="s">
        <v>1087</v>
      </c>
      <c r="B580" s="191" t="s">
        <v>871</v>
      </c>
      <c r="C580" s="191" t="s">
        <v>1088</v>
      </c>
      <c r="D580" s="191" t="s">
        <v>3359</v>
      </c>
      <c r="E580" s="191" t="s">
        <v>2704</v>
      </c>
      <c r="F580" s="191" t="s">
        <v>1483</v>
      </c>
      <c r="G580" s="191">
        <v>21</v>
      </c>
      <c r="H580" s="192">
        <v>0</v>
      </c>
      <c r="I580" s="192">
        <v>360.84</v>
      </c>
      <c r="J580" s="192">
        <f>SUM(H580,I580)</f>
        <v>360.84</v>
      </c>
    </row>
    <row r="581" spans="1:10" outlineLevel="2">
      <c r="A581" s="191" t="s">
        <v>1087</v>
      </c>
      <c r="B581" s="191" t="s">
        <v>871</v>
      </c>
      <c r="C581" s="191" t="s">
        <v>1088</v>
      </c>
      <c r="D581" s="191" t="s">
        <v>2256</v>
      </c>
      <c r="E581" s="191" t="s">
        <v>1493</v>
      </c>
      <c r="F581" s="191" t="s">
        <v>1493</v>
      </c>
      <c r="G581" s="191">
        <v>7</v>
      </c>
      <c r="H581" s="192">
        <v>0</v>
      </c>
      <c r="I581" s="192">
        <v>120.86</v>
      </c>
      <c r="J581" s="192">
        <f>SUM(H581,I581)</f>
        <v>120.86</v>
      </c>
    </row>
    <row r="582" spans="1:10" outlineLevel="1">
      <c r="A582" s="193" t="s">
        <v>3573</v>
      </c>
      <c r="B582" s="194"/>
      <c r="C582" s="194"/>
      <c r="D582" s="194"/>
      <c r="E582" s="194"/>
      <c r="F582" s="194"/>
      <c r="G582" s="194">
        <f>SUBTOTAL(9,G579:G581)</f>
        <v>35</v>
      </c>
      <c r="H582" s="195">
        <f>SUBTOTAL(9,H579:H581)</f>
        <v>0</v>
      </c>
      <c r="I582" s="195">
        <f>SUBTOTAL(9,I579:I581)</f>
        <v>601.98</v>
      </c>
      <c r="J582" s="195">
        <f>SUBTOTAL(9,J579:J581)</f>
        <v>601.98</v>
      </c>
    </row>
    <row r="583" spans="1:10" outlineLevel="2">
      <c r="A583" s="191" t="s">
        <v>1090</v>
      </c>
      <c r="B583" s="191" t="s">
        <v>1047</v>
      </c>
      <c r="C583" s="191" t="s">
        <v>1089</v>
      </c>
      <c r="D583" s="191" t="s">
        <v>3435</v>
      </c>
      <c r="E583" s="191" t="s">
        <v>1494</v>
      </c>
      <c r="F583" s="191" t="s">
        <v>1480</v>
      </c>
      <c r="G583" s="191">
        <v>14</v>
      </c>
      <c r="H583" s="192">
        <v>0</v>
      </c>
      <c r="I583" s="192">
        <v>260.16000000000003</v>
      </c>
      <c r="J583" s="192">
        <f>SUM(H583,I583)</f>
        <v>260.16000000000003</v>
      </c>
    </row>
    <row r="584" spans="1:10" outlineLevel="2">
      <c r="A584" s="191" t="s">
        <v>1002</v>
      </c>
      <c r="B584" s="191" t="s">
        <v>874</v>
      </c>
      <c r="C584" s="191" t="s">
        <v>1089</v>
      </c>
      <c r="D584" s="191" t="s">
        <v>1457</v>
      </c>
      <c r="E584" s="191" t="s">
        <v>1494</v>
      </c>
      <c r="F584" s="191" t="s">
        <v>1480</v>
      </c>
      <c r="G584" s="191">
        <v>14</v>
      </c>
      <c r="H584" s="192">
        <v>0</v>
      </c>
      <c r="I584" s="192">
        <v>232</v>
      </c>
      <c r="J584" s="192">
        <f>SUM(H584,I584)</f>
        <v>232</v>
      </c>
    </row>
    <row r="585" spans="1:10" outlineLevel="2">
      <c r="A585" s="191" t="s">
        <v>3217</v>
      </c>
      <c r="B585" s="191" t="s">
        <v>871</v>
      </c>
      <c r="C585" s="191" t="s">
        <v>1089</v>
      </c>
      <c r="D585" s="191" t="s">
        <v>2076</v>
      </c>
      <c r="E585" s="191" t="s">
        <v>2680</v>
      </c>
      <c r="F585" s="191" t="s">
        <v>2680</v>
      </c>
      <c r="G585" s="191">
        <v>12</v>
      </c>
      <c r="H585" s="192">
        <v>0</v>
      </c>
      <c r="I585" s="192">
        <v>211.73</v>
      </c>
      <c r="J585" s="192">
        <f>SUM(H585,I585)</f>
        <v>211.73</v>
      </c>
    </row>
    <row r="586" spans="1:10" outlineLevel="2">
      <c r="A586" s="191" t="s">
        <v>1091</v>
      </c>
      <c r="B586" s="191" t="s">
        <v>871</v>
      </c>
      <c r="C586" s="191" t="s">
        <v>1089</v>
      </c>
      <c r="D586" s="191" t="s">
        <v>3436</v>
      </c>
      <c r="E586" s="191" t="s">
        <v>2675</v>
      </c>
      <c r="F586" s="191" t="s">
        <v>2675</v>
      </c>
      <c r="G586" s="191">
        <v>7</v>
      </c>
      <c r="H586" s="192">
        <v>0</v>
      </c>
      <c r="I586" s="192">
        <v>107.51</v>
      </c>
      <c r="J586" s="192">
        <f>SUM(H586,I586)</f>
        <v>107.51</v>
      </c>
    </row>
    <row r="587" spans="1:10" outlineLevel="2">
      <c r="A587" s="191" t="s">
        <v>961</v>
      </c>
      <c r="B587" s="191" t="s">
        <v>904</v>
      </c>
      <c r="C587" s="191" t="s">
        <v>1089</v>
      </c>
      <c r="D587" s="191" t="s">
        <v>1457</v>
      </c>
      <c r="E587" s="191" t="s">
        <v>1494</v>
      </c>
      <c r="F587" s="191" t="s">
        <v>1494</v>
      </c>
      <c r="G587" s="191">
        <v>12</v>
      </c>
      <c r="H587" s="192">
        <v>0</v>
      </c>
      <c r="I587" s="192">
        <v>153</v>
      </c>
      <c r="J587" s="192">
        <f>SUM(H587,I587)</f>
        <v>153</v>
      </c>
    </row>
    <row r="588" spans="1:10" outlineLevel="1">
      <c r="A588" s="193" t="s">
        <v>3574</v>
      </c>
      <c r="B588" s="194"/>
      <c r="C588" s="194"/>
      <c r="D588" s="194"/>
      <c r="E588" s="194"/>
      <c r="F588" s="194"/>
      <c r="G588" s="194">
        <f>SUBTOTAL(9,G583:G587)</f>
        <v>59</v>
      </c>
      <c r="H588" s="195">
        <f>SUBTOTAL(9,H583:H587)</f>
        <v>0</v>
      </c>
      <c r="I588" s="195">
        <f>SUBTOTAL(9,I583:I587)</f>
        <v>964.4</v>
      </c>
      <c r="J588" s="195">
        <f>SUBTOTAL(9,J583:J587)</f>
        <v>964.4</v>
      </c>
    </row>
    <row r="589" spans="1:10" outlineLevel="2">
      <c r="A589" s="191" t="s">
        <v>1092</v>
      </c>
      <c r="B589" s="191" t="s">
        <v>871</v>
      </c>
      <c r="C589" s="191" t="s">
        <v>1093</v>
      </c>
      <c r="D589" s="191" t="s">
        <v>3437</v>
      </c>
      <c r="E589" s="191" t="s">
        <v>3481</v>
      </c>
      <c r="F589" s="191" t="s">
        <v>3481</v>
      </c>
      <c r="G589" s="191">
        <v>7</v>
      </c>
      <c r="H589" s="192">
        <v>0</v>
      </c>
      <c r="I589" s="192">
        <v>95.91</v>
      </c>
      <c r="J589" s="192">
        <f>SUM(H589,I589)</f>
        <v>95.91</v>
      </c>
    </row>
    <row r="590" spans="1:10" outlineLevel="2">
      <c r="A590" s="191" t="s">
        <v>1092</v>
      </c>
      <c r="B590" s="191" t="s">
        <v>871</v>
      </c>
      <c r="C590" s="191" t="s">
        <v>1093</v>
      </c>
      <c r="D590" s="191" t="s">
        <v>3264</v>
      </c>
      <c r="E590" s="191" t="s">
        <v>2746</v>
      </c>
      <c r="F590" s="191" t="s">
        <v>2586</v>
      </c>
      <c r="G590" s="191">
        <v>35</v>
      </c>
      <c r="H590" s="192">
        <v>0</v>
      </c>
      <c r="I590" s="192">
        <v>479.55</v>
      </c>
      <c r="J590" s="192">
        <f>SUM(H590,I590)</f>
        <v>479.55</v>
      </c>
    </row>
    <row r="591" spans="1:10" outlineLevel="2">
      <c r="A591" s="191" t="s">
        <v>1092</v>
      </c>
      <c r="B591" s="191" t="s">
        <v>871</v>
      </c>
      <c r="C591" s="191" t="s">
        <v>1093</v>
      </c>
      <c r="D591" s="191" t="s">
        <v>3438</v>
      </c>
      <c r="E591" s="191" t="s">
        <v>2645</v>
      </c>
      <c r="F591" s="191" t="s">
        <v>2645</v>
      </c>
      <c r="G591" s="191">
        <v>7</v>
      </c>
      <c r="H591" s="192">
        <v>0</v>
      </c>
      <c r="I591" s="192">
        <v>96.12</v>
      </c>
      <c r="J591" s="192">
        <f>SUM(H591,I591)</f>
        <v>96.12</v>
      </c>
    </row>
    <row r="592" spans="1:10" outlineLevel="2">
      <c r="A592" s="191" t="s">
        <v>1094</v>
      </c>
      <c r="B592" s="191" t="s">
        <v>871</v>
      </c>
      <c r="C592" s="191" t="s">
        <v>1093</v>
      </c>
      <c r="D592" s="191" t="s">
        <v>3389</v>
      </c>
      <c r="E592" s="191" t="s">
        <v>2603</v>
      </c>
      <c r="F592" s="191" t="s">
        <v>2603</v>
      </c>
      <c r="G592" s="191">
        <v>7</v>
      </c>
      <c r="H592" s="192">
        <v>0</v>
      </c>
      <c r="I592" s="192">
        <v>111.2</v>
      </c>
      <c r="J592" s="192">
        <f>SUM(H592,I592)</f>
        <v>111.2</v>
      </c>
    </row>
    <row r="593" spans="1:10" outlineLevel="1">
      <c r="A593" s="193" t="s">
        <v>3575</v>
      </c>
      <c r="B593" s="194"/>
      <c r="C593" s="194"/>
      <c r="D593" s="194"/>
      <c r="E593" s="194"/>
      <c r="F593" s="194"/>
      <c r="G593" s="194">
        <f>SUBTOTAL(9,G589:G592)</f>
        <v>56</v>
      </c>
      <c r="H593" s="195">
        <f>SUBTOTAL(9,H589:H592)</f>
        <v>0</v>
      </c>
      <c r="I593" s="195">
        <f>SUBTOTAL(9,I589:I592)</f>
        <v>782.78000000000009</v>
      </c>
      <c r="J593" s="195">
        <f>SUBTOTAL(9,J589:J592)</f>
        <v>782.78000000000009</v>
      </c>
    </row>
    <row r="594" spans="1:10" outlineLevel="2">
      <c r="A594" s="191" t="s">
        <v>3218</v>
      </c>
      <c r="B594" s="191" t="s">
        <v>871</v>
      </c>
      <c r="C594" s="191" t="s">
        <v>1097</v>
      </c>
      <c r="D594" s="191" t="s">
        <v>1513</v>
      </c>
      <c r="E594" s="191" t="s">
        <v>2595</v>
      </c>
      <c r="F594" s="191" t="s">
        <v>2596</v>
      </c>
      <c r="G594" s="191">
        <v>24</v>
      </c>
      <c r="H594" s="192">
        <v>150</v>
      </c>
      <c r="I594" s="192">
        <v>309.52999999999997</v>
      </c>
      <c r="J594" s="192">
        <f>SUM(H594,I594)</f>
        <v>459.53</v>
      </c>
    </row>
    <row r="595" spans="1:10" outlineLevel="2">
      <c r="A595" s="191" t="s">
        <v>3219</v>
      </c>
      <c r="B595" s="191" t="s">
        <v>871</v>
      </c>
      <c r="C595" s="191" t="s">
        <v>1097</v>
      </c>
      <c r="D595" s="191" t="s">
        <v>3439</v>
      </c>
      <c r="E595" s="191" t="s">
        <v>2627</v>
      </c>
      <c r="F595" s="191" t="s">
        <v>2627</v>
      </c>
      <c r="G595" s="191">
        <v>12</v>
      </c>
      <c r="H595" s="192">
        <v>0</v>
      </c>
      <c r="I595" s="192">
        <v>154.77000000000001</v>
      </c>
      <c r="J595" s="192">
        <f>SUM(H595,I595)</f>
        <v>154.77000000000001</v>
      </c>
    </row>
    <row r="596" spans="1:10" outlineLevel="2">
      <c r="A596" s="191" t="s">
        <v>1096</v>
      </c>
      <c r="B596" s="191" t="s">
        <v>871</v>
      </c>
      <c r="C596" s="191" t="s">
        <v>1097</v>
      </c>
      <c r="D596" s="191" t="s">
        <v>3382</v>
      </c>
      <c r="E596" s="191" t="s">
        <v>1480</v>
      </c>
      <c r="F596" s="191" t="s">
        <v>1480</v>
      </c>
      <c r="G596" s="191">
        <v>12</v>
      </c>
      <c r="H596" s="192">
        <v>0</v>
      </c>
      <c r="I596" s="192">
        <v>150.33000000000001</v>
      </c>
      <c r="J596" s="192">
        <f>SUM(H596,I596)</f>
        <v>150.33000000000001</v>
      </c>
    </row>
    <row r="597" spans="1:10" outlineLevel="2">
      <c r="A597" s="191" t="s">
        <v>3220</v>
      </c>
      <c r="B597" s="191" t="s">
        <v>871</v>
      </c>
      <c r="C597" s="191" t="s">
        <v>1097</v>
      </c>
      <c r="D597" s="191" t="s">
        <v>3440</v>
      </c>
      <c r="E597" s="191" t="s">
        <v>2593</v>
      </c>
      <c r="F597" s="191" t="s">
        <v>1487</v>
      </c>
      <c r="G597" s="191">
        <v>24</v>
      </c>
      <c r="H597" s="192">
        <v>100</v>
      </c>
      <c r="I597" s="192">
        <v>314.3</v>
      </c>
      <c r="J597" s="192">
        <f>SUM(H597,I597)</f>
        <v>414.3</v>
      </c>
    </row>
    <row r="598" spans="1:10" outlineLevel="2">
      <c r="A598" s="191" t="s">
        <v>1098</v>
      </c>
      <c r="B598" s="191" t="s">
        <v>871</v>
      </c>
      <c r="C598" s="191" t="s">
        <v>1097</v>
      </c>
      <c r="D598" s="191" t="s">
        <v>3441</v>
      </c>
      <c r="E598" s="191" t="s">
        <v>2734</v>
      </c>
      <c r="F598" s="191" t="s">
        <v>2734</v>
      </c>
      <c r="G598" s="191">
        <v>4</v>
      </c>
      <c r="H598" s="192">
        <v>0</v>
      </c>
      <c r="I598" s="192">
        <v>52.38</v>
      </c>
      <c r="J598" s="192">
        <f>SUM(H598,I598)</f>
        <v>52.38</v>
      </c>
    </row>
    <row r="599" spans="1:10" outlineLevel="2">
      <c r="A599" s="191" t="s">
        <v>1098</v>
      </c>
      <c r="B599" s="191" t="s">
        <v>871</v>
      </c>
      <c r="C599" s="191" t="s">
        <v>1097</v>
      </c>
      <c r="D599" s="191" t="s">
        <v>3441</v>
      </c>
      <c r="E599" s="191" t="s">
        <v>1477</v>
      </c>
      <c r="F599" s="191" t="s">
        <v>1477</v>
      </c>
      <c r="G599" s="191">
        <v>4</v>
      </c>
      <c r="H599" s="192">
        <v>0</v>
      </c>
      <c r="I599" s="192">
        <v>52.38</v>
      </c>
      <c r="J599" s="192">
        <f>SUM(H599,I599)</f>
        <v>52.38</v>
      </c>
    </row>
    <row r="600" spans="1:10" outlineLevel="2">
      <c r="A600" s="191" t="s">
        <v>1098</v>
      </c>
      <c r="B600" s="191" t="s">
        <v>871</v>
      </c>
      <c r="C600" s="191" t="s">
        <v>1097</v>
      </c>
      <c r="D600" s="191" t="s">
        <v>3441</v>
      </c>
      <c r="E600" s="191" t="s">
        <v>2658</v>
      </c>
      <c r="F600" s="191" t="s">
        <v>2658</v>
      </c>
      <c r="G600" s="191">
        <v>4</v>
      </c>
      <c r="H600" s="192">
        <v>0</v>
      </c>
      <c r="I600" s="192">
        <v>52.38</v>
      </c>
      <c r="J600" s="192">
        <f>SUM(H600,I600)</f>
        <v>52.38</v>
      </c>
    </row>
    <row r="601" spans="1:10" outlineLevel="2">
      <c r="A601" s="191" t="s">
        <v>1099</v>
      </c>
      <c r="B601" s="191" t="s">
        <v>871</v>
      </c>
      <c r="C601" s="191" t="s">
        <v>1097</v>
      </c>
      <c r="D601" s="191" t="s">
        <v>1103</v>
      </c>
      <c r="E601" s="191" t="s">
        <v>2688</v>
      </c>
      <c r="F601" s="191" t="s">
        <v>2688</v>
      </c>
      <c r="G601" s="191" t="s">
        <v>2760</v>
      </c>
      <c r="H601" s="192">
        <v>0</v>
      </c>
      <c r="I601" s="192">
        <v>0</v>
      </c>
      <c r="J601" s="192">
        <f>SUM(H601,I601)</f>
        <v>0</v>
      </c>
    </row>
    <row r="602" spans="1:10" outlineLevel="2">
      <c r="A602" s="191" t="s">
        <v>3221</v>
      </c>
      <c r="B602" s="191" t="s">
        <v>871</v>
      </c>
      <c r="C602" s="191" t="s">
        <v>1097</v>
      </c>
      <c r="D602" s="191" t="s">
        <v>3442</v>
      </c>
      <c r="E602" s="191" t="s">
        <v>1495</v>
      </c>
      <c r="F602" s="191" t="s">
        <v>1495</v>
      </c>
      <c r="G602" s="191">
        <v>12</v>
      </c>
      <c r="H602" s="192">
        <v>0</v>
      </c>
      <c r="I602" s="192">
        <v>151.77000000000001</v>
      </c>
      <c r="J602" s="192">
        <f>SUM(H602,I602)</f>
        <v>151.77000000000001</v>
      </c>
    </row>
    <row r="603" spans="1:10" outlineLevel="2">
      <c r="A603" s="191" t="s">
        <v>3221</v>
      </c>
      <c r="B603" s="191" t="s">
        <v>871</v>
      </c>
      <c r="C603" s="191" t="s">
        <v>1097</v>
      </c>
      <c r="D603" s="191" t="s">
        <v>3343</v>
      </c>
      <c r="E603" s="191" t="s">
        <v>3486</v>
      </c>
      <c r="F603" s="191" t="s">
        <v>3486</v>
      </c>
      <c r="G603" s="191">
        <v>7</v>
      </c>
      <c r="H603" s="192">
        <v>0</v>
      </c>
      <c r="I603" s="192">
        <v>93.13</v>
      </c>
      <c r="J603" s="192">
        <f>SUM(H603,I603)</f>
        <v>93.13</v>
      </c>
    </row>
    <row r="604" spans="1:10" outlineLevel="2">
      <c r="A604" s="191" t="s">
        <v>3221</v>
      </c>
      <c r="B604" s="191" t="s">
        <v>871</v>
      </c>
      <c r="C604" s="191" t="s">
        <v>1097</v>
      </c>
      <c r="D604" s="191" t="s">
        <v>3343</v>
      </c>
      <c r="E604" s="191" t="s">
        <v>3487</v>
      </c>
      <c r="F604" s="191" t="s">
        <v>3487</v>
      </c>
      <c r="G604" s="191">
        <v>12</v>
      </c>
      <c r="H604" s="192">
        <v>0</v>
      </c>
      <c r="I604" s="192">
        <v>159.65</v>
      </c>
      <c r="J604" s="192">
        <f>SUM(H604,I604)</f>
        <v>159.65</v>
      </c>
    </row>
    <row r="605" spans="1:10" outlineLevel="2">
      <c r="A605" s="191" t="s">
        <v>1100</v>
      </c>
      <c r="B605" s="191" t="s">
        <v>896</v>
      </c>
      <c r="C605" s="191" t="s">
        <v>1097</v>
      </c>
      <c r="D605" s="191" t="s">
        <v>3385</v>
      </c>
      <c r="E605" s="191" t="s">
        <v>2606</v>
      </c>
      <c r="F605" s="191" t="s">
        <v>1487</v>
      </c>
      <c r="G605" s="191">
        <v>0</v>
      </c>
      <c r="H605" s="192">
        <v>100</v>
      </c>
      <c r="I605" s="192">
        <v>0</v>
      </c>
      <c r="J605" s="192">
        <f>SUM(H605,I605)</f>
        <v>100</v>
      </c>
    </row>
    <row r="606" spans="1:10" outlineLevel="2">
      <c r="A606" s="191" t="s">
        <v>3222</v>
      </c>
      <c r="B606" s="191" t="s">
        <v>871</v>
      </c>
      <c r="C606" s="191" t="s">
        <v>1097</v>
      </c>
      <c r="D606" s="191" t="s">
        <v>1516</v>
      </c>
      <c r="E606" s="191" t="s">
        <v>3488</v>
      </c>
      <c r="F606" s="191" t="s">
        <v>3488</v>
      </c>
      <c r="G606" s="191">
        <v>12</v>
      </c>
      <c r="H606" s="192">
        <v>0</v>
      </c>
      <c r="I606" s="192">
        <v>176.06</v>
      </c>
      <c r="J606" s="192">
        <f>SUM(H606,I606)</f>
        <v>176.06</v>
      </c>
    </row>
    <row r="607" spans="1:10" outlineLevel="2">
      <c r="A607" s="191" t="s">
        <v>3223</v>
      </c>
      <c r="B607" s="191" t="s">
        <v>871</v>
      </c>
      <c r="C607" s="191" t="s">
        <v>1097</v>
      </c>
      <c r="D607" s="191" t="s">
        <v>3443</v>
      </c>
      <c r="E607" s="191" t="s">
        <v>2593</v>
      </c>
      <c r="F607" s="191" t="s">
        <v>1487</v>
      </c>
      <c r="G607" s="191">
        <v>24</v>
      </c>
      <c r="H607" s="192">
        <v>100</v>
      </c>
      <c r="I607" s="192">
        <v>314.3</v>
      </c>
      <c r="J607" s="192">
        <f>SUM(H607,I607)</f>
        <v>414.3</v>
      </c>
    </row>
    <row r="608" spans="1:10" outlineLevel="2">
      <c r="A608" s="191" t="s">
        <v>3224</v>
      </c>
      <c r="B608" s="191" t="s">
        <v>871</v>
      </c>
      <c r="C608" s="191" t="s">
        <v>1097</v>
      </c>
      <c r="D608" s="191" t="s">
        <v>3444</v>
      </c>
      <c r="E608" s="191" t="s">
        <v>2756</v>
      </c>
      <c r="F608" s="191" t="s">
        <v>2756</v>
      </c>
      <c r="G608" s="191">
        <v>12</v>
      </c>
      <c r="H608" s="192">
        <v>150</v>
      </c>
      <c r="I608" s="192">
        <v>157.15</v>
      </c>
      <c r="J608" s="192">
        <f>SUM(H608,I608)</f>
        <v>307.14999999999998</v>
      </c>
    </row>
    <row r="609" spans="1:10" outlineLevel="2">
      <c r="A609" s="191" t="s">
        <v>3224</v>
      </c>
      <c r="B609" s="191" t="s">
        <v>871</v>
      </c>
      <c r="C609" s="191" t="s">
        <v>1097</v>
      </c>
      <c r="D609" s="191" t="s">
        <v>3444</v>
      </c>
      <c r="E609" s="191" t="s">
        <v>2683</v>
      </c>
      <c r="F609" s="191" t="s">
        <v>2683</v>
      </c>
      <c r="G609" s="191">
        <v>12</v>
      </c>
      <c r="H609" s="192">
        <v>0</v>
      </c>
      <c r="I609" s="192">
        <v>157.15</v>
      </c>
      <c r="J609" s="192">
        <f>SUM(H609,I609)</f>
        <v>157.15</v>
      </c>
    </row>
    <row r="610" spans="1:10" outlineLevel="2">
      <c r="A610" s="191" t="s">
        <v>3224</v>
      </c>
      <c r="B610" s="191" t="s">
        <v>871</v>
      </c>
      <c r="C610" s="191" t="s">
        <v>1097</v>
      </c>
      <c r="D610" s="191" t="s">
        <v>3444</v>
      </c>
      <c r="E610" s="191" t="s">
        <v>3489</v>
      </c>
      <c r="F610" s="191" t="s">
        <v>3489</v>
      </c>
      <c r="G610" s="191">
        <v>12</v>
      </c>
      <c r="H610" s="192">
        <v>0</v>
      </c>
      <c r="I610" s="192">
        <v>157.15</v>
      </c>
      <c r="J610" s="192">
        <f>SUM(H610,I610)</f>
        <v>157.15</v>
      </c>
    </row>
    <row r="611" spans="1:10" outlineLevel="2">
      <c r="A611" s="191" t="s">
        <v>3224</v>
      </c>
      <c r="B611" s="191" t="s">
        <v>871</v>
      </c>
      <c r="C611" s="191" t="s">
        <v>1097</v>
      </c>
      <c r="D611" s="191" t="s">
        <v>3444</v>
      </c>
      <c r="E611" s="191" t="s">
        <v>2606</v>
      </c>
      <c r="F611" s="191" t="s">
        <v>2606</v>
      </c>
      <c r="G611" s="191">
        <v>12</v>
      </c>
      <c r="H611" s="192">
        <v>0</v>
      </c>
      <c r="I611" s="192">
        <v>157.15</v>
      </c>
      <c r="J611" s="192">
        <f>SUM(H611,I611)</f>
        <v>157.15</v>
      </c>
    </row>
    <row r="612" spans="1:10" outlineLevel="2">
      <c r="A612" s="191" t="s">
        <v>3188</v>
      </c>
      <c r="B612" s="191" t="s">
        <v>871</v>
      </c>
      <c r="C612" s="191" t="s">
        <v>1097</v>
      </c>
      <c r="D612" s="191" t="s">
        <v>3445</v>
      </c>
      <c r="E612" s="191" t="s">
        <v>2649</v>
      </c>
      <c r="F612" s="191" t="s">
        <v>2586</v>
      </c>
      <c r="G612" s="191">
        <v>0</v>
      </c>
      <c r="H612" s="192">
        <v>150</v>
      </c>
      <c r="I612" s="192">
        <v>0</v>
      </c>
      <c r="J612" s="192">
        <f>SUM(H612,I612)</f>
        <v>150</v>
      </c>
    </row>
    <row r="613" spans="1:10" outlineLevel="2">
      <c r="A613" s="191" t="s">
        <v>3188</v>
      </c>
      <c r="B613" s="191" t="s">
        <v>871</v>
      </c>
      <c r="C613" s="191" t="s">
        <v>1097</v>
      </c>
      <c r="D613" s="191" t="s">
        <v>3446</v>
      </c>
      <c r="E613" s="191" t="s">
        <v>3483</v>
      </c>
      <c r="F613" s="191" t="s">
        <v>1488</v>
      </c>
      <c r="G613" s="191">
        <v>0</v>
      </c>
      <c r="H613" s="192">
        <v>150</v>
      </c>
      <c r="I613" s="192">
        <v>0</v>
      </c>
      <c r="J613" s="192">
        <f>SUM(H613,I613)</f>
        <v>150</v>
      </c>
    </row>
    <row r="614" spans="1:10" outlineLevel="2">
      <c r="A614" s="191" t="s">
        <v>3225</v>
      </c>
      <c r="B614" s="191" t="s">
        <v>871</v>
      </c>
      <c r="C614" s="191" t="s">
        <v>1097</v>
      </c>
      <c r="D614" s="191" t="s">
        <v>3265</v>
      </c>
      <c r="E614" s="191" t="s">
        <v>3472</v>
      </c>
      <c r="F614" s="191" t="s">
        <v>3472</v>
      </c>
      <c r="G614" s="191">
        <v>12</v>
      </c>
      <c r="H614" s="192">
        <v>40</v>
      </c>
      <c r="I614" s="192">
        <v>157.91999999999999</v>
      </c>
      <c r="J614" s="192">
        <f>SUM(H614,I614)</f>
        <v>197.92</v>
      </c>
    </row>
    <row r="615" spans="1:10" outlineLevel="2">
      <c r="A615" s="191" t="s">
        <v>3226</v>
      </c>
      <c r="B615" s="191" t="s">
        <v>871</v>
      </c>
      <c r="C615" s="191" t="s">
        <v>1097</v>
      </c>
      <c r="D615" s="191" t="s">
        <v>3447</v>
      </c>
      <c r="E615" s="191" t="s">
        <v>2590</v>
      </c>
      <c r="F615" s="191" t="s">
        <v>2590</v>
      </c>
      <c r="G615" s="191">
        <v>12</v>
      </c>
      <c r="H615" s="192">
        <v>150</v>
      </c>
      <c r="I615" s="192">
        <v>155.52000000000001</v>
      </c>
      <c r="J615" s="192">
        <f>SUM(H615,I615)</f>
        <v>305.52</v>
      </c>
    </row>
    <row r="616" spans="1:10" outlineLevel="1">
      <c r="A616" s="193" t="s">
        <v>3576</v>
      </c>
      <c r="B616" s="194"/>
      <c r="C616" s="194"/>
      <c r="D616" s="194"/>
      <c r="E616" s="194"/>
      <c r="F616" s="194"/>
      <c r="G616" s="194">
        <f>SUBTOTAL(9,G594:G615)</f>
        <v>223</v>
      </c>
      <c r="H616" s="195">
        <f>SUBTOTAL(9,H594:H615)</f>
        <v>1090</v>
      </c>
      <c r="I616" s="195">
        <f>SUBTOTAL(9,I594:I615)</f>
        <v>2923.0200000000004</v>
      </c>
      <c r="J616" s="195">
        <f>SUBTOTAL(9,J594:J615)</f>
        <v>4013.0200000000009</v>
      </c>
    </row>
    <row r="617" spans="1:10" outlineLevel="2">
      <c r="A617" s="191" t="s">
        <v>1101</v>
      </c>
      <c r="B617" s="191" t="s">
        <v>871</v>
      </c>
      <c r="C617" s="191" t="s">
        <v>1102</v>
      </c>
      <c r="D617" s="191" t="s">
        <v>3441</v>
      </c>
      <c r="E617" s="191" t="s">
        <v>1478</v>
      </c>
      <c r="F617" s="191" t="s">
        <v>1478</v>
      </c>
      <c r="G617" s="191">
        <v>12</v>
      </c>
      <c r="H617" s="192">
        <v>0</v>
      </c>
      <c r="I617" s="192">
        <v>157.15</v>
      </c>
      <c r="J617" s="192">
        <f>SUM(H617,I617)</f>
        <v>157.15</v>
      </c>
    </row>
    <row r="618" spans="1:10" outlineLevel="2">
      <c r="A618" s="191" t="s">
        <v>1101</v>
      </c>
      <c r="B618" s="191" t="s">
        <v>871</v>
      </c>
      <c r="C618" s="191" t="s">
        <v>1102</v>
      </c>
      <c r="D618" s="191" t="s">
        <v>3441</v>
      </c>
      <c r="E618" s="191" t="s">
        <v>2623</v>
      </c>
      <c r="F618" s="191" t="s">
        <v>2623</v>
      </c>
      <c r="G618" s="191">
        <v>12</v>
      </c>
      <c r="H618" s="192">
        <v>0</v>
      </c>
      <c r="I618" s="192">
        <v>157.15</v>
      </c>
      <c r="J618" s="192">
        <f>SUM(H618,I618)</f>
        <v>157.15</v>
      </c>
    </row>
    <row r="619" spans="1:10" outlineLevel="1">
      <c r="A619" s="193" t="s">
        <v>3577</v>
      </c>
      <c r="B619" s="194"/>
      <c r="C619" s="194"/>
      <c r="D619" s="194"/>
      <c r="E619" s="194"/>
      <c r="F619" s="194"/>
      <c r="G619" s="194">
        <f>SUBTOTAL(9,G617:G618)</f>
        <v>24</v>
      </c>
      <c r="H619" s="195">
        <f>SUBTOTAL(9,H617:H618)</f>
        <v>0</v>
      </c>
      <c r="I619" s="195">
        <f>SUBTOTAL(9,I617:I618)</f>
        <v>314.3</v>
      </c>
      <c r="J619" s="195">
        <f>SUBTOTAL(9,J617:J618)</f>
        <v>314.3</v>
      </c>
    </row>
    <row r="620" spans="1:10" ht="24.95" customHeight="1">
      <c r="A620" s="196" t="s">
        <v>55</v>
      </c>
      <c r="B620" s="196"/>
      <c r="C620" s="197"/>
      <c r="D620" s="197"/>
      <c r="E620" s="197"/>
      <c r="F620" s="197"/>
      <c r="G620" s="199">
        <f>SUBTOTAL(9,G14:G618)</f>
        <v>6365</v>
      </c>
      <c r="H620" s="198">
        <f>SUBTOTAL(9,H14:H618)</f>
        <v>20583.010000000002</v>
      </c>
      <c r="I620" s="198">
        <f>SUBTOTAL(9,I14:I618)</f>
        <v>88394.199999999953</v>
      </c>
      <c r="J620" s="198">
        <f>SUBTOTAL(9,J14:J618)</f>
        <v>108977.20999999992</v>
      </c>
    </row>
    <row r="622" spans="1:10">
      <c r="A622" s="55" t="s">
        <v>36</v>
      </c>
    </row>
    <row r="623" spans="1:10">
      <c r="A623" s="55" t="s">
        <v>37</v>
      </c>
    </row>
    <row r="624" spans="1:10">
      <c r="A624" s="130" t="s">
        <v>870</v>
      </c>
    </row>
  </sheetData>
  <autoFilter ref="A13:J619" xr:uid="{00000000-0009-0000-0000-00000C000000}"/>
  <sortState xmlns:xlrd2="http://schemas.microsoft.com/office/spreadsheetml/2017/richdata2" ref="A14:J618">
    <sortCondition ref="C14:C618"/>
  </sortState>
  <mergeCells count="5">
    <mergeCell ref="A620:B620"/>
    <mergeCell ref="A6:J6"/>
    <mergeCell ref="A7:J7"/>
    <mergeCell ref="A8:J8"/>
    <mergeCell ref="D11:K11"/>
  </mergeCells>
  <conditionalFormatting sqref="C11:C12">
    <cfRule type="cellIs" dxfId="0" priority="2" operator="between">
      <formula>"total aa"</formula>
      <formula>"total zz"</formula>
    </cfRule>
  </conditionalFormatting>
  <pageMargins left="0.27569444444444402" right="0.12986111111111101" top="0.17708333333333301" bottom="0.17361111111111099" header="0.51180555555555496" footer="0.51180555555555496"/>
  <pageSetup paperSize="9"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8"/>
  <sheetViews>
    <sheetView zoomScaleNormal="100" workbookViewId="0">
      <selection activeCell="A18" sqref="A18"/>
    </sheetView>
  </sheetViews>
  <sheetFormatPr baseColWidth="10" defaultColWidth="11.85546875" defaultRowHeight="15" outlineLevelRow="2"/>
  <cols>
    <col min="1" max="1" width="17.7109375" customWidth="1"/>
    <col min="3" max="3" width="12.42578125" customWidth="1"/>
    <col min="4" max="4" width="33.42578125" customWidth="1"/>
    <col min="7" max="7" width="7.28515625" customWidth="1"/>
    <col min="8" max="9" width="11.5703125" customWidth="1"/>
  </cols>
  <sheetData>
    <row r="1" spans="1:18" ht="18">
      <c r="F1" s="119"/>
      <c r="G1" s="119"/>
      <c r="H1" s="119"/>
      <c r="I1" s="120"/>
    </row>
    <row r="2" spans="1:18" ht="18">
      <c r="B2" s="6"/>
      <c r="E2" s="121" t="s">
        <v>0</v>
      </c>
      <c r="F2" s="121"/>
      <c r="G2" s="121"/>
      <c r="H2" s="119"/>
      <c r="I2" s="120"/>
      <c r="J2" s="122" t="s">
        <v>1</v>
      </c>
    </row>
    <row r="3" spans="1:18" ht="18">
      <c r="B3" s="6"/>
      <c r="F3" s="119"/>
      <c r="G3" s="119"/>
      <c r="H3" s="119"/>
      <c r="I3" s="120"/>
      <c r="J3" s="122" t="s">
        <v>66</v>
      </c>
    </row>
    <row r="4" spans="1:18" ht="18">
      <c r="B4" s="6"/>
      <c r="F4" s="119"/>
      <c r="G4" s="119"/>
      <c r="H4" s="119"/>
      <c r="I4" s="120"/>
      <c r="J4" s="122"/>
    </row>
    <row r="5" spans="1:18" ht="15.75">
      <c r="D5" s="38"/>
      <c r="E5" s="38"/>
      <c r="F5" s="38"/>
      <c r="G5" s="38"/>
      <c r="H5" s="38"/>
      <c r="I5" s="38"/>
    </row>
    <row r="6" spans="1:18" ht="19.899999999999999" customHeight="1">
      <c r="A6" s="167" t="s">
        <v>6</v>
      </c>
      <c r="B6" s="167"/>
      <c r="C6" s="167"/>
      <c r="D6" s="167"/>
      <c r="E6" s="167"/>
      <c r="F6" s="167"/>
      <c r="G6" s="167"/>
      <c r="H6" s="167"/>
      <c r="I6" s="167"/>
      <c r="J6" s="167"/>
      <c r="P6" s="133"/>
      <c r="Q6" s="133"/>
      <c r="R6" s="133"/>
    </row>
    <row r="7" spans="1:18" ht="19.899999999999999" customHeight="1">
      <c r="A7" s="168" t="s">
        <v>1470</v>
      </c>
      <c r="B7" s="168"/>
      <c r="C7" s="168"/>
      <c r="D7" s="168"/>
      <c r="E7" s="168"/>
      <c r="F7" s="168"/>
      <c r="G7" s="168"/>
      <c r="H7" s="168"/>
      <c r="I7" s="168"/>
      <c r="J7" s="168"/>
      <c r="P7" s="133"/>
      <c r="Q7" s="133"/>
      <c r="R7" s="133"/>
    </row>
    <row r="8" spans="1:18" ht="19.899999999999999" customHeight="1">
      <c r="A8" s="168" t="s">
        <v>29</v>
      </c>
      <c r="B8" s="168"/>
      <c r="C8" s="168"/>
      <c r="D8" s="168"/>
      <c r="E8" s="168"/>
      <c r="F8" s="168"/>
      <c r="G8" s="168"/>
      <c r="H8" s="168"/>
      <c r="I8" s="168"/>
      <c r="J8" s="168"/>
    </row>
    <row r="9" spans="1:18" ht="19.899999999999999" customHeight="1">
      <c r="A9" s="123"/>
      <c r="B9" s="123"/>
      <c r="C9" s="123"/>
      <c r="D9" s="123"/>
      <c r="E9" s="123"/>
      <c r="F9" s="123"/>
      <c r="G9" s="123"/>
      <c r="H9" s="123"/>
      <c r="I9" s="123"/>
      <c r="J9" s="123"/>
    </row>
    <row r="10" spans="1:18" ht="15.75">
      <c r="C10" s="39"/>
      <c r="D10" s="39"/>
      <c r="E10" s="39"/>
      <c r="F10" s="39"/>
      <c r="G10" s="39"/>
      <c r="H10" s="39"/>
      <c r="I10" s="39"/>
    </row>
    <row r="11" spans="1:18" ht="18">
      <c r="A11" s="62" t="s">
        <v>56</v>
      </c>
    </row>
    <row r="13" spans="1:18" ht="24.95" customHeight="1">
      <c r="A13" s="202" t="s">
        <v>67</v>
      </c>
      <c r="B13" s="202" t="s">
        <v>68</v>
      </c>
      <c r="C13" s="202" t="s">
        <v>89</v>
      </c>
      <c r="D13" s="202" t="s">
        <v>90</v>
      </c>
      <c r="E13" s="203" t="s">
        <v>91</v>
      </c>
      <c r="F13" s="203" t="s">
        <v>92</v>
      </c>
      <c r="G13" s="202" t="s">
        <v>47</v>
      </c>
      <c r="H13" s="204" t="s">
        <v>48</v>
      </c>
      <c r="I13" s="204" t="s">
        <v>49</v>
      </c>
      <c r="J13" s="204" t="s">
        <v>50</v>
      </c>
    </row>
    <row r="14" spans="1:18" outlineLevel="2">
      <c r="A14" s="191" t="s">
        <v>1104</v>
      </c>
      <c r="B14" s="191" t="s">
        <v>1105</v>
      </c>
      <c r="C14" s="191" t="s">
        <v>1106</v>
      </c>
      <c r="D14" s="191" t="s">
        <v>3612</v>
      </c>
      <c r="E14" s="191" t="s">
        <v>2678</v>
      </c>
      <c r="F14" s="191" t="s">
        <v>2609</v>
      </c>
      <c r="G14" s="191">
        <v>28</v>
      </c>
      <c r="H14" s="192">
        <v>240</v>
      </c>
      <c r="I14" s="192">
        <v>380.72</v>
      </c>
      <c r="J14" s="192">
        <f>SUM(H14,I14)</f>
        <v>620.72</v>
      </c>
    </row>
    <row r="15" spans="1:18" outlineLevel="1">
      <c r="A15" s="193" t="s">
        <v>3631</v>
      </c>
      <c r="B15" s="194"/>
      <c r="C15" s="194"/>
      <c r="D15" s="194"/>
      <c r="E15" s="194"/>
      <c r="F15" s="194"/>
      <c r="G15" s="194">
        <f>SUBTOTAL(9,G14:G14)</f>
        <v>28</v>
      </c>
      <c r="H15" s="195">
        <f>SUBTOTAL(9,H14:H14)</f>
        <v>240</v>
      </c>
      <c r="I15" s="195">
        <f>SUBTOTAL(9,I14:I14)</f>
        <v>380.72</v>
      </c>
      <c r="J15" s="195">
        <f>SUBTOTAL(9,J14:J14)</f>
        <v>620.72</v>
      </c>
    </row>
    <row r="16" spans="1:18" outlineLevel="2">
      <c r="A16" s="191" t="s">
        <v>1112</v>
      </c>
      <c r="B16" s="191" t="s">
        <v>1107</v>
      </c>
      <c r="C16" s="191" t="s">
        <v>1108</v>
      </c>
      <c r="D16" s="191" t="s">
        <v>1444</v>
      </c>
      <c r="E16" s="191" t="s">
        <v>1480</v>
      </c>
      <c r="F16" s="191" t="s">
        <v>1480</v>
      </c>
      <c r="G16" s="191">
        <v>7</v>
      </c>
      <c r="H16" s="200">
        <v>90</v>
      </c>
      <c r="I16" s="200">
        <v>104.69</v>
      </c>
      <c r="J16" s="192">
        <f t="shared" ref="J16:J83" si="0">SUM(H16,I16)</f>
        <v>194.69</v>
      </c>
    </row>
    <row r="17" spans="1:10" outlineLevel="1">
      <c r="A17" s="193" t="s">
        <v>1471</v>
      </c>
      <c r="B17" s="194"/>
      <c r="C17" s="194"/>
      <c r="D17" s="194"/>
      <c r="E17" s="194"/>
      <c r="F17" s="194"/>
      <c r="G17" s="194">
        <f>SUBTOTAL(9,G16:G16)</f>
        <v>7</v>
      </c>
      <c r="H17" s="201">
        <f>SUBTOTAL(9,H16:H16)</f>
        <v>90</v>
      </c>
      <c r="I17" s="201">
        <f>SUBTOTAL(9,I16:I16)</f>
        <v>104.69</v>
      </c>
      <c r="J17" s="195">
        <f>SUBTOTAL(9,J16:J16)</f>
        <v>194.69</v>
      </c>
    </row>
    <row r="18" spans="1:10" outlineLevel="2">
      <c r="A18" s="191" t="s">
        <v>3585</v>
      </c>
      <c r="B18" s="191" t="s">
        <v>3586</v>
      </c>
      <c r="C18" s="191" t="s">
        <v>3578</v>
      </c>
      <c r="D18" s="191" t="s">
        <v>3613</v>
      </c>
      <c r="E18" s="191" t="s">
        <v>2678</v>
      </c>
      <c r="F18" s="191" t="s">
        <v>2609</v>
      </c>
      <c r="G18" s="191">
        <v>28</v>
      </c>
      <c r="H18" s="200">
        <v>0</v>
      </c>
      <c r="I18" s="200">
        <v>399.4</v>
      </c>
      <c r="J18" s="192">
        <f t="shared" si="0"/>
        <v>399.4</v>
      </c>
    </row>
    <row r="19" spans="1:10" outlineLevel="1">
      <c r="A19" s="193" t="s">
        <v>3632</v>
      </c>
      <c r="B19" s="194"/>
      <c r="C19" s="194"/>
      <c r="D19" s="194"/>
      <c r="E19" s="194"/>
      <c r="F19" s="194"/>
      <c r="G19" s="194">
        <f>SUBTOTAL(9,G18:G18)</f>
        <v>28</v>
      </c>
      <c r="H19" s="201">
        <f>SUBTOTAL(9,H18:H18)</f>
        <v>0</v>
      </c>
      <c r="I19" s="201">
        <f>SUBTOTAL(9,I18:I18)</f>
        <v>399.4</v>
      </c>
      <c r="J19" s="195">
        <f>SUBTOTAL(9,J18:J18)</f>
        <v>399.4</v>
      </c>
    </row>
    <row r="20" spans="1:10" outlineLevel="2">
      <c r="A20" s="191" t="s">
        <v>3587</v>
      </c>
      <c r="B20" s="191" t="s">
        <v>3588</v>
      </c>
      <c r="C20" s="191" t="s">
        <v>3579</v>
      </c>
      <c r="D20" s="191" t="s">
        <v>3614</v>
      </c>
      <c r="E20" s="191" t="s">
        <v>1502</v>
      </c>
      <c r="F20" s="191" t="s">
        <v>2681</v>
      </c>
      <c r="G20" s="191">
        <v>21</v>
      </c>
      <c r="H20" s="200">
        <v>0</v>
      </c>
      <c r="I20" s="200">
        <v>409.98</v>
      </c>
      <c r="J20" s="192">
        <f t="shared" si="0"/>
        <v>409.98</v>
      </c>
    </row>
    <row r="21" spans="1:10" outlineLevel="1">
      <c r="A21" s="193" t="s">
        <v>3633</v>
      </c>
      <c r="B21" s="194"/>
      <c r="C21" s="194"/>
      <c r="D21" s="194"/>
      <c r="E21" s="194"/>
      <c r="F21" s="194"/>
      <c r="G21" s="194">
        <f>SUBTOTAL(9,G20:G20)</f>
        <v>21</v>
      </c>
      <c r="H21" s="201">
        <f>SUBTOTAL(9,H20:H20)</f>
        <v>0</v>
      </c>
      <c r="I21" s="201">
        <f>SUBTOTAL(9,I20:I20)</f>
        <v>409.98</v>
      </c>
      <c r="J21" s="195">
        <f>SUBTOTAL(9,J20:J20)</f>
        <v>409.98</v>
      </c>
    </row>
    <row r="22" spans="1:10" outlineLevel="2">
      <c r="A22" s="191" t="s">
        <v>1110</v>
      </c>
      <c r="B22" s="191" t="s">
        <v>87</v>
      </c>
      <c r="C22" s="191" t="s">
        <v>1111</v>
      </c>
      <c r="D22" s="191" t="s">
        <v>3615</v>
      </c>
      <c r="E22" s="191" t="s">
        <v>1487</v>
      </c>
      <c r="F22" s="191" t="s">
        <v>1487</v>
      </c>
      <c r="G22" s="191">
        <v>7</v>
      </c>
      <c r="H22" s="200">
        <v>0</v>
      </c>
      <c r="I22" s="200">
        <v>65.69</v>
      </c>
      <c r="J22" s="192">
        <f t="shared" si="0"/>
        <v>65.69</v>
      </c>
    </row>
    <row r="23" spans="1:10" outlineLevel="2">
      <c r="A23" s="191" t="s">
        <v>1113</v>
      </c>
      <c r="B23" s="191" t="s">
        <v>1114</v>
      </c>
      <c r="C23" s="191" t="s">
        <v>1111</v>
      </c>
      <c r="D23" s="191" t="s">
        <v>3615</v>
      </c>
      <c r="E23" s="191" t="s">
        <v>2654</v>
      </c>
      <c r="F23" s="191" t="s">
        <v>2654</v>
      </c>
      <c r="G23" s="191">
        <v>7</v>
      </c>
      <c r="H23" s="200">
        <v>0</v>
      </c>
      <c r="I23" s="200">
        <v>187.89</v>
      </c>
      <c r="J23" s="192">
        <f t="shared" si="0"/>
        <v>187.89</v>
      </c>
    </row>
    <row r="24" spans="1:10" outlineLevel="2">
      <c r="A24" s="191" t="s">
        <v>1113</v>
      </c>
      <c r="B24" s="191" t="s">
        <v>1114</v>
      </c>
      <c r="C24" s="191" t="s">
        <v>1111</v>
      </c>
      <c r="D24" s="191" t="s">
        <v>3616</v>
      </c>
      <c r="E24" s="191" t="s">
        <v>2592</v>
      </c>
      <c r="F24" s="191" t="s">
        <v>2682</v>
      </c>
      <c r="G24" s="191">
        <v>14</v>
      </c>
      <c r="H24" s="200">
        <v>0</v>
      </c>
      <c r="I24" s="200">
        <v>377.62</v>
      </c>
      <c r="J24" s="192">
        <f t="shared" si="0"/>
        <v>377.62</v>
      </c>
    </row>
    <row r="25" spans="1:10" outlineLevel="2">
      <c r="A25" s="191" t="s">
        <v>1115</v>
      </c>
      <c r="B25" s="191" t="s">
        <v>87</v>
      </c>
      <c r="C25" s="191" t="s">
        <v>1111</v>
      </c>
      <c r="D25" s="191" t="s">
        <v>3615</v>
      </c>
      <c r="E25" s="191" t="s">
        <v>2654</v>
      </c>
      <c r="F25" s="191" t="s">
        <v>2654</v>
      </c>
      <c r="G25" s="191">
        <v>7</v>
      </c>
      <c r="H25" s="200">
        <v>0</v>
      </c>
      <c r="I25" s="200">
        <v>77.239999999999995</v>
      </c>
      <c r="J25" s="192">
        <f t="shared" si="0"/>
        <v>77.239999999999995</v>
      </c>
    </row>
    <row r="26" spans="1:10" outlineLevel="2">
      <c r="A26" s="191" t="s">
        <v>1115</v>
      </c>
      <c r="B26" s="191" t="s">
        <v>87</v>
      </c>
      <c r="C26" s="191" t="s">
        <v>1111</v>
      </c>
      <c r="D26" s="191" t="s">
        <v>3617</v>
      </c>
      <c r="E26" s="191" t="s">
        <v>2732</v>
      </c>
      <c r="F26" s="191" t="s">
        <v>2732</v>
      </c>
      <c r="G26" s="191">
        <v>7</v>
      </c>
      <c r="H26" s="200">
        <v>0</v>
      </c>
      <c r="I26" s="200">
        <v>77.239999999999995</v>
      </c>
      <c r="J26" s="192">
        <f t="shared" si="0"/>
        <v>77.239999999999995</v>
      </c>
    </row>
    <row r="27" spans="1:10" outlineLevel="2">
      <c r="A27" s="191" t="s">
        <v>1116</v>
      </c>
      <c r="B27" s="191" t="s">
        <v>1117</v>
      </c>
      <c r="C27" s="191" t="s">
        <v>1111</v>
      </c>
      <c r="D27" s="191" t="s">
        <v>3615</v>
      </c>
      <c r="E27" s="191" t="s">
        <v>2654</v>
      </c>
      <c r="F27" s="191" t="s">
        <v>2654</v>
      </c>
      <c r="G27" s="191">
        <v>7</v>
      </c>
      <c r="H27" s="200">
        <v>0</v>
      </c>
      <c r="I27" s="200">
        <v>128.30000000000001</v>
      </c>
      <c r="J27" s="192">
        <f t="shared" si="0"/>
        <v>128.30000000000001</v>
      </c>
    </row>
    <row r="28" spans="1:10" outlineLevel="2">
      <c r="A28" s="191" t="s">
        <v>1116</v>
      </c>
      <c r="B28" s="191" t="s">
        <v>1117</v>
      </c>
      <c r="C28" s="191" t="s">
        <v>1111</v>
      </c>
      <c r="D28" s="191" t="s">
        <v>3615</v>
      </c>
      <c r="E28" s="191" t="s">
        <v>1487</v>
      </c>
      <c r="F28" s="191" t="s">
        <v>1487</v>
      </c>
      <c r="G28" s="191">
        <v>7</v>
      </c>
      <c r="H28" s="200">
        <v>0</v>
      </c>
      <c r="I28" s="200">
        <v>128.30000000000001</v>
      </c>
      <c r="J28" s="192">
        <f t="shared" si="0"/>
        <v>128.30000000000001</v>
      </c>
    </row>
    <row r="29" spans="1:10" outlineLevel="2">
      <c r="A29" s="191" t="s">
        <v>1116</v>
      </c>
      <c r="B29" s="191" t="s">
        <v>1117</v>
      </c>
      <c r="C29" s="191" t="s">
        <v>1111</v>
      </c>
      <c r="D29" s="191" t="s">
        <v>3616</v>
      </c>
      <c r="E29" s="191" t="s">
        <v>2592</v>
      </c>
      <c r="F29" s="191" t="s">
        <v>2682</v>
      </c>
      <c r="G29" s="191">
        <v>14</v>
      </c>
      <c r="H29" s="200">
        <v>0</v>
      </c>
      <c r="I29" s="200">
        <v>257.86</v>
      </c>
      <c r="J29" s="192">
        <f t="shared" si="0"/>
        <v>257.86</v>
      </c>
    </row>
    <row r="30" spans="1:10" outlineLevel="2">
      <c r="A30" s="191" t="s">
        <v>3589</v>
      </c>
      <c r="B30" s="191" t="s">
        <v>355</v>
      </c>
      <c r="C30" s="191" t="s">
        <v>1111</v>
      </c>
      <c r="D30" s="191" t="s">
        <v>3615</v>
      </c>
      <c r="E30" s="191" t="s">
        <v>1487</v>
      </c>
      <c r="F30" s="191" t="s">
        <v>1487</v>
      </c>
      <c r="G30" s="191">
        <v>7</v>
      </c>
      <c r="H30" s="200">
        <v>0</v>
      </c>
      <c r="I30" s="200">
        <v>105.75</v>
      </c>
      <c r="J30" s="192">
        <f t="shared" si="0"/>
        <v>105.75</v>
      </c>
    </row>
    <row r="31" spans="1:10" outlineLevel="2">
      <c r="A31" s="191" t="s">
        <v>1118</v>
      </c>
      <c r="B31" s="191" t="s">
        <v>1107</v>
      </c>
      <c r="C31" s="191" t="s">
        <v>1111</v>
      </c>
      <c r="D31" s="191" t="s">
        <v>1123</v>
      </c>
      <c r="E31" s="191" t="s">
        <v>3483</v>
      </c>
      <c r="F31" s="191" t="s">
        <v>3483</v>
      </c>
      <c r="G31" s="191">
        <v>7</v>
      </c>
      <c r="H31" s="200">
        <v>0</v>
      </c>
      <c r="I31" s="200">
        <v>107.58</v>
      </c>
      <c r="J31" s="192">
        <f t="shared" si="0"/>
        <v>107.58</v>
      </c>
    </row>
    <row r="32" spans="1:10" outlineLevel="2">
      <c r="A32" s="191" t="s">
        <v>1119</v>
      </c>
      <c r="B32" s="191" t="s">
        <v>355</v>
      </c>
      <c r="C32" s="191" t="s">
        <v>1111</v>
      </c>
      <c r="D32" s="191" t="s">
        <v>3615</v>
      </c>
      <c r="E32" s="191" t="s">
        <v>1487</v>
      </c>
      <c r="F32" s="191" t="s">
        <v>1487</v>
      </c>
      <c r="G32" s="191">
        <v>7</v>
      </c>
      <c r="H32" s="200">
        <v>0</v>
      </c>
      <c r="I32" s="200">
        <v>123.46</v>
      </c>
      <c r="J32" s="192">
        <f t="shared" si="0"/>
        <v>123.46</v>
      </c>
    </row>
    <row r="33" spans="1:10" outlineLevel="1">
      <c r="A33" s="193" t="s">
        <v>3634</v>
      </c>
      <c r="B33" s="194"/>
      <c r="C33" s="194"/>
      <c r="D33" s="194"/>
      <c r="E33" s="194"/>
      <c r="F33" s="194"/>
      <c r="G33" s="194">
        <f>SUBTOTAL(9,G22:G32)</f>
        <v>91</v>
      </c>
      <c r="H33" s="201">
        <f>SUBTOTAL(9,H22:H32)</f>
        <v>0</v>
      </c>
      <c r="I33" s="201">
        <f>SUBTOTAL(9,I22:I32)</f>
        <v>1636.9299999999998</v>
      </c>
      <c r="J33" s="195">
        <f>SUBTOTAL(9,J22:J32)</f>
        <v>1636.9299999999998</v>
      </c>
    </row>
    <row r="34" spans="1:10" outlineLevel="2">
      <c r="A34" s="191" t="s">
        <v>1120</v>
      </c>
      <c r="B34" s="191" t="s">
        <v>1107</v>
      </c>
      <c r="C34" s="191" t="s">
        <v>1121</v>
      </c>
      <c r="D34" s="191" t="s">
        <v>1123</v>
      </c>
      <c r="E34" s="191" t="s">
        <v>2732</v>
      </c>
      <c r="F34" s="191" t="s">
        <v>2732</v>
      </c>
      <c r="G34" s="191">
        <v>7</v>
      </c>
      <c r="H34" s="200">
        <v>0</v>
      </c>
      <c r="I34" s="200">
        <v>137.83000000000001</v>
      </c>
      <c r="J34" s="192">
        <f t="shared" si="0"/>
        <v>137.83000000000001</v>
      </c>
    </row>
    <row r="35" spans="1:10" outlineLevel="2">
      <c r="A35" s="191" t="s">
        <v>1122</v>
      </c>
      <c r="B35" s="191" t="s">
        <v>1107</v>
      </c>
      <c r="C35" s="191" t="s">
        <v>1121</v>
      </c>
      <c r="D35" s="191" t="s">
        <v>3618</v>
      </c>
      <c r="E35" s="191" t="s">
        <v>2677</v>
      </c>
      <c r="F35" s="191" t="s">
        <v>2677</v>
      </c>
      <c r="G35" s="191">
        <v>7</v>
      </c>
      <c r="H35" s="200">
        <v>0</v>
      </c>
      <c r="I35" s="200">
        <v>156.18</v>
      </c>
      <c r="J35" s="192">
        <f t="shared" si="0"/>
        <v>156.18</v>
      </c>
    </row>
    <row r="36" spans="1:10" outlineLevel="2">
      <c r="A36" s="191" t="s">
        <v>1122</v>
      </c>
      <c r="B36" s="191" t="s">
        <v>1107</v>
      </c>
      <c r="C36" s="191" t="s">
        <v>1121</v>
      </c>
      <c r="D36" s="191" t="s">
        <v>3615</v>
      </c>
      <c r="E36" s="191" t="s">
        <v>2654</v>
      </c>
      <c r="F36" s="191" t="s">
        <v>2654</v>
      </c>
      <c r="G36" s="191">
        <v>7</v>
      </c>
      <c r="H36" s="200">
        <v>0</v>
      </c>
      <c r="I36" s="200">
        <v>156.18</v>
      </c>
      <c r="J36" s="192">
        <f t="shared" si="0"/>
        <v>156.18</v>
      </c>
    </row>
    <row r="37" spans="1:10" outlineLevel="2">
      <c r="A37" s="191" t="s">
        <v>1124</v>
      </c>
      <c r="B37" s="191" t="s">
        <v>1125</v>
      </c>
      <c r="C37" s="191" t="s">
        <v>1121</v>
      </c>
      <c r="D37" s="191" t="s">
        <v>3260</v>
      </c>
      <c r="E37" s="191" t="s">
        <v>3453</v>
      </c>
      <c r="F37" s="191" t="s">
        <v>3453</v>
      </c>
      <c r="G37" s="191">
        <v>0</v>
      </c>
      <c r="H37" s="200">
        <v>1596</v>
      </c>
      <c r="I37" s="200">
        <v>0</v>
      </c>
      <c r="J37" s="192">
        <f t="shared" si="0"/>
        <v>1596</v>
      </c>
    </row>
    <row r="38" spans="1:10" outlineLevel="2">
      <c r="A38" s="191" t="s">
        <v>3590</v>
      </c>
      <c r="B38" s="191" t="s">
        <v>1125</v>
      </c>
      <c r="C38" s="191" t="s">
        <v>1121</v>
      </c>
      <c r="D38" s="191" t="s">
        <v>3619</v>
      </c>
      <c r="E38" s="191" t="s">
        <v>1502</v>
      </c>
      <c r="F38" s="191" t="s">
        <v>1502</v>
      </c>
      <c r="G38" s="191">
        <v>7</v>
      </c>
      <c r="H38" s="192">
        <v>0</v>
      </c>
      <c r="I38" s="192">
        <v>148.22</v>
      </c>
      <c r="J38" s="192">
        <f t="shared" si="0"/>
        <v>148.22</v>
      </c>
    </row>
    <row r="39" spans="1:10" outlineLevel="1">
      <c r="A39" s="193" t="s">
        <v>3635</v>
      </c>
      <c r="B39" s="194"/>
      <c r="C39" s="194"/>
      <c r="D39" s="194"/>
      <c r="E39" s="194"/>
      <c r="F39" s="194"/>
      <c r="G39" s="194">
        <f>SUBTOTAL(9,G34:G38)</f>
        <v>28</v>
      </c>
      <c r="H39" s="195">
        <f>SUBTOTAL(9,H34:H38)</f>
        <v>1596</v>
      </c>
      <c r="I39" s="195">
        <f>SUBTOTAL(9,I34:I38)</f>
        <v>598.41</v>
      </c>
      <c r="J39" s="195">
        <f>SUBTOTAL(9,J34:J38)</f>
        <v>2194.41</v>
      </c>
    </row>
    <row r="40" spans="1:10" outlineLevel="2">
      <c r="A40" s="191" t="s">
        <v>1142</v>
      </c>
      <c r="B40" s="191" t="s">
        <v>1141</v>
      </c>
      <c r="C40" s="191" t="s">
        <v>3580</v>
      </c>
      <c r="D40" s="191" t="s">
        <v>3615</v>
      </c>
      <c r="E40" s="191" t="s">
        <v>2654</v>
      </c>
      <c r="F40" s="191" t="s">
        <v>2654</v>
      </c>
      <c r="G40" s="191">
        <v>7</v>
      </c>
      <c r="H40" s="192">
        <v>0</v>
      </c>
      <c r="I40" s="192">
        <v>109.89</v>
      </c>
      <c r="J40" s="192">
        <f t="shared" si="0"/>
        <v>109.89</v>
      </c>
    </row>
    <row r="41" spans="1:10" outlineLevel="1">
      <c r="A41" s="193" t="s">
        <v>3636</v>
      </c>
      <c r="B41" s="194"/>
      <c r="C41" s="194"/>
      <c r="D41" s="194"/>
      <c r="E41" s="194"/>
      <c r="F41" s="194"/>
      <c r="G41" s="194">
        <f>SUBTOTAL(9,G40:G40)</f>
        <v>7</v>
      </c>
      <c r="H41" s="195">
        <f>SUBTOTAL(9,H40:H40)</f>
        <v>0</v>
      </c>
      <c r="I41" s="195">
        <f>SUBTOTAL(9,I40:I40)</f>
        <v>109.89</v>
      </c>
      <c r="J41" s="195">
        <f>SUBTOTAL(9,J40:J40)</f>
        <v>109.89</v>
      </c>
    </row>
    <row r="42" spans="1:10" outlineLevel="2">
      <c r="A42" s="191" t="s">
        <v>3591</v>
      </c>
      <c r="B42" s="191" t="s">
        <v>3592</v>
      </c>
      <c r="C42" s="191" t="s">
        <v>3581</v>
      </c>
      <c r="D42" s="191" t="s">
        <v>3613</v>
      </c>
      <c r="E42" s="191" t="s">
        <v>2676</v>
      </c>
      <c r="F42" s="191" t="s">
        <v>2609</v>
      </c>
      <c r="G42" s="191">
        <v>21</v>
      </c>
      <c r="H42" s="192">
        <v>0</v>
      </c>
      <c r="I42" s="192">
        <v>294.60000000000002</v>
      </c>
      <c r="J42" s="192">
        <f t="shared" si="0"/>
        <v>294.60000000000002</v>
      </c>
    </row>
    <row r="43" spans="1:10" outlineLevel="1">
      <c r="A43" s="193" t="s">
        <v>3637</v>
      </c>
      <c r="B43" s="194"/>
      <c r="C43" s="194"/>
      <c r="D43" s="194"/>
      <c r="E43" s="194"/>
      <c r="F43" s="194"/>
      <c r="G43" s="194">
        <f>SUBTOTAL(9,G42:G42)</f>
        <v>21</v>
      </c>
      <c r="H43" s="195">
        <f>SUBTOTAL(9,H42:H42)</f>
        <v>0</v>
      </c>
      <c r="I43" s="195">
        <f>SUBTOTAL(9,I42:I42)</f>
        <v>294.60000000000002</v>
      </c>
      <c r="J43" s="195">
        <f>SUBTOTAL(9,J42:J42)</f>
        <v>294.60000000000002</v>
      </c>
    </row>
    <row r="44" spans="1:10" outlineLevel="2">
      <c r="A44" s="191" t="s">
        <v>3593</v>
      </c>
      <c r="B44" s="191" t="s">
        <v>3594</v>
      </c>
      <c r="C44" s="191" t="s">
        <v>3582</v>
      </c>
      <c r="D44" s="191" t="s">
        <v>3620</v>
      </c>
      <c r="E44" s="191" t="s">
        <v>2717</v>
      </c>
      <c r="F44" s="191" t="s">
        <v>1490</v>
      </c>
      <c r="G44" s="191">
        <v>21</v>
      </c>
      <c r="H44" s="192">
        <v>0</v>
      </c>
      <c r="I44" s="192">
        <v>168.9</v>
      </c>
      <c r="J44" s="192">
        <f t="shared" si="0"/>
        <v>168.9</v>
      </c>
    </row>
    <row r="45" spans="1:10" outlineLevel="2">
      <c r="A45" s="191" t="s">
        <v>3595</v>
      </c>
      <c r="B45" s="191" t="s">
        <v>1133</v>
      </c>
      <c r="C45" s="191" t="s">
        <v>3582</v>
      </c>
      <c r="D45" s="191" t="s">
        <v>3620</v>
      </c>
      <c r="E45" s="191" t="s">
        <v>2717</v>
      </c>
      <c r="F45" s="191" t="s">
        <v>1490</v>
      </c>
      <c r="G45" s="191">
        <v>21</v>
      </c>
      <c r="H45" s="192">
        <v>0</v>
      </c>
      <c r="I45" s="192">
        <v>236.94</v>
      </c>
      <c r="J45" s="192">
        <f t="shared" si="0"/>
        <v>236.94</v>
      </c>
    </row>
    <row r="46" spans="1:10" outlineLevel="1">
      <c r="A46" s="193" t="s">
        <v>3638</v>
      </c>
      <c r="B46" s="194"/>
      <c r="C46" s="194"/>
      <c r="D46" s="194"/>
      <c r="E46" s="194"/>
      <c r="F46" s="194"/>
      <c r="G46" s="194">
        <f>SUBTOTAL(9,G44:G45)</f>
        <v>42</v>
      </c>
      <c r="H46" s="195">
        <f>SUBTOTAL(9,H44:H45)</f>
        <v>0</v>
      </c>
      <c r="I46" s="195">
        <f>SUBTOTAL(9,I44:I45)</f>
        <v>405.84000000000003</v>
      </c>
      <c r="J46" s="195">
        <f>SUBTOTAL(9,J44:J45)</f>
        <v>405.84000000000003</v>
      </c>
    </row>
    <row r="47" spans="1:10" outlineLevel="2">
      <c r="A47" s="191" t="s">
        <v>3596</v>
      </c>
      <c r="B47" s="191" t="s">
        <v>1114</v>
      </c>
      <c r="C47" s="191" t="s">
        <v>3583</v>
      </c>
      <c r="D47" s="191" t="s">
        <v>3616</v>
      </c>
      <c r="E47" s="191" t="s">
        <v>2592</v>
      </c>
      <c r="F47" s="191" t="s">
        <v>2682</v>
      </c>
      <c r="G47" s="191">
        <v>14</v>
      </c>
      <c r="H47" s="192">
        <v>0</v>
      </c>
      <c r="I47" s="192">
        <v>325.2</v>
      </c>
      <c r="J47" s="192">
        <f t="shared" si="0"/>
        <v>325.2</v>
      </c>
    </row>
    <row r="48" spans="1:10" outlineLevel="1">
      <c r="A48" s="193" t="s">
        <v>3639</v>
      </c>
      <c r="B48" s="194"/>
      <c r="C48" s="194"/>
      <c r="D48" s="194"/>
      <c r="E48" s="194"/>
      <c r="F48" s="194"/>
      <c r="G48" s="194">
        <f>SUBTOTAL(9,G47:G47)</f>
        <v>14</v>
      </c>
      <c r="H48" s="195">
        <f>SUBTOTAL(9,H47:H47)</f>
        <v>0</v>
      </c>
      <c r="I48" s="195">
        <f>SUBTOTAL(9,I47:I47)</f>
        <v>325.2</v>
      </c>
      <c r="J48" s="195">
        <f>SUBTOTAL(9,J47:J47)</f>
        <v>325.2</v>
      </c>
    </row>
    <row r="49" spans="1:10" outlineLevel="2">
      <c r="A49" s="191" t="s">
        <v>3597</v>
      </c>
      <c r="B49" s="191" t="s">
        <v>3598</v>
      </c>
      <c r="C49" s="191" t="s">
        <v>1128</v>
      </c>
      <c r="D49" s="191" t="s">
        <v>3615</v>
      </c>
      <c r="E49" s="191" t="s">
        <v>1487</v>
      </c>
      <c r="F49" s="191" t="s">
        <v>1487</v>
      </c>
      <c r="G49" s="191">
        <v>7</v>
      </c>
      <c r="H49" s="192">
        <v>0</v>
      </c>
      <c r="I49" s="192">
        <v>85.38</v>
      </c>
      <c r="J49" s="192">
        <f t="shared" si="0"/>
        <v>85.38</v>
      </c>
    </row>
    <row r="50" spans="1:10" outlineLevel="2">
      <c r="A50" s="191" t="s">
        <v>1126</v>
      </c>
      <c r="B50" s="191" t="s">
        <v>1127</v>
      </c>
      <c r="C50" s="191" t="s">
        <v>1128</v>
      </c>
      <c r="D50" s="191" t="s">
        <v>3613</v>
      </c>
      <c r="E50" s="191" t="s">
        <v>2678</v>
      </c>
      <c r="F50" s="191" t="s">
        <v>2609</v>
      </c>
      <c r="G50" s="191">
        <v>28</v>
      </c>
      <c r="H50" s="192">
        <v>0</v>
      </c>
      <c r="I50" s="192">
        <v>365.2</v>
      </c>
      <c r="J50" s="192">
        <f t="shared" si="0"/>
        <v>365.2</v>
      </c>
    </row>
    <row r="51" spans="1:10" outlineLevel="2">
      <c r="A51" s="191" t="s">
        <v>3599</v>
      </c>
      <c r="B51" s="191" t="s">
        <v>1105</v>
      </c>
      <c r="C51" s="191" t="s">
        <v>1128</v>
      </c>
      <c r="D51" s="191" t="s">
        <v>3612</v>
      </c>
      <c r="E51" s="191" t="s">
        <v>2678</v>
      </c>
      <c r="F51" s="191" t="s">
        <v>2609</v>
      </c>
      <c r="G51" s="191">
        <v>28</v>
      </c>
      <c r="H51" s="192">
        <v>0</v>
      </c>
      <c r="I51" s="192">
        <v>306.04000000000002</v>
      </c>
      <c r="J51" s="192">
        <f t="shared" si="0"/>
        <v>306.04000000000002</v>
      </c>
    </row>
    <row r="52" spans="1:10" outlineLevel="2">
      <c r="A52" s="191" t="s">
        <v>3599</v>
      </c>
      <c r="B52" s="191" t="s">
        <v>1105</v>
      </c>
      <c r="C52" s="191" t="s">
        <v>1128</v>
      </c>
      <c r="D52" s="191" t="s">
        <v>3621</v>
      </c>
      <c r="E52" s="191" t="s">
        <v>2640</v>
      </c>
      <c r="F52" s="191" t="s">
        <v>2640</v>
      </c>
      <c r="G52" s="191">
        <v>7</v>
      </c>
      <c r="H52" s="192">
        <v>0</v>
      </c>
      <c r="I52" s="192">
        <v>76.56</v>
      </c>
      <c r="J52" s="192">
        <f t="shared" si="0"/>
        <v>76.56</v>
      </c>
    </row>
    <row r="53" spans="1:10" outlineLevel="2">
      <c r="A53" s="191" t="s">
        <v>3600</v>
      </c>
      <c r="B53" s="191" t="s">
        <v>1105</v>
      </c>
      <c r="C53" s="191" t="s">
        <v>1128</v>
      </c>
      <c r="D53" s="191" t="s">
        <v>3613</v>
      </c>
      <c r="E53" s="191" t="s">
        <v>2678</v>
      </c>
      <c r="F53" s="191" t="s">
        <v>2609</v>
      </c>
      <c r="G53" s="191">
        <v>28</v>
      </c>
      <c r="H53" s="192">
        <v>0</v>
      </c>
      <c r="I53" s="192">
        <v>285.16000000000003</v>
      </c>
      <c r="J53" s="192">
        <f t="shared" si="0"/>
        <v>285.16000000000003</v>
      </c>
    </row>
    <row r="54" spans="1:10" outlineLevel="1">
      <c r="A54" s="193" t="s">
        <v>3640</v>
      </c>
      <c r="B54" s="194"/>
      <c r="C54" s="194"/>
      <c r="D54" s="194"/>
      <c r="E54" s="194"/>
      <c r="F54" s="194"/>
      <c r="G54" s="194">
        <f>SUBTOTAL(9,G49:G53)</f>
        <v>98</v>
      </c>
      <c r="H54" s="195">
        <f>SUBTOTAL(9,H49:H53)</f>
        <v>0</v>
      </c>
      <c r="I54" s="195">
        <f>SUBTOTAL(9,I49:I53)</f>
        <v>1118.3400000000001</v>
      </c>
      <c r="J54" s="195">
        <f>SUBTOTAL(9,J49:J53)</f>
        <v>1118.3400000000001</v>
      </c>
    </row>
    <row r="55" spans="1:10" outlineLevel="2">
      <c r="A55" s="191" t="s">
        <v>1129</v>
      </c>
      <c r="B55" s="191" t="s">
        <v>1105</v>
      </c>
      <c r="C55" s="191" t="s">
        <v>1130</v>
      </c>
      <c r="D55" s="191" t="s">
        <v>3613</v>
      </c>
      <c r="E55" s="191" t="s">
        <v>2676</v>
      </c>
      <c r="F55" s="191" t="s">
        <v>2609</v>
      </c>
      <c r="G55" s="191">
        <v>21</v>
      </c>
      <c r="H55" s="192">
        <v>0</v>
      </c>
      <c r="I55" s="192">
        <v>298.29000000000002</v>
      </c>
      <c r="J55" s="192">
        <f t="shared" si="0"/>
        <v>298.29000000000002</v>
      </c>
    </row>
    <row r="56" spans="1:10" outlineLevel="2">
      <c r="A56" s="191" t="s">
        <v>1131</v>
      </c>
      <c r="B56" s="191" t="s">
        <v>1132</v>
      </c>
      <c r="C56" s="191" t="s">
        <v>1130</v>
      </c>
      <c r="D56" s="191" t="s">
        <v>3622</v>
      </c>
      <c r="E56" s="191" t="s">
        <v>2590</v>
      </c>
      <c r="F56" s="191" t="s">
        <v>2590</v>
      </c>
      <c r="G56" s="191">
        <v>7</v>
      </c>
      <c r="H56" s="192">
        <v>0</v>
      </c>
      <c r="I56" s="192">
        <v>139.79</v>
      </c>
      <c r="J56" s="192">
        <f t="shared" si="0"/>
        <v>139.79</v>
      </c>
    </row>
    <row r="57" spans="1:10" outlineLevel="2">
      <c r="A57" s="191" t="s">
        <v>1131</v>
      </c>
      <c r="B57" s="191" t="s">
        <v>1132</v>
      </c>
      <c r="C57" s="191" t="s">
        <v>1130</v>
      </c>
      <c r="D57" s="191" t="s">
        <v>3613</v>
      </c>
      <c r="E57" s="191" t="s">
        <v>2676</v>
      </c>
      <c r="F57" s="191" t="s">
        <v>2609</v>
      </c>
      <c r="G57" s="191">
        <v>21</v>
      </c>
      <c r="H57" s="192">
        <v>0</v>
      </c>
      <c r="I57" s="192">
        <v>419.37</v>
      </c>
      <c r="J57" s="192">
        <f t="shared" si="0"/>
        <v>419.37</v>
      </c>
    </row>
    <row r="58" spans="1:10" outlineLevel="1">
      <c r="A58" s="193" t="s">
        <v>3641</v>
      </c>
      <c r="B58" s="194"/>
      <c r="C58" s="194"/>
      <c r="D58" s="194"/>
      <c r="E58" s="194"/>
      <c r="F58" s="194"/>
      <c r="G58" s="194">
        <f>SUBTOTAL(9,G55:G57)</f>
        <v>49</v>
      </c>
      <c r="H58" s="195">
        <f>SUBTOTAL(9,H55:H57)</f>
        <v>0</v>
      </c>
      <c r="I58" s="195">
        <f>SUBTOTAL(9,I55:I57)</f>
        <v>857.45</v>
      </c>
      <c r="J58" s="195">
        <f>SUBTOTAL(9,J55:J57)</f>
        <v>857.45</v>
      </c>
    </row>
    <row r="59" spans="1:10" outlineLevel="2">
      <c r="A59" s="191" t="s">
        <v>1134</v>
      </c>
      <c r="B59" s="191" t="s">
        <v>1132</v>
      </c>
      <c r="C59" s="191" t="s">
        <v>1135</v>
      </c>
      <c r="D59" s="191" t="s">
        <v>3623</v>
      </c>
      <c r="E59" s="191" t="s">
        <v>2658</v>
      </c>
      <c r="F59" s="191" t="s">
        <v>2689</v>
      </c>
      <c r="G59" s="191">
        <v>0</v>
      </c>
      <c r="H59" s="192">
        <v>90</v>
      </c>
      <c r="I59" s="192">
        <v>0</v>
      </c>
      <c r="J59" s="192">
        <f t="shared" si="0"/>
        <v>90</v>
      </c>
    </row>
    <row r="60" spans="1:10" outlineLevel="2">
      <c r="A60" s="191" t="s">
        <v>1134</v>
      </c>
      <c r="B60" s="191" t="s">
        <v>1132</v>
      </c>
      <c r="C60" s="191" t="s">
        <v>1135</v>
      </c>
      <c r="D60" s="191" t="s">
        <v>3613</v>
      </c>
      <c r="E60" s="191" t="s">
        <v>2678</v>
      </c>
      <c r="F60" s="191" t="s">
        <v>2609</v>
      </c>
      <c r="G60" s="191">
        <v>28</v>
      </c>
      <c r="H60" s="192">
        <v>0</v>
      </c>
      <c r="I60" s="192">
        <v>500.2</v>
      </c>
      <c r="J60" s="192">
        <f t="shared" si="0"/>
        <v>500.2</v>
      </c>
    </row>
    <row r="61" spans="1:10" outlineLevel="2">
      <c r="A61" s="191" t="s">
        <v>1134</v>
      </c>
      <c r="B61" s="191" t="s">
        <v>1132</v>
      </c>
      <c r="C61" s="191" t="s">
        <v>1135</v>
      </c>
      <c r="D61" s="191" t="s">
        <v>3620</v>
      </c>
      <c r="E61" s="191" t="s">
        <v>2717</v>
      </c>
      <c r="F61" s="191" t="s">
        <v>1490</v>
      </c>
      <c r="G61" s="191">
        <v>21</v>
      </c>
      <c r="H61" s="192">
        <v>0</v>
      </c>
      <c r="I61" s="192">
        <v>375.15</v>
      </c>
      <c r="J61" s="192">
        <f t="shared" si="0"/>
        <v>375.15</v>
      </c>
    </row>
    <row r="62" spans="1:10" outlineLevel="1">
      <c r="A62" s="193" t="s">
        <v>3642</v>
      </c>
      <c r="B62" s="194"/>
      <c r="C62" s="194"/>
      <c r="D62" s="194"/>
      <c r="E62" s="194"/>
      <c r="F62" s="194"/>
      <c r="G62" s="194">
        <f>SUBTOTAL(9,G59:G61)</f>
        <v>49</v>
      </c>
      <c r="H62" s="195">
        <f>SUBTOTAL(9,H59:H61)</f>
        <v>90</v>
      </c>
      <c r="I62" s="195">
        <f>SUBTOTAL(9,I59:I61)</f>
        <v>875.34999999999991</v>
      </c>
      <c r="J62" s="195">
        <f>SUBTOTAL(9,J59:J61)</f>
        <v>965.35</v>
      </c>
    </row>
    <row r="63" spans="1:10" outlineLevel="2">
      <c r="A63" s="191" t="s">
        <v>1137</v>
      </c>
      <c r="B63" s="191" t="s">
        <v>1107</v>
      </c>
      <c r="C63" s="191" t="s">
        <v>1136</v>
      </c>
      <c r="D63" s="191" t="s">
        <v>3615</v>
      </c>
      <c r="E63" s="191" t="s">
        <v>2654</v>
      </c>
      <c r="F63" s="191" t="s">
        <v>2654</v>
      </c>
      <c r="G63" s="191">
        <v>7</v>
      </c>
      <c r="H63" s="192">
        <v>0</v>
      </c>
      <c r="I63" s="192">
        <v>115.72</v>
      </c>
      <c r="J63" s="192">
        <f t="shared" si="0"/>
        <v>115.72</v>
      </c>
    </row>
    <row r="64" spans="1:10" outlineLevel="2">
      <c r="A64" s="191" t="s">
        <v>1137</v>
      </c>
      <c r="B64" s="191" t="s">
        <v>1107</v>
      </c>
      <c r="C64" s="191" t="s">
        <v>1136</v>
      </c>
      <c r="D64" s="191" t="s">
        <v>3624</v>
      </c>
      <c r="E64" s="191" t="s">
        <v>2731</v>
      </c>
      <c r="F64" s="191" t="s">
        <v>2657</v>
      </c>
      <c r="G64" s="191">
        <v>2</v>
      </c>
      <c r="H64" s="192">
        <v>0</v>
      </c>
      <c r="I64" s="192">
        <v>33.06</v>
      </c>
      <c r="J64" s="192">
        <f t="shared" si="0"/>
        <v>33.06</v>
      </c>
    </row>
    <row r="65" spans="1:10" outlineLevel="2">
      <c r="A65" s="191" t="s">
        <v>1122</v>
      </c>
      <c r="B65" s="191" t="s">
        <v>1107</v>
      </c>
      <c r="C65" s="191" t="s">
        <v>1136</v>
      </c>
      <c r="D65" s="191" t="s">
        <v>3617</v>
      </c>
      <c r="E65" s="191" t="s">
        <v>2732</v>
      </c>
      <c r="F65" s="191" t="s">
        <v>2732</v>
      </c>
      <c r="G65" s="191">
        <v>7</v>
      </c>
      <c r="H65" s="192">
        <v>0</v>
      </c>
      <c r="I65" s="192">
        <v>156.18</v>
      </c>
      <c r="J65" s="192">
        <f t="shared" si="0"/>
        <v>156.18</v>
      </c>
    </row>
    <row r="66" spans="1:10" outlineLevel="2">
      <c r="A66" s="191" t="s">
        <v>1138</v>
      </c>
      <c r="B66" s="191" t="s">
        <v>87</v>
      </c>
      <c r="C66" s="191" t="s">
        <v>1136</v>
      </c>
      <c r="D66" s="191" t="s">
        <v>3625</v>
      </c>
      <c r="E66" s="191" t="s">
        <v>2731</v>
      </c>
      <c r="F66" s="191" t="s">
        <v>2657</v>
      </c>
      <c r="G66" s="191">
        <v>3</v>
      </c>
      <c r="H66" s="192">
        <v>0</v>
      </c>
      <c r="I66" s="192">
        <v>33.1</v>
      </c>
      <c r="J66" s="192">
        <f t="shared" si="0"/>
        <v>33.1</v>
      </c>
    </row>
    <row r="67" spans="1:10" outlineLevel="2">
      <c r="A67" s="191" t="s">
        <v>1139</v>
      </c>
      <c r="B67" s="191" t="s">
        <v>87</v>
      </c>
      <c r="C67" s="191" t="s">
        <v>1136</v>
      </c>
      <c r="D67" s="191" t="s">
        <v>3626</v>
      </c>
      <c r="E67" s="191" t="s">
        <v>2585</v>
      </c>
      <c r="F67" s="191" t="s">
        <v>2586</v>
      </c>
      <c r="G67" s="191">
        <v>14</v>
      </c>
      <c r="H67" s="192">
        <v>490</v>
      </c>
      <c r="I67" s="192">
        <v>137.30000000000001</v>
      </c>
      <c r="J67" s="192">
        <f t="shared" si="0"/>
        <v>627.29999999999995</v>
      </c>
    </row>
    <row r="68" spans="1:10" outlineLevel="2">
      <c r="A68" s="191" t="s">
        <v>1140</v>
      </c>
      <c r="B68" s="191" t="s">
        <v>1141</v>
      </c>
      <c r="C68" s="191" t="s">
        <v>1136</v>
      </c>
      <c r="D68" s="191" t="s">
        <v>3627</v>
      </c>
      <c r="E68" s="191" t="s">
        <v>2687</v>
      </c>
      <c r="F68" s="191" t="s">
        <v>2689</v>
      </c>
      <c r="G68" s="191">
        <v>14</v>
      </c>
      <c r="H68" s="192">
        <v>240</v>
      </c>
      <c r="I68" s="192">
        <v>243.32</v>
      </c>
      <c r="J68" s="192">
        <f t="shared" si="0"/>
        <v>483.32</v>
      </c>
    </row>
    <row r="69" spans="1:10" outlineLevel="2">
      <c r="A69" s="191" t="s">
        <v>1140</v>
      </c>
      <c r="B69" s="191" t="s">
        <v>1141</v>
      </c>
      <c r="C69" s="191" t="s">
        <v>1136</v>
      </c>
      <c r="D69" s="191" t="s">
        <v>3615</v>
      </c>
      <c r="E69" s="191" t="s">
        <v>2612</v>
      </c>
      <c r="F69" s="191" t="s">
        <v>2612</v>
      </c>
      <c r="G69" s="191">
        <v>7</v>
      </c>
      <c r="H69" s="192">
        <v>90</v>
      </c>
      <c r="I69" s="192">
        <v>115.99</v>
      </c>
      <c r="J69" s="192">
        <f t="shared" si="0"/>
        <v>205.99</v>
      </c>
    </row>
    <row r="70" spans="1:10" outlineLevel="1">
      <c r="A70" s="193" t="s">
        <v>3643</v>
      </c>
      <c r="B70" s="194"/>
      <c r="C70" s="194"/>
      <c r="D70" s="194"/>
      <c r="E70" s="194"/>
      <c r="F70" s="194"/>
      <c r="G70" s="194">
        <f>SUBTOTAL(9,G63:G69)</f>
        <v>54</v>
      </c>
      <c r="H70" s="195">
        <f>SUBTOTAL(9,H63:H69)</f>
        <v>820</v>
      </c>
      <c r="I70" s="195">
        <f>SUBTOTAL(9,I63:I69)</f>
        <v>834.67000000000007</v>
      </c>
      <c r="J70" s="195">
        <f>SUBTOTAL(9,J63:J69)</f>
        <v>1654.67</v>
      </c>
    </row>
    <row r="71" spans="1:10" outlineLevel="2">
      <c r="A71" s="191" t="s">
        <v>3601</v>
      </c>
      <c r="B71" s="191" t="s">
        <v>3602</v>
      </c>
      <c r="C71" s="191" t="s">
        <v>3584</v>
      </c>
      <c r="D71" s="191" t="s">
        <v>3613</v>
      </c>
      <c r="E71" s="191" t="s">
        <v>2676</v>
      </c>
      <c r="F71" s="191" t="s">
        <v>2609</v>
      </c>
      <c r="G71" s="191">
        <v>21</v>
      </c>
      <c r="H71" s="192">
        <v>240</v>
      </c>
      <c r="I71" s="192">
        <v>323.88</v>
      </c>
      <c r="J71" s="192">
        <f t="shared" si="0"/>
        <v>563.88</v>
      </c>
    </row>
    <row r="72" spans="1:10" outlineLevel="1">
      <c r="A72" s="193" t="s">
        <v>3644</v>
      </c>
      <c r="B72" s="194"/>
      <c r="C72" s="194"/>
      <c r="D72" s="194"/>
      <c r="E72" s="194"/>
      <c r="F72" s="194"/>
      <c r="G72" s="194">
        <f>SUBTOTAL(9,G71:G71)</f>
        <v>21</v>
      </c>
      <c r="H72" s="195">
        <f>SUBTOTAL(9,H71:H71)</f>
        <v>240</v>
      </c>
      <c r="I72" s="195">
        <f>SUBTOTAL(9,I71:I71)</f>
        <v>323.88</v>
      </c>
      <c r="J72" s="195">
        <f>SUBTOTAL(9,J71:J71)</f>
        <v>563.88</v>
      </c>
    </row>
    <row r="73" spans="1:10" outlineLevel="2">
      <c r="A73" s="191" t="s">
        <v>1144</v>
      </c>
      <c r="B73" s="191" t="s">
        <v>1125</v>
      </c>
      <c r="C73" s="191" t="s">
        <v>1145</v>
      </c>
      <c r="D73" s="191" t="s">
        <v>3628</v>
      </c>
      <c r="E73" s="191" t="s">
        <v>2678</v>
      </c>
      <c r="F73" s="191" t="s">
        <v>2609</v>
      </c>
      <c r="G73" s="191">
        <v>28</v>
      </c>
      <c r="H73" s="192">
        <v>0</v>
      </c>
      <c r="I73" s="192">
        <v>652.20000000000005</v>
      </c>
      <c r="J73" s="192">
        <f t="shared" si="0"/>
        <v>652.20000000000005</v>
      </c>
    </row>
    <row r="74" spans="1:10" outlineLevel="2">
      <c r="A74" s="191" t="s">
        <v>1144</v>
      </c>
      <c r="B74" s="191" t="s">
        <v>1125</v>
      </c>
      <c r="C74" s="191" t="s">
        <v>1145</v>
      </c>
      <c r="D74" s="191" t="s">
        <v>3616</v>
      </c>
      <c r="E74" s="191" t="s">
        <v>2592</v>
      </c>
      <c r="F74" s="191" t="s">
        <v>2682</v>
      </c>
      <c r="G74" s="191">
        <v>14</v>
      </c>
      <c r="H74" s="192">
        <v>0</v>
      </c>
      <c r="I74" s="192">
        <v>326.10000000000002</v>
      </c>
      <c r="J74" s="192">
        <f t="shared" si="0"/>
        <v>326.10000000000002</v>
      </c>
    </row>
    <row r="75" spans="1:10" outlineLevel="2">
      <c r="A75" s="191" t="s">
        <v>3603</v>
      </c>
      <c r="B75" s="191" t="s">
        <v>3598</v>
      </c>
      <c r="C75" s="191" t="s">
        <v>1145</v>
      </c>
      <c r="D75" s="191" t="s">
        <v>3613</v>
      </c>
      <c r="E75" s="191" t="s">
        <v>2676</v>
      </c>
      <c r="F75" s="191" t="s">
        <v>2609</v>
      </c>
      <c r="G75" s="191">
        <v>21</v>
      </c>
      <c r="H75" s="192">
        <v>0</v>
      </c>
      <c r="I75" s="192">
        <v>278.31</v>
      </c>
      <c r="J75" s="192">
        <f t="shared" si="0"/>
        <v>278.31</v>
      </c>
    </row>
    <row r="76" spans="1:10" outlineLevel="2">
      <c r="A76" s="191" t="s">
        <v>3604</v>
      </c>
      <c r="B76" s="191" t="s">
        <v>3605</v>
      </c>
      <c r="C76" s="191" t="s">
        <v>1145</v>
      </c>
      <c r="D76" s="191" t="s">
        <v>3613</v>
      </c>
      <c r="E76" s="191" t="s">
        <v>2676</v>
      </c>
      <c r="F76" s="191" t="s">
        <v>2609</v>
      </c>
      <c r="G76" s="191">
        <v>21</v>
      </c>
      <c r="H76" s="192">
        <v>0</v>
      </c>
      <c r="I76" s="192">
        <v>356.16</v>
      </c>
      <c r="J76" s="192">
        <f t="shared" si="0"/>
        <v>356.16</v>
      </c>
    </row>
    <row r="77" spans="1:10" outlineLevel="2">
      <c r="A77" s="191" t="s">
        <v>3606</v>
      </c>
      <c r="B77" s="191" t="s">
        <v>3607</v>
      </c>
      <c r="C77" s="191" t="s">
        <v>1145</v>
      </c>
      <c r="D77" s="191" t="s">
        <v>3616</v>
      </c>
      <c r="E77" s="191" t="s">
        <v>2592</v>
      </c>
      <c r="F77" s="191" t="s">
        <v>2682</v>
      </c>
      <c r="G77" s="191">
        <v>14</v>
      </c>
      <c r="H77" s="192">
        <v>0</v>
      </c>
      <c r="I77" s="192">
        <v>171.58</v>
      </c>
      <c r="J77" s="192">
        <f t="shared" si="0"/>
        <v>171.58</v>
      </c>
    </row>
    <row r="78" spans="1:10" outlineLevel="2">
      <c r="A78" s="191" t="s">
        <v>3608</v>
      </c>
      <c r="B78" s="191" t="s">
        <v>3607</v>
      </c>
      <c r="C78" s="191" t="s">
        <v>1145</v>
      </c>
      <c r="D78" s="191" t="s">
        <v>3616</v>
      </c>
      <c r="E78" s="191" t="s">
        <v>2592</v>
      </c>
      <c r="F78" s="191" t="s">
        <v>2682</v>
      </c>
      <c r="G78" s="191">
        <v>14</v>
      </c>
      <c r="H78" s="192">
        <v>0</v>
      </c>
      <c r="I78" s="192">
        <v>168.8</v>
      </c>
      <c r="J78" s="192">
        <f t="shared" si="0"/>
        <v>168.8</v>
      </c>
    </row>
    <row r="79" spans="1:10" outlineLevel="1">
      <c r="A79" s="193" t="s">
        <v>3645</v>
      </c>
      <c r="B79" s="194"/>
      <c r="C79" s="194"/>
      <c r="D79" s="194"/>
      <c r="E79" s="194"/>
      <c r="F79" s="194"/>
      <c r="G79" s="194">
        <f>SUBTOTAL(9,G73:G78)</f>
        <v>112</v>
      </c>
      <c r="H79" s="195">
        <f>SUBTOTAL(9,H73:H78)</f>
        <v>0</v>
      </c>
      <c r="I79" s="195">
        <f>SUBTOTAL(9,I73:I78)</f>
        <v>1953.15</v>
      </c>
      <c r="J79" s="195">
        <f>SUBTOTAL(9,J73:J78)</f>
        <v>1953.15</v>
      </c>
    </row>
    <row r="80" spans="1:10" outlineLevel="2">
      <c r="A80" s="191" t="s">
        <v>3609</v>
      </c>
      <c r="B80" s="191" t="s">
        <v>87</v>
      </c>
      <c r="C80" s="191" t="s">
        <v>1146</v>
      </c>
      <c r="D80" s="191" t="s">
        <v>3629</v>
      </c>
      <c r="E80" s="191" t="s">
        <v>2596</v>
      </c>
      <c r="F80" s="191" t="s">
        <v>2596</v>
      </c>
      <c r="G80" s="191">
        <v>7</v>
      </c>
      <c r="H80" s="192">
        <v>0</v>
      </c>
      <c r="I80" s="192">
        <v>84.13</v>
      </c>
      <c r="J80" s="192">
        <f t="shared" si="0"/>
        <v>84.13</v>
      </c>
    </row>
    <row r="81" spans="1:10" outlineLevel="2">
      <c r="A81" s="191" t="s">
        <v>3609</v>
      </c>
      <c r="B81" s="191" t="s">
        <v>87</v>
      </c>
      <c r="C81" s="191" t="s">
        <v>1146</v>
      </c>
      <c r="D81" s="191" t="s">
        <v>3630</v>
      </c>
      <c r="E81" s="191" t="s">
        <v>1479</v>
      </c>
      <c r="F81" s="191" t="s">
        <v>1479</v>
      </c>
      <c r="G81" s="191">
        <v>7</v>
      </c>
      <c r="H81" s="192">
        <v>0</v>
      </c>
      <c r="I81" s="192">
        <v>84.32</v>
      </c>
      <c r="J81" s="192">
        <f t="shared" si="0"/>
        <v>84.32</v>
      </c>
    </row>
    <row r="82" spans="1:10" outlineLevel="1">
      <c r="A82" s="193" t="s">
        <v>3646</v>
      </c>
      <c r="B82" s="194"/>
      <c r="C82" s="194"/>
      <c r="D82" s="194"/>
      <c r="E82" s="194"/>
      <c r="F82" s="194"/>
      <c r="G82" s="194">
        <f>SUBTOTAL(9,G80:G81)</f>
        <v>14</v>
      </c>
      <c r="H82" s="195">
        <f>SUBTOTAL(9,H80:H81)</f>
        <v>0</v>
      </c>
      <c r="I82" s="195">
        <f>SUBTOTAL(9,I80:I81)</f>
        <v>168.45</v>
      </c>
      <c r="J82" s="195">
        <f>SUBTOTAL(9,J80:J81)</f>
        <v>168.45</v>
      </c>
    </row>
    <row r="83" spans="1:10" outlineLevel="2">
      <c r="A83" s="191" t="s">
        <v>3610</v>
      </c>
      <c r="B83" s="191" t="s">
        <v>3611</v>
      </c>
      <c r="C83" s="191" t="s">
        <v>869</v>
      </c>
      <c r="D83" s="191" t="s">
        <v>3414</v>
      </c>
      <c r="E83" s="191" t="s">
        <v>2724</v>
      </c>
      <c r="F83" s="191" t="s">
        <v>2724</v>
      </c>
      <c r="G83" s="191">
        <v>7</v>
      </c>
      <c r="H83" s="192">
        <v>0</v>
      </c>
      <c r="I83" s="192">
        <v>60.96</v>
      </c>
      <c r="J83" s="192">
        <f t="shared" si="0"/>
        <v>60.96</v>
      </c>
    </row>
    <row r="84" spans="1:10" outlineLevel="1">
      <c r="A84" s="193" t="s">
        <v>3046</v>
      </c>
      <c r="B84" s="194"/>
      <c r="C84" s="194"/>
      <c r="D84" s="194"/>
      <c r="E84" s="194"/>
      <c r="F84" s="194"/>
      <c r="G84" s="194">
        <f>SUBTOTAL(9,G83:G83)</f>
        <v>7</v>
      </c>
      <c r="H84" s="195">
        <f>SUBTOTAL(9,H83:H83)</f>
        <v>0</v>
      </c>
      <c r="I84" s="195">
        <f>SUBTOTAL(9,I83:I83)</f>
        <v>60.96</v>
      </c>
      <c r="J84" s="195">
        <f>SUBTOTAL(9,J83:J83)</f>
        <v>60.96</v>
      </c>
    </row>
    <row r="85" spans="1:10" ht="24.95" customHeight="1">
      <c r="A85" s="185" t="s">
        <v>57</v>
      </c>
      <c r="B85" s="185"/>
      <c r="C85" s="135"/>
      <c r="D85" s="135"/>
      <c r="E85" s="135"/>
      <c r="F85" s="135"/>
      <c r="G85" s="136">
        <f>SUBTOTAL(9,G14:G83)</f>
        <v>691</v>
      </c>
      <c r="H85" s="137">
        <f>SUBTOTAL(9,H14:H83)</f>
        <v>3076</v>
      </c>
      <c r="I85" s="137">
        <f>SUBTOTAL(9,I14:I83)</f>
        <v>10857.909999999996</v>
      </c>
      <c r="J85" s="137">
        <f>SUBTOTAL(9,J14:J83)</f>
        <v>13933.909999999996</v>
      </c>
    </row>
    <row r="87" spans="1:10">
      <c r="A87" s="55" t="s">
        <v>36</v>
      </c>
    </row>
    <row r="88" spans="1:10">
      <c r="A88" s="55" t="s">
        <v>37</v>
      </c>
    </row>
  </sheetData>
  <autoFilter ref="A13:J84" xr:uid="{00000000-0009-0000-0000-00000D000000}"/>
  <mergeCells count="4">
    <mergeCell ref="A85:B85"/>
    <mergeCell ref="A6:J6"/>
    <mergeCell ref="A7:J7"/>
    <mergeCell ref="A8:J8"/>
  </mergeCells>
  <pageMargins left="0.27569444444444402" right="0.12986111111111101" top="0.17708333333333301" bottom="0.17361111111111099" header="0.51180555555555496" footer="0.51180555555555496"/>
  <pageSetup paperSize="9"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6"/>
  <sheetViews>
    <sheetView tabSelected="1" zoomScale="90" zoomScaleNormal="90" workbookViewId="0">
      <selection activeCell="C35" sqref="C35"/>
    </sheetView>
  </sheetViews>
  <sheetFormatPr baseColWidth="10" defaultColWidth="11.85546875" defaultRowHeight="15" outlineLevelRow="2"/>
  <cols>
    <col min="1" max="1" width="17.7109375" customWidth="1"/>
    <col min="2" max="3" width="13.140625" customWidth="1"/>
    <col min="4" max="4" width="38.140625" customWidth="1"/>
    <col min="5" max="6" width="8.7109375" customWidth="1"/>
    <col min="7" max="7" width="9" customWidth="1"/>
    <col min="8" max="10" width="10.5703125" customWidth="1"/>
  </cols>
  <sheetData>
    <row r="1" spans="1:14" ht="18">
      <c r="F1" s="119"/>
      <c r="G1" s="119"/>
      <c r="H1" s="119"/>
      <c r="I1" s="120"/>
    </row>
    <row r="2" spans="1:14" ht="18">
      <c r="B2" s="6"/>
      <c r="E2" s="121" t="s">
        <v>0</v>
      </c>
      <c r="F2" s="121"/>
      <c r="G2" s="121"/>
      <c r="H2" s="119"/>
      <c r="I2" s="120"/>
      <c r="J2" s="122" t="s">
        <v>1</v>
      </c>
    </row>
    <row r="3" spans="1:14" ht="18">
      <c r="B3" s="6"/>
      <c r="F3" s="119"/>
      <c r="G3" s="119"/>
      <c r="H3" s="119"/>
      <c r="I3" s="120"/>
      <c r="J3" s="122" t="s">
        <v>66</v>
      </c>
    </row>
    <row r="4" spans="1:14" ht="9.4" customHeight="1">
      <c r="B4" s="6"/>
      <c r="F4" s="119"/>
      <c r="G4" s="119"/>
      <c r="H4" s="119"/>
      <c r="I4" s="120"/>
      <c r="J4" s="122"/>
    </row>
    <row r="5" spans="1:14" ht="19.899999999999999" customHeight="1">
      <c r="A5" s="167" t="s">
        <v>6</v>
      </c>
      <c r="B5" s="167"/>
      <c r="C5" s="167"/>
      <c r="D5" s="167"/>
      <c r="E5" s="167"/>
      <c r="F5" s="167"/>
      <c r="G5" s="167"/>
      <c r="H5" s="167"/>
      <c r="I5" s="167"/>
      <c r="J5" s="167"/>
    </row>
    <row r="6" spans="1:14" ht="19.899999999999999" customHeight="1">
      <c r="A6" s="168" t="s">
        <v>1470</v>
      </c>
      <c r="B6" s="168"/>
      <c r="C6" s="168"/>
      <c r="D6" s="168"/>
      <c r="E6" s="168"/>
      <c r="F6" s="168"/>
      <c r="G6" s="168"/>
      <c r="H6" s="168"/>
      <c r="I6" s="168"/>
      <c r="J6" s="168"/>
    </row>
    <row r="7" spans="1:14" ht="19.899999999999999" customHeight="1">
      <c r="A7" s="168" t="s">
        <v>29</v>
      </c>
      <c r="B7" s="168"/>
      <c r="C7" s="168"/>
      <c r="D7" s="168"/>
      <c r="E7" s="168"/>
      <c r="F7" s="168"/>
      <c r="G7" s="168"/>
      <c r="H7" s="168"/>
      <c r="I7" s="168"/>
      <c r="J7" s="168"/>
    </row>
    <row r="8" spans="1:14" ht="13.15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</row>
    <row r="9" spans="1:14" ht="18">
      <c r="A9" s="62" t="s">
        <v>58</v>
      </c>
    </row>
    <row r="10" spans="1:14" ht="10.3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</row>
    <row r="11" spans="1:14" ht="34.9" customHeight="1">
      <c r="A11" s="139" t="s">
        <v>67</v>
      </c>
      <c r="B11" s="139" t="s">
        <v>68</v>
      </c>
      <c r="C11" s="139" t="s">
        <v>89</v>
      </c>
      <c r="D11" s="139" t="s">
        <v>90</v>
      </c>
      <c r="E11" s="140" t="s">
        <v>91</v>
      </c>
      <c r="F11" s="140" t="s">
        <v>92</v>
      </c>
      <c r="G11" s="139" t="s">
        <v>47</v>
      </c>
      <c r="H11" s="141" t="s">
        <v>48</v>
      </c>
      <c r="I11" s="141" t="s">
        <v>49</v>
      </c>
      <c r="J11" s="141" t="s">
        <v>50</v>
      </c>
    </row>
    <row r="12" spans="1:14" outlineLevel="2">
      <c r="A12" s="125" t="s">
        <v>1147</v>
      </c>
      <c r="B12" s="125" t="s">
        <v>81</v>
      </c>
      <c r="C12" s="125" t="s">
        <v>1148</v>
      </c>
      <c r="D12" s="125" t="s">
        <v>3650</v>
      </c>
      <c r="E12" s="126" t="s">
        <v>2618</v>
      </c>
      <c r="F12" s="126" t="s">
        <v>2591</v>
      </c>
      <c r="G12" s="125">
        <v>21</v>
      </c>
      <c r="H12" s="127">
        <v>0</v>
      </c>
      <c r="I12" s="127">
        <v>386.73</v>
      </c>
      <c r="J12" s="127">
        <f>SUM(H12,I12)</f>
        <v>386.73</v>
      </c>
    </row>
    <row r="13" spans="1:14" outlineLevel="2">
      <c r="A13" s="125" t="s">
        <v>1147</v>
      </c>
      <c r="B13" s="125" t="s">
        <v>81</v>
      </c>
      <c r="C13" s="125" t="s">
        <v>1148</v>
      </c>
      <c r="D13" s="125" t="s">
        <v>3651</v>
      </c>
      <c r="E13" s="126" t="s">
        <v>2703</v>
      </c>
      <c r="F13" s="126" t="s">
        <v>2703</v>
      </c>
      <c r="G13" s="125">
        <v>2</v>
      </c>
      <c r="H13" s="127">
        <v>0</v>
      </c>
      <c r="I13" s="127">
        <v>37.01</v>
      </c>
      <c r="J13" s="127">
        <f>SUM(H13,I13)</f>
        <v>37.01</v>
      </c>
      <c r="N13" s="55"/>
    </row>
    <row r="14" spans="1:14" outlineLevel="2">
      <c r="A14" s="125" t="s">
        <v>3647</v>
      </c>
      <c r="B14" s="125" t="s">
        <v>1107</v>
      </c>
      <c r="C14" s="125" t="s">
        <v>1148</v>
      </c>
      <c r="D14" s="125" t="s">
        <v>3650</v>
      </c>
      <c r="E14" s="126" t="s">
        <v>2618</v>
      </c>
      <c r="F14" s="126" t="s">
        <v>2591</v>
      </c>
      <c r="G14" s="125">
        <v>21</v>
      </c>
      <c r="H14" s="127">
        <v>0</v>
      </c>
      <c r="I14" s="127">
        <v>354.78</v>
      </c>
      <c r="J14" s="127">
        <f>SUM(H14,I14)</f>
        <v>354.78</v>
      </c>
      <c r="N14" s="55"/>
    </row>
    <row r="15" spans="1:14" outlineLevel="2">
      <c r="A15" s="125" t="s">
        <v>3648</v>
      </c>
      <c r="B15" s="125" t="s">
        <v>87</v>
      </c>
      <c r="C15" s="125" t="s">
        <v>1148</v>
      </c>
      <c r="D15" s="125" t="s">
        <v>3652</v>
      </c>
      <c r="E15" s="126" t="s">
        <v>2699</v>
      </c>
      <c r="F15" s="126" t="s">
        <v>2647</v>
      </c>
      <c r="G15" s="125">
        <v>14</v>
      </c>
      <c r="H15" s="127">
        <v>0</v>
      </c>
      <c r="I15" s="127">
        <v>188</v>
      </c>
      <c r="J15" s="127">
        <f>SUM(H15,I15)</f>
        <v>188</v>
      </c>
    </row>
    <row r="16" spans="1:14" outlineLevel="1">
      <c r="A16" s="220" t="s">
        <v>3653</v>
      </c>
      <c r="B16" s="186"/>
      <c r="C16" s="186"/>
      <c r="D16" s="186"/>
      <c r="E16" s="221"/>
      <c r="F16" s="221"/>
      <c r="G16" s="186">
        <f>SUBTOTAL(9,G12:G15)</f>
        <v>58</v>
      </c>
      <c r="H16" s="187">
        <f>SUBTOTAL(9,H12:H15)</f>
        <v>0</v>
      </c>
      <c r="I16" s="187">
        <f>SUBTOTAL(9,I12:I15)</f>
        <v>966.52</v>
      </c>
      <c r="J16" s="187">
        <f>SUBTOTAL(9,J12:J15)</f>
        <v>966.52</v>
      </c>
    </row>
    <row r="17" spans="1:10" outlineLevel="2">
      <c r="A17" s="125" t="s">
        <v>1149</v>
      </c>
      <c r="B17" s="125" t="s">
        <v>3649</v>
      </c>
      <c r="C17" s="125" t="s">
        <v>1150</v>
      </c>
      <c r="D17" s="125" t="s">
        <v>3650</v>
      </c>
      <c r="E17" s="126" t="s">
        <v>2618</v>
      </c>
      <c r="F17" s="126" t="s">
        <v>2591</v>
      </c>
      <c r="G17" s="125">
        <v>21</v>
      </c>
      <c r="H17" s="127">
        <v>0</v>
      </c>
      <c r="I17" s="127">
        <v>421.23</v>
      </c>
      <c r="J17" s="127">
        <f>SUM(H17,I17)</f>
        <v>421.23</v>
      </c>
    </row>
    <row r="18" spans="1:10" outlineLevel="2">
      <c r="A18" s="125" t="s">
        <v>1149</v>
      </c>
      <c r="B18" s="125" t="s">
        <v>3649</v>
      </c>
      <c r="C18" s="125" t="s">
        <v>1150</v>
      </c>
      <c r="D18" s="125" t="s">
        <v>3651</v>
      </c>
      <c r="E18" s="126" t="s">
        <v>2703</v>
      </c>
      <c r="F18" s="126" t="s">
        <v>2703</v>
      </c>
      <c r="G18" s="125">
        <v>2</v>
      </c>
      <c r="H18" s="127">
        <v>0</v>
      </c>
      <c r="I18" s="127">
        <v>40.31</v>
      </c>
      <c r="J18" s="127">
        <f>SUM(H18,I18)</f>
        <v>40.31</v>
      </c>
    </row>
    <row r="19" spans="1:10" outlineLevel="1">
      <c r="A19" s="220" t="s">
        <v>3654</v>
      </c>
      <c r="B19" s="186"/>
      <c r="C19" s="186"/>
      <c r="D19" s="186"/>
      <c r="E19" s="221"/>
      <c r="F19" s="221"/>
      <c r="G19" s="186">
        <f>SUBTOTAL(9,G17:G18)</f>
        <v>23</v>
      </c>
      <c r="H19" s="187">
        <f>SUBTOTAL(9,H17:H18)</f>
        <v>0</v>
      </c>
      <c r="I19" s="187">
        <f>SUBTOTAL(9,I17:I18)</f>
        <v>461.54</v>
      </c>
      <c r="J19" s="187">
        <f>SUBTOTAL(9,J17:J18)</f>
        <v>461.54</v>
      </c>
    </row>
    <row r="20" spans="1:10" outlineLevel="2">
      <c r="A20" s="125" t="s">
        <v>1151</v>
      </c>
      <c r="B20" s="125" t="s">
        <v>1125</v>
      </c>
      <c r="C20" s="125" t="s">
        <v>1152</v>
      </c>
      <c r="D20" s="125" t="s">
        <v>3651</v>
      </c>
      <c r="E20" s="126" t="s">
        <v>2703</v>
      </c>
      <c r="F20" s="126" t="s">
        <v>2703</v>
      </c>
      <c r="G20" s="125">
        <v>2</v>
      </c>
      <c r="H20" s="127">
        <v>0</v>
      </c>
      <c r="I20" s="127">
        <v>43.67</v>
      </c>
      <c r="J20" s="127">
        <f>SUM(H20,I20)</f>
        <v>43.67</v>
      </c>
    </row>
    <row r="21" spans="1:10" outlineLevel="1">
      <c r="A21" s="220" t="s">
        <v>3655</v>
      </c>
      <c r="B21" s="186"/>
      <c r="C21" s="186"/>
      <c r="D21" s="186"/>
      <c r="E21" s="221"/>
      <c r="F21" s="221"/>
      <c r="G21" s="186">
        <f>SUBTOTAL(9,G20:G20)</f>
        <v>2</v>
      </c>
      <c r="H21" s="187">
        <f>SUBTOTAL(9,H20:H20)</f>
        <v>0</v>
      </c>
      <c r="I21" s="187">
        <f>SUBTOTAL(9,I20:I20)</f>
        <v>43.67</v>
      </c>
      <c r="J21" s="187">
        <f>SUBTOTAL(9,J20:J20)</f>
        <v>43.67</v>
      </c>
    </row>
    <row r="22" spans="1:10" ht="24.95" customHeight="1">
      <c r="A22" s="222" t="s">
        <v>65</v>
      </c>
      <c r="B22" s="222"/>
      <c r="C22" s="139"/>
      <c r="D22" s="139"/>
      <c r="E22" s="140"/>
      <c r="F22" s="140"/>
      <c r="G22" s="139">
        <f>SUBTOTAL(9,G12:G20)</f>
        <v>83</v>
      </c>
      <c r="H22" s="141">
        <f>SUBTOTAL(9,H12:H20)</f>
        <v>0</v>
      </c>
      <c r="I22" s="141">
        <f>SUBTOTAL(9,I12:I20)</f>
        <v>1471.73</v>
      </c>
      <c r="J22" s="141">
        <f>SUBTOTAL(9,J12:J20)</f>
        <v>1471.73</v>
      </c>
    </row>
    <row r="23" spans="1:10">
      <c r="A23" s="125"/>
      <c r="B23" s="125"/>
      <c r="C23" s="125"/>
      <c r="D23" s="125"/>
      <c r="E23" s="126"/>
      <c r="F23" s="126"/>
      <c r="G23" s="125"/>
      <c r="H23" s="127"/>
      <c r="I23" s="127"/>
      <c r="J23" s="127"/>
    </row>
    <row r="24" spans="1:10">
      <c r="A24" s="55" t="s">
        <v>36</v>
      </c>
      <c r="B24" s="125"/>
      <c r="C24" s="125"/>
      <c r="D24" s="125"/>
      <c r="E24" s="126"/>
      <c r="F24" s="126"/>
      <c r="G24" s="125"/>
      <c r="H24" s="127"/>
      <c r="I24" s="127"/>
      <c r="J24" s="127"/>
    </row>
    <row r="25" spans="1:10">
      <c r="A25" s="55" t="s">
        <v>37</v>
      </c>
      <c r="B25" s="125"/>
      <c r="C25" s="125"/>
      <c r="D25" s="125"/>
      <c r="E25" s="126"/>
      <c r="F25" s="126"/>
      <c r="G25" s="125"/>
      <c r="H25" s="127"/>
      <c r="I25" s="127"/>
      <c r="J25" s="127"/>
    </row>
    <row r="26" spans="1:10">
      <c r="A26" s="125"/>
      <c r="B26" s="125"/>
      <c r="C26" s="125"/>
      <c r="D26" s="125"/>
      <c r="E26" s="126"/>
      <c r="F26" s="126"/>
      <c r="G26" s="125"/>
      <c r="H26" s="127"/>
      <c r="I26" s="127"/>
      <c r="J26" s="127"/>
    </row>
    <row r="27" spans="1:10">
      <c r="A27" s="133"/>
      <c r="B27" s="133"/>
      <c r="C27" s="133"/>
      <c r="D27" s="133"/>
      <c r="E27" s="134"/>
      <c r="F27" s="134"/>
      <c r="G27" s="133"/>
      <c r="H27" s="114"/>
      <c r="I27" s="114"/>
      <c r="J27" s="127"/>
    </row>
    <row r="28" spans="1:10">
      <c r="A28" s="133"/>
      <c r="B28" s="133"/>
      <c r="C28" s="133"/>
      <c r="D28" s="133"/>
      <c r="E28" s="134"/>
      <c r="F28" s="134"/>
      <c r="G28" s="133"/>
      <c r="H28" s="114"/>
      <c r="I28" s="114"/>
      <c r="J28" s="127"/>
    </row>
    <row r="29" spans="1:10">
      <c r="A29" s="65"/>
      <c r="B29" s="65"/>
      <c r="C29" s="65"/>
      <c r="E29" s="134"/>
      <c r="F29" s="134"/>
      <c r="G29" s="65"/>
      <c r="H29" s="114"/>
      <c r="I29" s="114"/>
      <c r="J29" s="43"/>
    </row>
    <row r="30" spans="1:10">
      <c r="B30" s="65"/>
      <c r="C30" s="65"/>
      <c r="E30" s="134"/>
      <c r="F30" s="134"/>
      <c r="G30" s="65"/>
      <c r="H30" s="114"/>
      <c r="I30" s="114"/>
      <c r="J30" s="43"/>
    </row>
    <row r="31" spans="1:10">
      <c r="B31" s="65"/>
      <c r="C31" s="65"/>
      <c r="E31" s="134"/>
      <c r="F31" s="134"/>
      <c r="G31" s="65"/>
      <c r="H31" s="114"/>
      <c r="I31" s="142"/>
      <c r="J31" s="43"/>
    </row>
    <row r="32" spans="1:10">
      <c r="A32" s="65"/>
      <c r="B32" s="65"/>
      <c r="C32" s="65"/>
      <c r="E32" s="134"/>
      <c r="F32" s="134"/>
      <c r="G32" s="65"/>
      <c r="H32" s="114"/>
      <c r="I32" s="114"/>
      <c r="J32" s="43"/>
    </row>
    <row r="33" spans="1:10">
      <c r="A33" s="65"/>
      <c r="B33" s="65"/>
      <c r="C33" s="65"/>
      <c r="E33" s="134"/>
      <c r="F33" s="134"/>
      <c r="G33" s="65"/>
      <c r="H33" s="114"/>
      <c r="I33" s="114"/>
      <c r="J33" s="43"/>
    </row>
    <row r="34" spans="1:10">
      <c r="A34" s="65"/>
      <c r="B34" s="65"/>
      <c r="C34" s="65"/>
      <c r="E34" s="134"/>
      <c r="F34" s="134"/>
      <c r="G34" s="65"/>
      <c r="H34" s="114"/>
      <c r="I34" s="114"/>
      <c r="J34" s="43"/>
    </row>
    <row r="35" spans="1:10">
      <c r="A35" s="65"/>
      <c r="B35" s="65"/>
      <c r="C35" s="65"/>
      <c r="E35" s="134"/>
      <c r="F35" s="134"/>
      <c r="G35" s="65"/>
      <c r="H35" s="114"/>
      <c r="I35" s="114"/>
      <c r="J35" s="43"/>
    </row>
    <row r="36" spans="1:10">
      <c r="A36" s="65"/>
      <c r="B36" s="65"/>
      <c r="C36" s="65"/>
      <c r="E36" s="134"/>
      <c r="F36" s="134"/>
      <c r="G36" s="65"/>
      <c r="H36" s="114"/>
      <c r="I36" s="114"/>
      <c r="J36" s="43"/>
    </row>
    <row r="37" spans="1:10">
      <c r="A37" s="65"/>
      <c r="B37" s="65"/>
      <c r="C37" s="65"/>
      <c r="E37" s="134"/>
      <c r="F37" s="134"/>
      <c r="G37" s="65"/>
      <c r="H37" s="143"/>
      <c r="I37" s="143"/>
      <c r="J37" s="143"/>
    </row>
    <row r="38" spans="1:10">
      <c r="B38" s="65"/>
      <c r="C38" s="65"/>
      <c r="E38" s="134"/>
      <c r="F38" s="134"/>
      <c r="G38" s="65"/>
      <c r="H38" s="143"/>
      <c r="I38" s="143"/>
      <c r="J38" s="143"/>
    </row>
    <row r="39" spans="1:10">
      <c r="B39" s="65"/>
      <c r="C39" s="65"/>
      <c r="E39" s="134"/>
      <c r="F39" s="134"/>
      <c r="G39" s="65"/>
      <c r="H39" s="143"/>
      <c r="I39" s="143"/>
      <c r="J39" s="143"/>
    </row>
    <row r="40" spans="1:10">
      <c r="A40" s="65"/>
      <c r="B40" s="65"/>
      <c r="C40" s="65"/>
      <c r="E40" s="134"/>
      <c r="F40" s="134"/>
      <c r="G40" s="65"/>
      <c r="H40" s="143"/>
      <c r="I40" s="143"/>
      <c r="J40" s="143"/>
    </row>
    <row r="41" spans="1:10">
      <c r="A41" s="65"/>
      <c r="B41" s="65"/>
      <c r="C41" s="65"/>
      <c r="E41" s="134"/>
      <c r="F41" s="134"/>
      <c r="G41" s="65"/>
      <c r="H41" s="143"/>
      <c r="I41" s="143"/>
      <c r="J41" s="143"/>
    </row>
    <row r="42" spans="1:10">
      <c r="A42" s="65"/>
      <c r="B42" s="65"/>
      <c r="C42" s="65"/>
      <c r="E42" s="134"/>
      <c r="F42" s="134"/>
      <c r="G42" s="65"/>
      <c r="H42" s="143"/>
      <c r="I42" s="143"/>
      <c r="J42" s="143"/>
    </row>
    <row r="43" spans="1:10">
      <c r="A43" s="65"/>
      <c r="B43" s="65"/>
      <c r="C43" s="65"/>
      <c r="E43" s="134"/>
      <c r="F43" s="134"/>
      <c r="G43" s="65"/>
      <c r="H43" s="143"/>
      <c r="I43" s="143"/>
      <c r="J43" s="143"/>
    </row>
    <row r="44" spans="1:10">
      <c r="A44" s="65"/>
      <c r="B44" s="65"/>
      <c r="C44" s="65"/>
      <c r="E44" s="134"/>
      <c r="F44" s="134"/>
      <c r="G44" s="65"/>
      <c r="H44" s="143"/>
      <c r="I44" s="143"/>
      <c r="J44" s="143"/>
    </row>
    <row r="45" spans="1:10">
      <c r="A45" s="65"/>
      <c r="B45" s="65"/>
      <c r="C45" s="65"/>
      <c r="E45" s="134"/>
      <c r="F45" s="134"/>
      <c r="G45" s="65"/>
      <c r="H45" s="143"/>
      <c r="I45" s="143"/>
      <c r="J45" s="143"/>
    </row>
    <row r="46" spans="1:10">
      <c r="A46" s="55"/>
    </row>
  </sheetData>
  <autoFilter ref="A11:J28" xr:uid="{00000000-0009-0000-0000-00000E000000}"/>
  <sortState xmlns:xlrd2="http://schemas.microsoft.com/office/spreadsheetml/2017/richdata2" ref="A12:J20">
    <sortCondition ref="C12:C20"/>
  </sortState>
  <mergeCells count="5">
    <mergeCell ref="A5:J5"/>
    <mergeCell ref="A6:J6"/>
    <mergeCell ref="A7:J7"/>
    <mergeCell ref="A27:B27"/>
    <mergeCell ref="A22:B22"/>
  </mergeCells>
  <pageMargins left="0.27569444444444402" right="0.12986111111111101" top="0.17708333333333301" bottom="0.17361111111111099" header="0.51180555555555496" footer="0.51180555555555496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49</vt:i4>
      </vt:variant>
    </vt:vector>
  </HeadingPairs>
  <TitlesOfParts>
    <vt:vector size="64" baseType="lpstr">
      <vt:lpstr>Expedientes tramitados</vt:lpstr>
      <vt:lpstr>Inversión económica</vt:lpstr>
      <vt:lpstr>Tipo de participaciónn</vt:lpstr>
      <vt:lpstr>14 Dir. Gerencia</vt:lpstr>
      <vt:lpstr>14 Dir. Médica</vt:lpstr>
      <vt:lpstr>14 Dir. Enfermería</vt:lpstr>
      <vt:lpstr>14 Dir. Gestión_RRHH</vt:lpstr>
      <vt:lpstr>14 Dir. Gerencia_MED (Cat)</vt:lpstr>
      <vt:lpstr>14 Dir. Enfermería (Cat)</vt:lpstr>
      <vt:lpstr>14 Dir. Gestión_RRHH (Cat)</vt:lpstr>
      <vt:lpstr>lugar-Gerencia</vt:lpstr>
      <vt:lpstr>lugar-Médica</vt:lpstr>
      <vt:lpstr>lugar-Enfermería</vt:lpstr>
      <vt:lpstr>lugar-Gestión</vt:lpstr>
      <vt:lpstr>lugar-RRHH</vt:lpstr>
      <vt:lpstr>__Anonymous_Sheet_DB__3</vt:lpstr>
      <vt:lpstr>'lugar-Enfermería'!_FilterDatabase_0</vt:lpstr>
      <vt:lpstr>'lugar-Gestión'!_FilterDatabase_0</vt:lpstr>
      <vt:lpstr>'lugar-Médica'!_FilterDatabase_0</vt:lpstr>
      <vt:lpstr>'lugar-RRHH'!_FilterDatabase_0</vt:lpstr>
      <vt:lpstr>'lugar-Gerencia'!_FilterDatabase_0_0</vt:lpstr>
      <vt:lpstr>'lugar-Gestión'!_FilterDatabase_0_0</vt:lpstr>
      <vt:lpstr>'lugar-Médica'!_FilterDatabase_0_0</vt:lpstr>
      <vt:lpstr>'lugar-Médica'!_FilterDatabase_0_0_0</vt:lpstr>
      <vt:lpstr>'14 Dir. Enfermería'!Área_de_impresión</vt:lpstr>
      <vt:lpstr>'14 Dir. Enfermería (Cat)'!Área_de_impresión</vt:lpstr>
      <vt:lpstr>'14 Dir. Gerencia'!Área_de_impresión</vt:lpstr>
      <vt:lpstr>'14 Dir. Gerencia_MED (Cat)'!Área_de_impresión</vt:lpstr>
      <vt:lpstr>'14 Dir. Gestión_RRHH'!Área_de_impresión</vt:lpstr>
      <vt:lpstr>'14 Dir. Gestión_RRHH (Cat)'!Área_de_impresión</vt:lpstr>
      <vt:lpstr>'14 Dir. Médica'!Área_de_impresión</vt:lpstr>
      <vt:lpstr>'Expedientes tramitados'!Área_de_impresión</vt:lpstr>
      <vt:lpstr>'Inversión económica'!Área_de_impresión</vt:lpstr>
      <vt:lpstr>'lugar-Enfermería'!Área_de_impresión</vt:lpstr>
      <vt:lpstr>'lugar-Gerencia'!Área_de_impresión</vt:lpstr>
      <vt:lpstr>'lugar-Gestión'!Área_de_impresión</vt:lpstr>
      <vt:lpstr>'lugar-Médica'!Área_de_impresión</vt:lpstr>
      <vt:lpstr>'lugar-RRHH'!Área_de_impresión</vt:lpstr>
      <vt:lpstr>'Tipo de participaciónn'!Área_de_impresión</vt:lpstr>
      <vt:lpstr>'14 Dir. Enfermería'!Excel_BuiltIn__FilterDatabase</vt:lpstr>
      <vt:lpstr>'14 Dir. Gestión_RRHH (Cat)'!Excel_BuiltIn_Print_Area</vt:lpstr>
      <vt:lpstr>'14 Dir. Enfermería'!Excel_BuiltIn_Print_Titles</vt:lpstr>
      <vt:lpstr>'14 Dir. Gestión_RRHH'!Excel_BuiltIn_Print_Titles</vt:lpstr>
      <vt:lpstr>'14 Dir. Médica'!Excel_BuiltIn_Print_Titles</vt:lpstr>
      <vt:lpstr>'lugar-Gestión'!hola</vt:lpstr>
      <vt:lpstr>'lugar-Médica'!hola</vt:lpstr>
      <vt:lpstr>'14 Dir. Médica'!Print_Area_0</vt:lpstr>
      <vt:lpstr>'lugar-Enfermería'!Print_Area_0</vt:lpstr>
      <vt:lpstr>'lugar-Gestión'!Print_Area_0</vt:lpstr>
      <vt:lpstr>'lugar-Médica'!Print_Area_0</vt:lpstr>
      <vt:lpstr>'lugar-RRHH'!Print_Area_0</vt:lpstr>
      <vt:lpstr>'14 Dir. Enfermería'!Print_Area_0_0</vt:lpstr>
      <vt:lpstr>'lugar-Gerencia'!Print_Area_0_0</vt:lpstr>
      <vt:lpstr>'lugar-Gestión'!Print_Area_0_0</vt:lpstr>
      <vt:lpstr>'lugar-Médica'!Print_Area_0_0</vt:lpstr>
      <vt:lpstr>'lugar-Gerencia'!Print_Area_0_0_0</vt:lpstr>
      <vt:lpstr>'14 Dir. Enfermería'!Títulos_a_imprimir</vt:lpstr>
      <vt:lpstr>'14 Dir. Gestión_RRHH'!Títulos_a_imprimir</vt:lpstr>
      <vt:lpstr>'14 Dir. Médica'!Títulos_a_imprimir</vt:lpstr>
      <vt:lpstr>'lugar-Enfermería'!Títulos_a_imprimir</vt:lpstr>
      <vt:lpstr>'lugar-Gerencia'!Títulos_a_imprimir</vt:lpstr>
      <vt:lpstr>'lugar-Gestión'!Títulos_a_imprimir</vt:lpstr>
      <vt:lpstr>'lugar-Médica'!Títulos_a_imprimir</vt:lpstr>
      <vt:lpstr>'lugar-RRHH'!Títulos_a_imprimir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Roberto Rivas Santos</dc:creator>
  <dc:description/>
  <cp:lastModifiedBy>Formación RRHH</cp:lastModifiedBy>
  <cp:revision>723</cp:revision>
  <cp:lastPrinted>2024-01-16T14:44:34Z</cp:lastPrinted>
  <dcterms:created xsi:type="dcterms:W3CDTF">2017-01-25T08:18:10Z</dcterms:created>
  <dcterms:modified xsi:type="dcterms:W3CDTF">2026-04-22T14:16:29Z</dcterms:modified>
  <dc:language>es-ES</dc:language>
</cp:coreProperties>
</file>